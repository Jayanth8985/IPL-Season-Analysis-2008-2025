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Ex2.xml" ContentType="application/vnd.ms-office.chartex+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pivotTables/pivotTable6.xml" ContentType="application/vnd.openxmlformats-officedocument.spreadsheetml.pivotTable+xml"/>
  <Override PartName="/xl/drawings/drawing7.xml" ContentType="application/vnd.openxmlformats-officedocument.drawing+xml"/>
  <Override PartName="/xl/tables/table2.xml" ContentType="application/vnd.openxmlformats-officedocument.spreadsheetml.table+xml"/>
  <Override PartName="/xl/slicers/slicer4.xml" ContentType="application/vnd.ms-excel.slicer+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Jayanth\OneDrive\Desktop\Excel\"/>
    </mc:Choice>
  </mc:AlternateContent>
  <xr:revisionPtr revIDLastSave="0" documentId="13_ncr:1_{D04C2B3F-033B-4B72-A0ED-9357950BFCF3}" xr6:coauthVersionLast="47" xr6:coauthVersionMax="47" xr10:uidLastSave="{00000000-0000-0000-0000-000000000000}"/>
  <bookViews>
    <workbookView xWindow="-108" yWindow="-108" windowWidth="23256" windowHeight="12456" tabRatio="574" xr2:uid="{00000000-000D-0000-FFFF-FFFF00000000}"/>
  </bookViews>
  <sheets>
    <sheet name="Dashboard" sheetId="10" r:id="rId1"/>
    <sheet name="matches win by team" sheetId="2" r:id="rId2"/>
    <sheet name="toss decission1" sheetId="3" r:id="rId3"/>
    <sheet name="top 10 venues1" sheetId="4" r:id="rId4"/>
    <sheet name="mom" sheetId="6" r:id="rId5"/>
    <sheet name="winners1" sheetId="8" r:id="rId6"/>
    <sheet name="winners_data" sheetId="7" r:id="rId7"/>
    <sheet name="kpi" sheetId="9" r:id="rId8"/>
    <sheet name="IPL Info" sheetId="1" r:id="rId9"/>
  </sheets>
  <definedNames>
    <definedName name="_xlchart.v1.0" hidden="1">winners1!$D$4:$D$11</definedName>
    <definedName name="_xlchart.v1.1" hidden="1">winners1!$E$3</definedName>
    <definedName name="_xlchart.v1.2" hidden="1">winners1!$E$4:$E$11</definedName>
    <definedName name="_xlchart.v1.3" hidden="1">winners1!$D$4:$D$11</definedName>
    <definedName name="_xlchart.v1.4" hidden="1">winners1!$E$3</definedName>
    <definedName name="_xlchart.v1.5" hidden="1">winners1!$E$4:$E$11</definedName>
    <definedName name="_xlchart.v1.6" hidden="1">winners1!$D$4:$D$11</definedName>
    <definedName name="_xlchart.v1.7" hidden="1">winners1!$E$3</definedName>
    <definedName name="_xlchart.v1.8" hidden="1">winners1!$E$4:$E$11</definedName>
    <definedName name="Slicer_Season">#N/A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9" l="1"/>
  <c r="G4" i="9" s="1"/>
  <c r="D5" i="8"/>
  <c r="D6" i="8"/>
  <c r="D7" i="8"/>
  <c r="D8" i="8"/>
  <c r="D9" i="8"/>
  <c r="D10" i="8"/>
  <c r="D11" i="8"/>
  <c r="D4" i="8"/>
  <c r="E5" i="6"/>
  <c r="E6" i="6"/>
  <c r="E7" i="6"/>
  <c r="E8" i="6"/>
  <c r="E9" i="6"/>
  <c r="E10" i="6"/>
  <c r="E11" i="6"/>
  <c r="E12" i="6"/>
  <c r="E13" i="6"/>
  <c r="E4" i="6"/>
  <c r="E1170" i="1"/>
  <c r="D1170" i="1" s="1"/>
  <c r="E1169" i="1"/>
  <c r="D1169" i="1" s="1"/>
  <c r="E1168" i="1"/>
  <c r="D1168" i="1" s="1"/>
  <c r="E1167" i="1"/>
  <c r="D1167" i="1" s="1"/>
  <c r="E1166" i="1"/>
  <c r="D1166" i="1" s="1"/>
  <c r="E1165" i="1"/>
  <c r="D1165" i="1" s="1"/>
  <c r="E1164" i="1"/>
  <c r="D1164" i="1" s="1"/>
  <c r="E1163" i="1"/>
  <c r="D1163" i="1" s="1"/>
  <c r="E1162" i="1"/>
  <c r="D1162" i="1" s="1"/>
  <c r="E1161" i="1"/>
  <c r="D1161" i="1" s="1"/>
  <c r="E1160" i="1"/>
  <c r="D1160" i="1" s="1"/>
  <c r="E1159" i="1"/>
  <c r="D1159" i="1" s="1"/>
  <c r="E1158" i="1"/>
  <c r="D1158" i="1" s="1"/>
  <c r="E1157" i="1"/>
  <c r="D1157" i="1" s="1"/>
  <c r="E1156" i="1"/>
  <c r="D1156" i="1" s="1"/>
  <c r="E1155" i="1"/>
  <c r="D1155" i="1" s="1"/>
  <c r="E1154" i="1"/>
  <c r="D1154" i="1" s="1"/>
  <c r="E1153" i="1"/>
  <c r="D1153" i="1" s="1"/>
  <c r="E1152" i="1"/>
  <c r="D1152" i="1" s="1"/>
  <c r="E1151" i="1"/>
  <c r="D1151" i="1" s="1"/>
  <c r="E1150" i="1"/>
  <c r="D1150" i="1" s="1"/>
  <c r="E1149" i="1"/>
  <c r="D1149" i="1" s="1"/>
  <c r="E1148" i="1"/>
  <c r="D1148" i="1" s="1"/>
  <c r="E1147" i="1"/>
  <c r="D1147" i="1" s="1"/>
  <c r="E1146" i="1"/>
  <c r="D1146" i="1" s="1"/>
  <c r="E1145" i="1"/>
  <c r="D1145" i="1" s="1"/>
  <c r="E1144" i="1"/>
  <c r="D1144" i="1" s="1"/>
  <c r="E1143" i="1"/>
  <c r="D1143" i="1" s="1"/>
  <c r="E1142" i="1"/>
  <c r="D1142" i="1" s="1"/>
  <c r="E1141" i="1"/>
  <c r="D1141" i="1" s="1"/>
  <c r="E1140" i="1"/>
  <c r="D1140" i="1" s="1"/>
  <c r="E1139" i="1"/>
  <c r="D1139" i="1" s="1"/>
  <c r="E1138" i="1"/>
  <c r="D1138" i="1" s="1"/>
  <c r="E1137" i="1"/>
  <c r="D1137" i="1" s="1"/>
  <c r="E1136" i="1"/>
  <c r="D1136" i="1" s="1"/>
  <c r="E1135" i="1"/>
  <c r="D1135" i="1" s="1"/>
  <c r="E1134" i="1"/>
  <c r="D1134" i="1" s="1"/>
  <c r="E1133" i="1"/>
  <c r="D1133" i="1" s="1"/>
  <c r="E1132" i="1"/>
  <c r="D1132" i="1" s="1"/>
  <c r="E1131" i="1"/>
  <c r="D1131" i="1" s="1"/>
  <c r="E1130" i="1"/>
  <c r="D1130" i="1" s="1"/>
  <c r="E1129" i="1"/>
  <c r="D1129" i="1" s="1"/>
  <c r="E1128" i="1"/>
  <c r="D1128" i="1" s="1"/>
  <c r="E1127" i="1"/>
  <c r="D1127" i="1" s="1"/>
  <c r="E1126" i="1"/>
  <c r="D1126" i="1" s="1"/>
  <c r="E1125" i="1"/>
  <c r="D1125" i="1" s="1"/>
  <c r="E1124" i="1"/>
  <c r="D1124" i="1" s="1"/>
  <c r="E1123" i="1"/>
  <c r="D1123" i="1" s="1"/>
  <c r="E1122" i="1"/>
  <c r="D1122" i="1" s="1"/>
  <c r="E1121" i="1"/>
  <c r="D1121" i="1" s="1"/>
  <c r="E1120" i="1"/>
  <c r="D1120" i="1" s="1"/>
  <c r="E1119" i="1"/>
  <c r="D1119" i="1" s="1"/>
  <c r="E1118" i="1"/>
  <c r="D1118" i="1" s="1"/>
  <c r="E1117" i="1"/>
  <c r="D1117" i="1" s="1"/>
  <c r="E1116" i="1"/>
  <c r="D1116" i="1" s="1"/>
  <c r="E1115" i="1"/>
  <c r="D1115" i="1" s="1"/>
  <c r="E1114" i="1"/>
  <c r="D1114" i="1" s="1"/>
  <c r="E1113" i="1"/>
  <c r="D1113" i="1" s="1"/>
  <c r="E1112" i="1"/>
  <c r="D1112" i="1" s="1"/>
  <c r="E1111" i="1"/>
  <c r="D1111" i="1" s="1"/>
  <c r="E1110" i="1"/>
  <c r="D1110" i="1" s="1"/>
  <c r="E1109" i="1"/>
  <c r="D1109" i="1" s="1"/>
  <c r="E1108" i="1"/>
  <c r="D1108" i="1" s="1"/>
  <c r="E1107" i="1"/>
  <c r="D1107" i="1" s="1"/>
  <c r="E1106" i="1"/>
  <c r="D1106" i="1" s="1"/>
  <c r="E1105" i="1"/>
  <c r="D1105" i="1" s="1"/>
  <c r="E1104" i="1"/>
  <c r="D1104" i="1" s="1"/>
  <c r="E1103" i="1"/>
  <c r="D1103" i="1" s="1"/>
  <c r="E1102" i="1"/>
  <c r="D1102" i="1" s="1"/>
  <c r="E1101" i="1"/>
  <c r="D1101" i="1" s="1"/>
  <c r="E1100" i="1"/>
  <c r="D1100" i="1" s="1"/>
  <c r="E1099" i="1"/>
  <c r="D1099" i="1" s="1"/>
  <c r="E1098" i="1"/>
  <c r="D1098" i="1" s="1"/>
  <c r="E1097" i="1"/>
  <c r="D1097" i="1" s="1"/>
  <c r="E1096" i="1"/>
  <c r="D1096" i="1" s="1"/>
  <c r="E1095" i="1"/>
  <c r="D1095" i="1" s="1"/>
  <c r="E1094" i="1"/>
  <c r="D1094" i="1" s="1"/>
  <c r="E1093" i="1"/>
  <c r="D1093" i="1" s="1"/>
  <c r="E1092" i="1"/>
  <c r="D1092" i="1" s="1"/>
  <c r="E1091" i="1"/>
  <c r="D1091" i="1" s="1"/>
  <c r="E1090" i="1"/>
  <c r="D1090" i="1" s="1"/>
  <c r="E1089" i="1"/>
  <c r="D1089" i="1" s="1"/>
  <c r="E1088" i="1"/>
  <c r="D1088" i="1" s="1"/>
  <c r="E1087" i="1"/>
  <c r="D1087" i="1" s="1"/>
  <c r="E1086" i="1"/>
  <c r="D1086" i="1" s="1"/>
  <c r="E1085" i="1"/>
  <c r="D1085" i="1" s="1"/>
  <c r="E1084" i="1"/>
  <c r="D1084" i="1" s="1"/>
  <c r="E1083" i="1"/>
  <c r="D1083" i="1" s="1"/>
  <c r="E1082" i="1"/>
  <c r="D1082" i="1" s="1"/>
  <c r="E1081" i="1"/>
  <c r="D1081" i="1" s="1"/>
  <c r="E1080" i="1"/>
  <c r="D1080" i="1" s="1"/>
  <c r="E1079" i="1"/>
  <c r="D1079" i="1" s="1"/>
  <c r="E1078" i="1"/>
  <c r="D1078" i="1" s="1"/>
  <c r="E1077" i="1"/>
  <c r="D1077" i="1" s="1"/>
  <c r="E1076" i="1"/>
  <c r="D1076" i="1" s="1"/>
  <c r="E1075" i="1"/>
  <c r="D1075" i="1" s="1"/>
  <c r="E1074" i="1"/>
  <c r="D1074" i="1" s="1"/>
  <c r="E1073" i="1"/>
  <c r="D1073" i="1" s="1"/>
  <c r="E1072" i="1"/>
  <c r="D1072" i="1" s="1"/>
  <c r="E1071" i="1"/>
  <c r="D1071" i="1" s="1"/>
  <c r="E1070" i="1"/>
  <c r="D1070" i="1" s="1"/>
  <c r="E1069" i="1"/>
  <c r="D1069" i="1" s="1"/>
  <c r="E1068" i="1"/>
  <c r="D1068" i="1" s="1"/>
  <c r="E1067" i="1"/>
  <c r="D1067" i="1" s="1"/>
  <c r="E1066" i="1"/>
  <c r="D1066" i="1" s="1"/>
  <c r="E1065" i="1"/>
  <c r="D1065" i="1" s="1"/>
  <c r="E1064" i="1"/>
  <c r="D1064" i="1" s="1"/>
  <c r="E1063" i="1"/>
  <c r="D1063" i="1" s="1"/>
  <c r="E1062" i="1"/>
  <c r="D1062" i="1" s="1"/>
  <c r="E1061" i="1"/>
  <c r="D1061" i="1" s="1"/>
  <c r="E1060" i="1"/>
  <c r="D1060" i="1" s="1"/>
  <c r="E1059" i="1"/>
  <c r="D1059" i="1" s="1"/>
  <c r="E1058" i="1"/>
  <c r="D1058" i="1" s="1"/>
  <c r="E1057" i="1"/>
  <c r="D1057" i="1" s="1"/>
  <c r="E1056" i="1"/>
  <c r="D1056" i="1" s="1"/>
  <c r="E1055" i="1"/>
  <c r="D1055" i="1" s="1"/>
  <c r="E1054" i="1"/>
  <c r="D1054" i="1" s="1"/>
  <c r="E1053" i="1"/>
  <c r="D1053" i="1" s="1"/>
  <c r="E1052" i="1"/>
  <c r="D1052" i="1" s="1"/>
  <c r="E1051" i="1"/>
  <c r="D1051" i="1" s="1"/>
  <c r="E1050" i="1"/>
  <c r="D1050" i="1" s="1"/>
  <c r="E1049" i="1"/>
  <c r="D1049" i="1" s="1"/>
  <c r="E1048" i="1"/>
  <c r="D1048" i="1" s="1"/>
  <c r="E1047" i="1"/>
  <c r="D1047" i="1" s="1"/>
  <c r="E1046" i="1"/>
  <c r="D1046" i="1" s="1"/>
  <c r="E1045" i="1"/>
  <c r="D1045" i="1" s="1"/>
  <c r="E1044" i="1"/>
  <c r="D1044" i="1" s="1"/>
  <c r="E1043" i="1"/>
  <c r="D1043" i="1" s="1"/>
  <c r="E1042" i="1"/>
  <c r="D1042" i="1" s="1"/>
  <c r="E1041" i="1"/>
  <c r="D1041" i="1" s="1"/>
  <c r="E1040" i="1"/>
  <c r="D1040" i="1" s="1"/>
  <c r="E1039" i="1"/>
  <c r="D1039" i="1" s="1"/>
  <c r="E1038" i="1"/>
  <c r="D1038" i="1" s="1"/>
  <c r="E1037" i="1"/>
  <c r="D1037" i="1" s="1"/>
  <c r="E1036" i="1"/>
  <c r="D1036" i="1" s="1"/>
  <c r="E1035" i="1"/>
  <c r="D1035" i="1" s="1"/>
  <c r="E1034" i="1"/>
  <c r="D1034" i="1" s="1"/>
  <c r="E1033" i="1"/>
  <c r="D1033" i="1" s="1"/>
  <c r="E1032" i="1"/>
  <c r="D1032" i="1" s="1"/>
  <c r="E1031" i="1"/>
  <c r="D1031" i="1" s="1"/>
  <c r="E1030" i="1"/>
  <c r="D1030" i="1" s="1"/>
  <c r="E1029" i="1"/>
  <c r="D1029" i="1" s="1"/>
  <c r="E1028" i="1"/>
  <c r="D1028" i="1" s="1"/>
  <c r="E1027" i="1"/>
  <c r="D1027" i="1" s="1"/>
  <c r="E1026" i="1"/>
  <c r="D1026" i="1" s="1"/>
  <c r="E1025" i="1"/>
  <c r="D1025" i="1" s="1"/>
  <c r="E1024" i="1"/>
  <c r="D1024" i="1" s="1"/>
  <c r="E1023" i="1"/>
  <c r="D1023" i="1" s="1"/>
  <c r="E1022" i="1"/>
  <c r="D1022" i="1" s="1"/>
  <c r="E1021" i="1"/>
  <c r="D1021" i="1" s="1"/>
  <c r="E1020" i="1"/>
  <c r="D1020" i="1" s="1"/>
  <c r="E1019" i="1"/>
  <c r="D1019" i="1" s="1"/>
  <c r="E1018" i="1"/>
  <c r="D1018" i="1" s="1"/>
  <c r="E1017" i="1"/>
  <c r="D1017" i="1" s="1"/>
  <c r="E1016" i="1"/>
  <c r="D1016" i="1" s="1"/>
  <c r="E1015" i="1"/>
  <c r="D1015" i="1" s="1"/>
  <c r="E1014" i="1"/>
  <c r="D1014" i="1" s="1"/>
  <c r="E1013" i="1"/>
  <c r="D1013" i="1" s="1"/>
  <c r="E1012" i="1"/>
  <c r="D1012" i="1" s="1"/>
  <c r="E1011" i="1"/>
  <c r="D1011" i="1" s="1"/>
  <c r="E1010" i="1"/>
  <c r="D1010" i="1" s="1"/>
  <c r="E1009" i="1"/>
  <c r="D1009" i="1" s="1"/>
  <c r="E1008" i="1"/>
  <c r="D1008" i="1" s="1"/>
  <c r="E1007" i="1"/>
  <c r="D1007" i="1" s="1"/>
  <c r="E1006" i="1"/>
  <c r="D1006" i="1" s="1"/>
  <c r="E1005" i="1"/>
  <c r="D1005" i="1" s="1"/>
  <c r="E1004" i="1"/>
  <c r="D1004" i="1" s="1"/>
  <c r="E1003" i="1"/>
  <c r="D1003" i="1" s="1"/>
  <c r="E1002" i="1"/>
  <c r="D1002" i="1" s="1"/>
  <c r="E1001" i="1"/>
  <c r="D1001" i="1" s="1"/>
  <c r="E1000" i="1"/>
  <c r="D1000" i="1" s="1"/>
  <c r="E999" i="1"/>
  <c r="D999" i="1" s="1"/>
  <c r="E998" i="1"/>
  <c r="D998" i="1" s="1"/>
  <c r="E997" i="1"/>
  <c r="D997" i="1" s="1"/>
  <c r="E996" i="1"/>
  <c r="D996" i="1" s="1"/>
  <c r="E995" i="1"/>
  <c r="D995" i="1" s="1"/>
  <c r="E994" i="1"/>
  <c r="D994" i="1" s="1"/>
  <c r="E993" i="1"/>
  <c r="D993" i="1" s="1"/>
  <c r="E992" i="1"/>
  <c r="D992" i="1" s="1"/>
  <c r="E991" i="1"/>
  <c r="D991" i="1" s="1"/>
  <c r="E990" i="1"/>
  <c r="D990" i="1" s="1"/>
  <c r="E989" i="1"/>
  <c r="D989" i="1" s="1"/>
  <c r="E988" i="1"/>
  <c r="D988" i="1" s="1"/>
  <c r="E987" i="1"/>
  <c r="D987" i="1" s="1"/>
  <c r="E986" i="1"/>
  <c r="D986" i="1" s="1"/>
  <c r="E985" i="1"/>
  <c r="D985" i="1" s="1"/>
  <c r="E984" i="1"/>
  <c r="D984" i="1" s="1"/>
  <c r="E983" i="1"/>
  <c r="D983" i="1" s="1"/>
  <c r="E982" i="1"/>
  <c r="D982" i="1" s="1"/>
  <c r="E981" i="1"/>
  <c r="D981" i="1" s="1"/>
  <c r="E980" i="1"/>
  <c r="D980" i="1" s="1"/>
  <c r="E979" i="1"/>
  <c r="D979" i="1" s="1"/>
  <c r="E978" i="1"/>
  <c r="D978" i="1" s="1"/>
  <c r="E977" i="1"/>
  <c r="D977" i="1" s="1"/>
  <c r="E976" i="1"/>
  <c r="D976" i="1" s="1"/>
  <c r="E975" i="1"/>
  <c r="D975" i="1" s="1"/>
  <c r="E974" i="1"/>
  <c r="D974" i="1" s="1"/>
  <c r="E973" i="1"/>
  <c r="D973" i="1" s="1"/>
  <c r="E972" i="1"/>
  <c r="D972" i="1" s="1"/>
  <c r="E971" i="1"/>
  <c r="D971" i="1" s="1"/>
  <c r="E970" i="1"/>
  <c r="D970" i="1" s="1"/>
  <c r="E969" i="1"/>
  <c r="D969" i="1" s="1"/>
  <c r="E968" i="1"/>
  <c r="D968" i="1" s="1"/>
  <c r="E967" i="1"/>
  <c r="D967" i="1" s="1"/>
  <c r="E966" i="1"/>
  <c r="D966" i="1" s="1"/>
  <c r="E965" i="1"/>
  <c r="D965" i="1" s="1"/>
  <c r="E964" i="1"/>
  <c r="D964" i="1" s="1"/>
  <c r="E963" i="1"/>
  <c r="D963" i="1" s="1"/>
  <c r="E962" i="1"/>
  <c r="D962" i="1" s="1"/>
  <c r="E961" i="1"/>
  <c r="D961" i="1" s="1"/>
  <c r="E960" i="1"/>
  <c r="D960" i="1" s="1"/>
  <c r="E959" i="1"/>
  <c r="D959" i="1" s="1"/>
  <c r="E958" i="1"/>
  <c r="D958" i="1" s="1"/>
  <c r="E957" i="1"/>
  <c r="D957" i="1" s="1"/>
  <c r="E956" i="1"/>
  <c r="D956" i="1" s="1"/>
  <c r="E955" i="1"/>
  <c r="D955" i="1" s="1"/>
  <c r="E954" i="1"/>
  <c r="D954" i="1" s="1"/>
  <c r="E953" i="1"/>
  <c r="D953" i="1" s="1"/>
  <c r="E952" i="1"/>
  <c r="D952" i="1" s="1"/>
  <c r="E951" i="1"/>
  <c r="D951" i="1" s="1"/>
  <c r="E950" i="1"/>
  <c r="D950" i="1" s="1"/>
  <c r="E949" i="1"/>
  <c r="D949" i="1" s="1"/>
  <c r="E948" i="1"/>
  <c r="D948" i="1" s="1"/>
  <c r="E947" i="1"/>
  <c r="D947" i="1" s="1"/>
  <c r="E946" i="1"/>
  <c r="D946" i="1" s="1"/>
  <c r="E945" i="1"/>
  <c r="D945" i="1" s="1"/>
  <c r="E944" i="1"/>
  <c r="D944" i="1" s="1"/>
  <c r="E943" i="1"/>
  <c r="D943" i="1" s="1"/>
  <c r="E942" i="1"/>
  <c r="D942" i="1" s="1"/>
  <c r="E941" i="1"/>
  <c r="D941" i="1" s="1"/>
  <c r="E940" i="1"/>
  <c r="D940" i="1" s="1"/>
  <c r="E939" i="1"/>
  <c r="D939" i="1" s="1"/>
  <c r="E938" i="1"/>
  <c r="D938" i="1" s="1"/>
  <c r="E937" i="1"/>
  <c r="D937" i="1" s="1"/>
  <c r="E936" i="1"/>
  <c r="D936" i="1" s="1"/>
  <c r="E935" i="1"/>
  <c r="D935" i="1" s="1"/>
  <c r="E934" i="1"/>
  <c r="D934" i="1" s="1"/>
  <c r="E933" i="1"/>
  <c r="D933" i="1" s="1"/>
  <c r="E932" i="1"/>
  <c r="D932" i="1" s="1"/>
  <c r="E931" i="1"/>
  <c r="D931" i="1" s="1"/>
  <c r="E930" i="1"/>
  <c r="D930" i="1" s="1"/>
  <c r="E929" i="1"/>
  <c r="D929" i="1" s="1"/>
  <c r="E928" i="1"/>
  <c r="D928" i="1" s="1"/>
  <c r="E927" i="1"/>
  <c r="D927" i="1" s="1"/>
  <c r="E926" i="1"/>
  <c r="D926" i="1" s="1"/>
  <c r="E925" i="1"/>
  <c r="D925" i="1" s="1"/>
  <c r="E924" i="1"/>
  <c r="D924" i="1" s="1"/>
  <c r="E923" i="1"/>
  <c r="D923" i="1" s="1"/>
  <c r="E922" i="1"/>
  <c r="D922" i="1" s="1"/>
  <c r="E921" i="1"/>
  <c r="D921" i="1" s="1"/>
  <c r="E920" i="1"/>
  <c r="D920" i="1" s="1"/>
  <c r="E919" i="1"/>
  <c r="D919" i="1" s="1"/>
  <c r="E918" i="1"/>
  <c r="D918" i="1" s="1"/>
  <c r="E917" i="1"/>
  <c r="D917" i="1" s="1"/>
  <c r="E916" i="1"/>
  <c r="D916" i="1" s="1"/>
  <c r="E915" i="1"/>
  <c r="D915" i="1" s="1"/>
  <c r="E914" i="1"/>
  <c r="D914" i="1" s="1"/>
  <c r="E913" i="1"/>
  <c r="D913" i="1" s="1"/>
  <c r="E912" i="1"/>
  <c r="D912" i="1" s="1"/>
  <c r="E911" i="1"/>
  <c r="D911" i="1" s="1"/>
  <c r="E910" i="1"/>
  <c r="D910" i="1" s="1"/>
  <c r="E909" i="1"/>
  <c r="D909" i="1" s="1"/>
  <c r="E908" i="1"/>
  <c r="D908" i="1" s="1"/>
  <c r="E907" i="1"/>
  <c r="D907" i="1" s="1"/>
  <c r="E906" i="1"/>
  <c r="D906" i="1" s="1"/>
  <c r="E905" i="1"/>
  <c r="D905" i="1" s="1"/>
  <c r="E904" i="1"/>
  <c r="D904" i="1" s="1"/>
  <c r="E903" i="1"/>
  <c r="D903" i="1" s="1"/>
  <c r="E902" i="1"/>
  <c r="D902" i="1" s="1"/>
  <c r="E901" i="1"/>
  <c r="D901" i="1" s="1"/>
  <c r="E900" i="1"/>
  <c r="D900" i="1" s="1"/>
  <c r="E899" i="1"/>
  <c r="D899" i="1" s="1"/>
  <c r="E898" i="1"/>
  <c r="D898" i="1" s="1"/>
  <c r="E897" i="1"/>
  <c r="D897" i="1" s="1"/>
  <c r="E896" i="1"/>
  <c r="D896" i="1" s="1"/>
  <c r="E895" i="1"/>
  <c r="D895" i="1" s="1"/>
  <c r="E894" i="1"/>
  <c r="D894" i="1" s="1"/>
  <c r="E893" i="1"/>
  <c r="D893" i="1" s="1"/>
  <c r="E892" i="1"/>
  <c r="D892" i="1" s="1"/>
  <c r="E891" i="1"/>
  <c r="D891" i="1" s="1"/>
  <c r="E890" i="1"/>
  <c r="D890" i="1" s="1"/>
  <c r="E889" i="1"/>
  <c r="D889" i="1" s="1"/>
  <c r="E888" i="1"/>
  <c r="D888" i="1" s="1"/>
  <c r="E887" i="1"/>
  <c r="D887" i="1" s="1"/>
  <c r="E886" i="1"/>
  <c r="D886" i="1" s="1"/>
  <c r="E885" i="1"/>
  <c r="D885" i="1" s="1"/>
  <c r="E884" i="1"/>
  <c r="D884" i="1" s="1"/>
  <c r="E883" i="1"/>
  <c r="D883" i="1" s="1"/>
  <c r="E882" i="1"/>
  <c r="D882" i="1" s="1"/>
  <c r="E881" i="1"/>
  <c r="D881" i="1" s="1"/>
  <c r="E880" i="1"/>
  <c r="D880" i="1" s="1"/>
  <c r="E879" i="1"/>
  <c r="D879" i="1" s="1"/>
  <c r="E878" i="1"/>
  <c r="D878" i="1" s="1"/>
  <c r="E877" i="1"/>
  <c r="D877" i="1" s="1"/>
  <c r="E876" i="1"/>
  <c r="D876" i="1" s="1"/>
  <c r="E875" i="1"/>
  <c r="D875" i="1" s="1"/>
  <c r="E874" i="1"/>
  <c r="D874" i="1" s="1"/>
  <c r="E873" i="1"/>
  <c r="D873" i="1" s="1"/>
  <c r="E872" i="1"/>
  <c r="D872" i="1" s="1"/>
  <c r="E871" i="1"/>
  <c r="D871" i="1" s="1"/>
  <c r="E870" i="1"/>
  <c r="D870" i="1" s="1"/>
  <c r="E869" i="1"/>
  <c r="D869" i="1" s="1"/>
  <c r="E868" i="1"/>
  <c r="D868" i="1" s="1"/>
  <c r="E867" i="1"/>
  <c r="D867" i="1" s="1"/>
  <c r="E866" i="1"/>
  <c r="D866" i="1" s="1"/>
  <c r="E865" i="1"/>
  <c r="D865" i="1" s="1"/>
  <c r="E864" i="1"/>
  <c r="D864" i="1" s="1"/>
  <c r="E863" i="1"/>
  <c r="D863" i="1" s="1"/>
  <c r="E862" i="1"/>
  <c r="D862" i="1" s="1"/>
  <c r="E861" i="1"/>
  <c r="D861" i="1" s="1"/>
  <c r="E860" i="1"/>
  <c r="D860" i="1" s="1"/>
  <c r="E859" i="1"/>
  <c r="D859" i="1" s="1"/>
  <c r="E858" i="1"/>
  <c r="D858" i="1" s="1"/>
  <c r="E857" i="1"/>
  <c r="D857" i="1" s="1"/>
  <c r="E856" i="1"/>
  <c r="D856" i="1" s="1"/>
  <c r="E855" i="1"/>
  <c r="D855" i="1" s="1"/>
  <c r="E854" i="1"/>
  <c r="D854" i="1" s="1"/>
  <c r="E853" i="1"/>
  <c r="D853" i="1" s="1"/>
  <c r="E852" i="1"/>
  <c r="D852" i="1" s="1"/>
  <c r="E851" i="1"/>
  <c r="D851" i="1" s="1"/>
  <c r="E850" i="1"/>
  <c r="D850" i="1" s="1"/>
  <c r="E849" i="1"/>
  <c r="D849" i="1" s="1"/>
  <c r="E848" i="1"/>
  <c r="D848" i="1" s="1"/>
  <c r="E847" i="1"/>
  <c r="D847" i="1" s="1"/>
  <c r="E846" i="1"/>
  <c r="D846" i="1" s="1"/>
  <c r="E845" i="1"/>
  <c r="D845" i="1" s="1"/>
  <c r="E844" i="1"/>
  <c r="D844" i="1" s="1"/>
  <c r="E843" i="1"/>
  <c r="D843" i="1" s="1"/>
  <c r="E842" i="1"/>
  <c r="D842" i="1" s="1"/>
  <c r="E841" i="1"/>
  <c r="D841" i="1" s="1"/>
  <c r="E840" i="1"/>
  <c r="D840" i="1" s="1"/>
  <c r="E839" i="1"/>
  <c r="D839" i="1" s="1"/>
  <c r="E838" i="1"/>
  <c r="D838" i="1" s="1"/>
  <c r="E837" i="1"/>
  <c r="D837" i="1" s="1"/>
  <c r="E836" i="1"/>
  <c r="D836" i="1" s="1"/>
  <c r="E835" i="1"/>
  <c r="D835" i="1" s="1"/>
  <c r="E834" i="1"/>
  <c r="D834" i="1" s="1"/>
  <c r="E833" i="1"/>
  <c r="D833" i="1" s="1"/>
  <c r="E832" i="1"/>
  <c r="D832" i="1" s="1"/>
  <c r="E831" i="1"/>
  <c r="D831" i="1" s="1"/>
  <c r="E830" i="1"/>
  <c r="D830" i="1" s="1"/>
  <c r="E829" i="1"/>
  <c r="D829" i="1" s="1"/>
  <c r="E828" i="1"/>
  <c r="D828" i="1" s="1"/>
  <c r="E827" i="1"/>
  <c r="D827" i="1" s="1"/>
  <c r="E826" i="1"/>
  <c r="D826" i="1" s="1"/>
  <c r="E825" i="1"/>
  <c r="D825" i="1" s="1"/>
  <c r="E824" i="1"/>
  <c r="D824" i="1" s="1"/>
  <c r="E823" i="1"/>
  <c r="D823" i="1" s="1"/>
  <c r="E822" i="1"/>
  <c r="D822" i="1" s="1"/>
  <c r="E821" i="1"/>
  <c r="D821" i="1" s="1"/>
  <c r="E820" i="1"/>
  <c r="D820" i="1" s="1"/>
  <c r="E819" i="1"/>
  <c r="D819" i="1" s="1"/>
  <c r="E818" i="1"/>
  <c r="D818" i="1" s="1"/>
  <c r="E817" i="1"/>
  <c r="D817" i="1" s="1"/>
  <c r="E816" i="1"/>
  <c r="D816" i="1" s="1"/>
  <c r="E815" i="1"/>
  <c r="D815" i="1" s="1"/>
  <c r="E814" i="1"/>
  <c r="D814" i="1" s="1"/>
  <c r="E813" i="1"/>
  <c r="D813" i="1" s="1"/>
  <c r="E812" i="1"/>
  <c r="D812" i="1" s="1"/>
  <c r="E811" i="1"/>
  <c r="D811" i="1" s="1"/>
  <c r="E810" i="1"/>
  <c r="D810" i="1" s="1"/>
  <c r="E809" i="1"/>
  <c r="D809" i="1" s="1"/>
  <c r="E808" i="1"/>
  <c r="D808" i="1" s="1"/>
  <c r="E807" i="1"/>
  <c r="D807" i="1" s="1"/>
  <c r="E806" i="1"/>
  <c r="D806" i="1" s="1"/>
  <c r="E805" i="1"/>
  <c r="D805" i="1" s="1"/>
  <c r="E804" i="1"/>
  <c r="D804" i="1" s="1"/>
  <c r="E803" i="1"/>
  <c r="D803" i="1" s="1"/>
  <c r="E802" i="1"/>
  <c r="D802" i="1" s="1"/>
  <c r="E801" i="1"/>
  <c r="D801" i="1" s="1"/>
  <c r="E800" i="1"/>
  <c r="D800" i="1" s="1"/>
  <c r="E799" i="1"/>
  <c r="D799" i="1" s="1"/>
  <c r="E798" i="1"/>
  <c r="D798" i="1" s="1"/>
  <c r="E797" i="1"/>
  <c r="D797" i="1" s="1"/>
  <c r="E796" i="1"/>
  <c r="D796" i="1" s="1"/>
  <c r="E795" i="1"/>
  <c r="D795" i="1" s="1"/>
  <c r="E794" i="1"/>
  <c r="D794" i="1" s="1"/>
  <c r="E793" i="1"/>
  <c r="D793" i="1" s="1"/>
  <c r="E792" i="1"/>
  <c r="D792" i="1" s="1"/>
  <c r="E791" i="1"/>
  <c r="D791" i="1" s="1"/>
  <c r="E790" i="1"/>
  <c r="D790" i="1" s="1"/>
  <c r="E789" i="1"/>
  <c r="D789" i="1" s="1"/>
  <c r="E788" i="1"/>
  <c r="D788" i="1" s="1"/>
  <c r="E787" i="1"/>
  <c r="D787" i="1" s="1"/>
  <c r="E786" i="1"/>
  <c r="D786" i="1" s="1"/>
  <c r="E785" i="1"/>
  <c r="D785" i="1" s="1"/>
  <c r="E784" i="1"/>
  <c r="D784" i="1" s="1"/>
  <c r="E783" i="1"/>
  <c r="D783" i="1" s="1"/>
  <c r="E782" i="1"/>
  <c r="D782" i="1" s="1"/>
  <c r="E781" i="1"/>
  <c r="D781" i="1" s="1"/>
  <c r="E780" i="1"/>
  <c r="D780" i="1" s="1"/>
  <c r="E779" i="1"/>
  <c r="D779" i="1" s="1"/>
  <c r="E778" i="1"/>
  <c r="D778" i="1" s="1"/>
  <c r="E777" i="1"/>
  <c r="D777" i="1" s="1"/>
  <c r="E776" i="1"/>
  <c r="D776" i="1" s="1"/>
  <c r="E775" i="1"/>
  <c r="D775" i="1" s="1"/>
  <c r="E774" i="1"/>
  <c r="D774" i="1" s="1"/>
  <c r="E773" i="1"/>
  <c r="D773" i="1" s="1"/>
  <c r="E772" i="1"/>
  <c r="D772" i="1" s="1"/>
  <c r="E771" i="1"/>
  <c r="D771" i="1" s="1"/>
  <c r="E770" i="1"/>
  <c r="D770" i="1" s="1"/>
  <c r="E769" i="1"/>
  <c r="D769" i="1" s="1"/>
  <c r="E768" i="1"/>
  <c r="D768" i="1" s="1"/>
  <c r="E767" i="1"/>
  <c r="D767" i="1" s="1"/>
  <c r="E766" i="1"/>
  <c r="D766" i="1" s="1"/>
  <c r="E765" i="1"/>
  <c r="D765" i="1" s="1"/>
  <c r="E764" i="1"/>
  <c r="D764" i="1" s="1"/>
  <c r="E763" i="1"/>
  <c r="D763" i="1" s="1"/>
  <c r="E762" i="1"/>
  <c r="D762" i="1" s="1"/>
  <c r="E761" i="1"/>
  <c r="D761" i="1" s="1"/>
  <c r="E760" i="1"/>
  <c r="D760" i="1" s="1"/>
  <c r="E759" i="1"/>
  <c r="D759" i="1" s="1"/>
  <c r="E758" i="1"/>
  <c r="D758" i="1" s="1"/>
  <c r="E757" i="1"/>
  <c r="D757" i="1" s="1"/>
  <c r="E756" i="1"/>
  <c r="D756" i="1" s="1"/>
  <c r="E755" i="1"/>
  <c r="D755" i="1" s="1"/>
  <c r="E754" i="1"/>
  <c r="D754" i="1" s="1"/>
  <c r="E753" i="1"/>
  <c r="D753" i="1" s="1"/>
  <c r="E752" i="1"/>
  <c r="D752" i="1" s="1"/>
  <c r="E751" i="1"/>
  <c r="D751" i="1" s="1"/>
  <c r="E750" i="1"/>
  <c r="D750" i="1" s="1"/>
  <c r="E749" i="1"/>
  <c r="D749" i="1" s="1"/>
  <c r="E748" i="1"/>
  <c r="D748" i="1" s="1"/>
  <c r="E747" i="1"/>
  <c r="D747" i="1" s="1"/>
  <c r="E746" i="1"/>
  <c r="D746" i="1" s="1"/>
  <c r="E745" i="1"/>
  <c r="D745" i="1" s="1"/>
  <c r="E744" i="1"/>
  <c r="D744" i="1" s="1"/>
  <c r="E743" i="1"/>
  <c r="D743" i="1" s="1"/>
  <c r="E742" i="1"/>
  <c r="D742" i="1" s="1"/>
  <c r="E741" i="1"/>
  <c r="D741" i="1" s="1"/>
  <c r="E740" i="1"/>
  <c r="D740" i="1" s="1"/>
  <c r="E739" i="1"/>
  <c r="D739" i="1" s="1"/>
  <c r="E738" i="1"/>
  <c r="D738" i="1" s="1"/>
  <c r="E737" i="1"/>
  <c r="D737" i="1" s="1"/>
  <c r="E736" i="1"/>
  <c r="D736" i="1" s="1"/>
  <c r="E735" i="1"/>
  <c r="D735" i="1" s="1"/>
  <c r="E734" i="1"/>
  <c r="D734" i="1" s="1"/>
  <c r="E733" i="1"/>
  <c r="D733" i="1" s="1"/>
  <c r="E732" i="1"/>
  <c r="D732" i="1" s="1"/>
  <c r="E731" i="1"/>
  <c r="D731" i="1" s="1"/>
  <c r="E730" i="1"/>
  <c r="D730" i="1" s="1"/>
  <c r="E729" i="1"/>
  <c r="D729" i="1" s="1"/>
  <c r="E728" i="1"/>
  <c r="D728" i="1" s="1"/>
  <c r="E727" i="1"/>
  <c r="D727" i="1" s="1"/>
  <c r="E726" i="1"/>
  <c r="D726" i="1" s="1"/>
  <c r="E725" i="1"/>
  <c r="D725" i="1" s="1"/>
  <c r="E724" i="1"/>
  <c r="D724" i="1" s="1"/>
  <c r="E723" i="1"/>
  <c r="D723" i="1" s="1"/>
  <c r="E722" i="1"/>
  <c r="D722" i="1" s="1"/>
  <c r="E721" i="1"/>
  <c r="D721" i="1" s="1"/>
  <c r="E720" i="1"/>
  <c r="D720" i="1" s="1"/>
  <c r="E719" i="1"/>
  <c r="D719" i="1" s="1"/>
  <c r="E718" i="1"/>
  <c r="D718" i="1" s="1"/>
  <c r="E717" i="1"/>
  <c r="D717" i="1" s="1"/>
  <c r="E716" i="1"/>
  <c r="D716" i="1" s="1"/>
  <c r="E715" i="1"/>
  <c r="D715" i="1" s="1"/>
  <c r="E714" i="1"/>
  <c r="D714" i="1" s="1"/>
  <c r="E713" i="1"/>
  <c r="D713" i="1" s="1"/>
  <c r="E712" i="1"/>
  <c r="D712" i="1" s="1"/>
  <c r="E711" i="1"/>
  <c r="D711" i="1" s="1"/>
  <c r="E710" i="1"/>
  <c r="D710" i="1" s="1"/>
  <c r="E709" i="1"/>
  <c r="D709" i="1" s="1"/>
  <c r="E708" i="1"/>
  <c r="D708" i="1" s="1"/>
  <c r="E707" i="1"/>
  <c r="D707" i="1" s="1"/>
  <c r="E706" i="1"/>
  <c r="D706" i="1" s="1"/>
  <c r="E705" i="1"/>
  <c r="D705" i="1" s="1"/>
  <c r="E704" i="1"/>
  <c r="D704" i="1" s="1"/>
  <c r="E703" i="1"/>
  <c r="D703" i="1" s="1"/>
  <c r="E702" i="1"/>
  <c r="D702" i="1" s="1"/>
  <c r="E701" i="1"/>
  <c r="D701" i="1" s="1"/>
  <c r="E700" i="1"/>
  <c r="D700" i="1" s="1"/>
  <c r="E699" i="1"/>
  <c r="D699" i="1" s="1"/>
  <c r="E698" i="1"/>
  <c r="D698" i="1" s="1"/>
  <c r="E697" i="1"/>
  <c r="D697" i="1" s="1"/>
  <c r="E696" i="1"/>
  <c r="D696" i="1" s="1"/>
  <c r="E695" i="1"/>
  <c r="D695" i="1" s="1"/>
  <c r="E694" i="1"/>
  <c r="D694" i="1" s="1"/>
  <c r="E693" i="1"/>
  <c r="D693" i="1" s="1"/>
  <c r="E692" i="1"/>
  <c r="D692" i="1" s="1"/>
  <c r="E691" i="1"/>
  <c r="D691" i="1" s="1"/>
  <c r="E690" i="1"/>
  <c r="D690" i="1" s="1"/>
  <c r="E689" i="1"/>
  <c r="D689" i="1" s="1"/>
  <c r="E688" i="1"/>
  <c r="D688" i="1" s="1"/>
  <c r="E687" i="1"/>
  <c r="D687" i="1" s="1"/>
  <c r="E686" i="1"/>
  <c r="D686" i="1" s="1"/>
  <c r="E685" i="1"/>
  <c r="D685" i="1" s="1"/>
  <c r="E684" i="1"/>
  <c r="D684" i="1" s="1"/>
  <c r="E683" i="1"/>
  <c r="D683" i="1" s="1"/>
  <c r="E682" i="1"/>
  <c r="D682" i="1" s="1"/>
  <c r="E681" i="1"/>
  <c r="D681" i="1" s="1"/>
  <c r="E680" i="1"/>
  <c r="D680" i="1" s="1"/>
  <c r="E679" i="1"/>
  <c r="D679" i="1" s="1"/>
  <c r="E678" i="1"/>
  <c r="D678" i="1" s="1"/>
  <c r="E677" i="1"/>
  <c r="D677" i="1" s="1"/>
  <c r="E676" i="1"/>
  <c r="D676" i="1" s="1"/>
  <c r="E675" i="1"/>
  <c r="D675" i="1" s="1"/>
  <c r="E674" i="1"/>
  <c r="D674" i="1" s="1"/>
  <c r="E673" i="1"/>
  <c r="D673" i="1" s="1"/>
  <c r="E672" i="1"/>
  <c r="D672" i="1" s="1"/>
  <c r="E671" i="1"/>
  <c r="D671" i="1" s="1"/>
  <c r="E670" i="1"/>
  <c r="D670" i="1" s="1"/>
  <c r="E669" i="1"/>
  <c r="D669" i="1" s="1"/>
  <c r="E668" i="1"/>
  <c r="D668" i="1" s="1"/>
  <c r="E667" i="1"/>
  <c r="D667" i="1" s="1"/>
  <c r="E666" i="1"/>
  <c r="D666" i="1" s="1"/>
  <c r="E665" i="1"/>
  <c r="D665" i="1" s="1"/>
  <c r="E664" i="1"/>
  <c r="D664" i="1" s="1"/>
  <c r="E663" i="1"/>
  <c r="D663" i="1" s="1"/>
  <c r="E662" i="1"/>
  <c r="D662" i="1" s="1"/>
  <c r="E661" i="1"/>
  <c r="D661" i="1" s="1"/>
  <c r="E660" i="1"/>
  <c r="D660" i="1" s="1"/>
  <c r="E659" i="1"/>
  <c r="D659" i="1" s="1"/>
  <c r="E658" i="1"/>
  <c r="D658" i="1" s="1"/>
  <c r="E657" i="1"/>
  <c r="D657" i="1" s="1"/>
  <c r="E656" i="1"/>
  <c r="D656" i="1" s="1"/>
  <c r="E655" i="1"/>
  <c r="D655" i="1" s="1"/>
  <c r="E654" i="1"/>
  <c r="D654" i="1" s="1"/>
  <c r="E653" i="1"/>
  <c r="D653" i="1" s="1"/>
  <c r="E652" i="1"/>
  <c r="D652" i="1" s="1"/>
  <c r="E651" i="1"/>
  <c r="D651" i="1" s="1"/>
  <c r="E650" i="1"/>
  <c r="D650" i="1" s="1"/>
  <c r="E649" i="1"/>
  <c r="D649" i="1" s="1"/>
  <c r="E648" i="1"/>
  <c r="D648" i="1" s="1"/>
  <c r="E647" i="1"/>
  <c r="D647" i="1" s="1"/>
  <c r="E646" i="1"/>
  <c r="D646" i="1" s="1"/>
  <c r="E645" i="1"/>
  <c r="D645" i="1" s="1"/>
  <c r="E644" i="1"/>
  <c r="D644" i="1" s="1"/>
  <c r="E643" i="1"/>
  <c r="D643" i="1" s="1"/>
  <c r="E642" i="1"/>
  <c r="D642" i="1" s="1"/>
  <c r="E641" i="1"/>
  <c r="D641" i="1" s="1"/>
  <c r="E640" i="1"/>
  <c r="D640" i="1" s="1"/>
  <c r="E639" i="1"/>
  <c r="D639" i="1" s="1"/>
  <c r="E638" i="1"/>
  <c r="D638" i="1" s="1"/>
  <c r="E637" i="1"/>
  <c r="D637" i="1" s="1"/>
  <c r="E636" i="1"/>
  <c r="D636" i="1" s="1"/>
  <c r="E635" i="1"/>
  <c r="D635" i="1" s="1"/>
  <c r="E634" i="1"/>
  <c r="D634" i="1" s="1"/>
  <c r="E633" i="1"/>
  <c r="D633" i="1" s="1"/>
  <c r="E632" i="1"/>
  <c r="D632" i="1" s="1"/>
  <c r="E631" i="1"/>
  <c r="D631" i="1" s="1"/>
  <c r="E630" i="1"/>
  <c r="D630" i="1" s="1"/>
  <c r="E629" i="1"/>
  <c r="D629" i="1" s="1"/>
  <c r="E628" i="1"/>
  <c r="D628" i="1" s="1"/>
  <c r="E627" i="1"/>
  <c r="D627" i="1" s="1"/>
  <c r="E626" i="1"/>
  <c r="D626" i="1" s="1"/>
  <c r="E625" i="1"/>
  <c r="D625" i="1" s="1"/>
  <c r="E624" i="1"/>
  <c r="D624" i="1" s="1"/>
  <c r="E623" i="1"/>
  <c r="D623" i="1" s="1"/>
  <c r="E622" i="1"/>
  <c r="D622" i="1" s="1"/>
  <c r="E621" i="1"/>
  <c r="D621" i="1" s="1"/>
  <c r="E620" i="1"/>
  <c r="D620" i="1" s="1"/>
  <c r="E619" i="1"/>
  <c r="D619" i="1" s="1"/>
  <c r="E618" i="1"/>
  <c r="D618" i="1" s="1"/>
  <c r="E617" i="1"/>
  <c r="D617" i="1" s="1"/>
  <c r="E616" i="1"/>
  <c r="D616" i="1" s="1"/>
  <c r="E615" i="1"/>
  <c r="D615" i="1" s="1"/>
  <c r="E614" i="1"/>
  <c r="D614" i="1" s="1"/>
  <c r="E613" i="1"/>
  <c r="D613" i="1" s="1"/>
  <c r="E612" i="1"/>
  <c r="D612" i="1" s="1"/>
  <c r="E611" i="1"/>
  <c r="D611" i="1" s="1"/>
  <c r="E610" i="1"/>
  <c r="D610" i="1" s="1"/>
  <c r="E609" i="1"/>
  <c r="D609" i="1" s="1"/>
  <c r="E608" i="1"/>
  <c r="D608" i="1" s="1"/>
  <c r="E607" i="1"/>
  <c r="D607" i="1" s="1"/>
  <c r="E606" i="1"/>
  <c r="D606" i="1" s="1"/>
  <c r="E605" i="1"/>
  <c r="D605" i="1" s="1"/>
  <c r="E604" i="1"/>
  <c r="D604" i="1" s="1"/>
  <c r="E603" i="1"/>
  <c r="D603" i="1" s="1"/>
  <c r="E602" i="1"/>
  <c r="D602" i="1" s="1"/>
  <c r="E601" i="1"/>
  <c r="D601" i="1" s="1"/>
  <c r="E600" i="1"/>
  <c r="D600" i="1" s="1"/>
  <c r="E599" i="1"/>
  <c r="D599" i="1" s="1"/>
  <c r="E598" i="1"/>
  <c r="D598" i="1" s="1"/>
  <c r="E597" i="1"/>
  <c r="D597" i="1" s="1"/>
  <c r="E596" i="1"/>
  <c r="D596" i="1" s="1"/>
  <c r="E595" i="1"/>
  <c r="D595" i="1" s="1"/>
  <c r="E594" i="1"/>
  <c r="D594" i="1" s="1"/>
  <c r="E593" i="1"/>
  <c r="D593" i="1" s="1"/>
  <c r="E592" i="1"/>
  <c r="D592" i="1" s="1"/>
  <c r="E591" i="1"/>
  <c r="D591" i="1" s="1"/>
  <c r="E590" i="1"/>
  <c r="D590" i="1" s="1"/>
  <c r="E589" i="1"/>
  <c r="D589" i="1" s="1"/>
  <c r="E588" i="1"/>
  <c r="D588" i="1" s="1"/>
  <c r="E587" i="1"/>
  <c r="D587" i="1" s="1"/>
  <c r="E586" i="1"/>
  <c r="D586" i="1" s="1"/>
  <c r="E585" i="1"/>
  <c r="D585" i="1" s="1"/>
  <c r="E584" i="1"/>
  <c r="D584" i="1" s="1"/>
  <c r="E583" i="1"/>
  <c r="D583" i="1" s="1"/>
  <c r="E582" i="1"/>
  <c r="D582" i="1" s="1"/>
  <c r="E581" i="1"/>
  <c r="D581" i="1" s="1"/>
  <c r="E580" i="1"/>
  <c r="D580" i="1" s="1"/>
  <c r="E579" i="1"/>
  <c r="D579" i="1" s="1"/>
  <c r="E578" i="1"/>
  <c r="D578" i="1" s="1"/>
  <c r="E577" i="1"/>
  <c r="D577" i="1" s="1"/>
  <c r="E576" i="1"/>
  <c r="D576" i="1" s="1"/>
  <c r="E575" i="1"/>
  <c r="D575" i="1" s="1"/>
  <c r="E574" i="1"/>
  <c r="D574" i="1" s="1"/>
  <c r="E573" i="1"/>
  <c r="D573" i="1" s="1"/>
  <c r="E572" i="1"/>
  <c r="D572" i="1" s="1"/>
  <c r="E571" i="1"/>
  <c r="D571" i="1" s="1"/>
  <c r="E570" i="1"/>
  <c r="D570" i="1" s="1"/>
  <c r="E569" i="1"/>
  <c r="D569" i="1" s="1"/>
  <c r="E568" i="1"/>
  <c r="D568" i="1" s="1"/>
  <c r="E567" i="1"/>
  <c r="D567" i="1" s="1"/>
  <c r="E566" i="1"/>
  <c r="D566" i="1" s="1"/>
  <c r="E565" i="1"/>
  <c r="D565" i="1" s="1"/>
  <c r="E564" i="1"/>
  <c r="D564" i="1" s="1"/>
  <c r="E563" i="1"/>
  <c r="D563" i="1" s="1"/>
  <c r="E562" i="1"/>
  <c r="D562" i="1" s="1"/>
  <c r="E561" i="1"/>
  <c r="D561" i="1" s="1"/>
  <c r="E560" i="1"/>
  <c r="D560" i="1" s="1"/>
  <c r="E559" i="1"/>
  <c r="D559" i="1" s="1"/>
  <c r="E558" i="1"/>
  <c r="D558" i="1" s="1"/>
  <c r="E557" i="1"/>
  <c r="D557" i="1" s="1"/>
  <c r="E556" i="1"/>
  <c r="D556" i="1" s="1"/>
  <c r="E555" i="1"/>
  <c r="D555" i="1" s="1"/>
  <c r="E554" i="1"/>
  <c r="D554" i="1" s="1"/>
  <c r="E553" i="1"/>
  <c r="D553" i="1" s="1"/>
  <c r="E552" i="1"/>
  <c r="D552" i="1" s="1"/>
  <c r="E551" i="1"/>
  <c r="D551" i="1" s="1"/>
  <c r="E550" i="1"/>
  <c r="D550" i="1" s="1"/>
  <c r="E549" i="1"/>
  <c r="D549" i="1" s="1"/>
  <c r="E548" i="1"/>
  <c r="D548" i="1" s="1"/>
  <c r="E547" i="1"/>
  <c r="D547" i="1" s="1"/>
  <c r="E546" i="1"/>
  <c r="D546" i="1" s="1"/>
  <c r="E545" i="1"/>
  <c r="D545" i="1" s="1"/>
  <c r="E544" i="1"/>
  <c r="D544" i="1" s="1"/>
  <c r="E543" i="1"/>
  <c r="D543" i="1" s="1"/>
  <c r="E542" i="1"/>
  <c r="D542" i="1" s="1"/>
  <c r="E541" i="1"/>
  <c r="D541" i="1" s="1"/>
  <c r="E540" i="1"/>
  <c r="D540" i="1" s="1"/>
  <c r="E539" i="1"/>
  <c r="D539" i="1" s="1"/>
  <c r="E538" i="1"/>
  <c r="D538" i="1" s="1"/>
  <c r="E537" i="1"/>
  <c r="D537" i="1" s="1"/>
  <c r="E536" i="1"/>
  <c r="D536" i="1" s="1"/>
  <c r="E535" i="1"/>
  <c r="D535" i="1" s="1"/>
  <c r="E534" i="1"/>
  <c r="D534" i="1" s="1"/>
  <c r="E533" i="1"/>
  <c r="D533" i="1" s="1"/>
  <c r="E532" i="1"/>
  <c r="D532" i="1" s="1"/>
  <c r="E531" i="1"/>
  <c r="D531" i="1" s="1"/>
  <c r="E530" i="1"/>
  <c r="D530" i="1" s="1"/>
  <c r="E529" i="1"/>
  <c r="D529" i="1" s="1"/>
  <c r="E528" i="1"/>
  <c r="D528" i="1" s="1"/>
  <c r="E527" i="1"/>
  <c r="D527" i="1" s="1"/>
  <c r="E526" i="1"/>
  <c r="D526" i="1" s="1"/>
  <c r="E525" i="1"/>
  <c r="D525" i="1" s="1"/>
  <c r="E524" i="1"/>
  <c r="D524" i="1" s="1"/>
  <c r="E523" i="1"/>
  <c r="D523" i="1" s="1"/>
  <c r="E522" i="1"/>
  <c r="D522" i="1" s="1"/>
  <c r="E521" i="1"/>
  <c r="D521" i="1" s="1"/>
  <c r="E520" i="1"/>
  <c r="D520" i="1" s="1"/>
  <c r="E519" i="1"/>
  <c r="D519" i="1" s="1"/>
  <c r="E518" i="1"/>
  <c r="D518" i="1" s="1"/>
  <c r="E517" i="1"/>
  <c r="D517" i="1" s="1"/>
  <c r="E516" i="1"/>
  <c r="D516" i="1" s="1"/>
  <c r="E515" i="1"/>
  <c r="D515" i="1" s="1"/>
  <c r="E514" i="1"/>
  <c r="D514" i="1" s="1"/>
  <c r="E513" i="1"/>
  <c r="D513" i="1" s="1"/>
  <c r="E512" i="1"/>
  <c r="D512" i="1" s="1"/>
  <c r="E511" i="1"/>
  <c r="D511" i="1" s="1"/>
  <c r="E510" i="1"/>
  <c r="D510" i="1" s="1"/>
  <c r="E509" i="1"/>
  <c r="D509" i="1" s="1"/>
  <c r="E508" i="1"/>
  <c r="D508" i="1" s="1"/>
  <c r="E507" i="1"/>
  <c r="D507" i="1" s="1"/>
  <c r="E506" i="1"/>
  <c r="D506" i="1" s="1"/>
  <c r="E505" i="1"/>
  <c r="D505" i="1" s="1"/>
  <c r="E504" i="1"/>
  <c r="D504" i="1" s="1"/>
  <c r="E503" i="1"/>
  <c r="D503" i="1" s="1"/>
  <c r="E502" i="1"/>
  <c r="D502" i="1" s="1"/>
  <c r="E501" i="1"/>
  <c r="D501" i="1" s="1"/>
  <c r="E500" i="1"/>
  <c r="D500" i="1" s="1"/>
  <c r="E499" i="1"/>
  <c r="D499" i="1" s="1"/>
  <c r="E498" i="1"/>
  <c r="D498" i="1" s="1"/>
  <c r="E497" i="1"/>
  <c r="D497" i="1" s="1"/>
  <c r="E496" i="1"/>
  <c r="D496" i="1" s="1"/>
  <c r="E495" i="1"/>
  <c r="D495" i="1" s="1"/>
  <c r="E494" i="1"/>
  <c r="D494" i="1" s="1"/>
  <c r="E493" i="1"/>
  <c r="D493" i="1" s="1"/>
  <c r="E492" i="1"/>
  <c r="D492" i="1" s="1"/>
  <c r="E491" i="1"/>
  <c r="D491" i="1" s="1"/>
  <c r="E490" i="1"/>
  <c r="D490" i="1" s="1"/>
  <c r="E489" i="1"/>
  <c r="D489" i="1" s="1"/>
  <c r="E488" i="1"/>
  <c r="D488" i="1" s="1"/>
  <c r="E487" i="1"/>
  <c r="D487" i="1" s="1"/>
  <c r="E486" i="1"/>
  <c r="D486" i="1" s="1"/>
  <c r="E485" i="1"/>
  <c r="D485" i="1" s="1"/>
  <c r="E484" i="1"/>
  <c r="D484" i="1" s="1"/>
  <c r="E483" i="1"/>
  <c r="D483" i="1" s="1"/>
  <c r="E482" i="1"/>
  <c r="D482" i="1" s="1"/>
  <c r="E481" i="1"/>
  <c r="D481" i="1" s="1"/>
  <c r="E480" i="1"/>
  <c r="D480" i="1" s="1"/>
  <c r="E479" i="1"/>
  <c r="D479" i="1" s="1"/>
  <c r="E478" i="1"/>
  <c r="D478" i="1" s="1"/>
  <c r="E477" i="1"/>
  <c r="D477" i="1" s="1"/>
  <c r="E476" i="1"/>
  <c r="D476" i="1" s="1"/>
  <c r="E475" i="1"/>
  <c r="D475" i="1" s="1"/>
  <c r="E474" i="1"/>
  <c r="D474" i="1" s="1"/>
  <c r="E473" i="1"/>
  <c r="D473" i="1" s="1"/>
  <c r="E472" i="1"/>
  <c r="D472" i="1" s="1"/>
  <c r="E471" i="1"/>
  <c r="D471" i="1" s="1"/>
  <c r="E470" i="1"/>
  <c r="D470" i="1" s="1"/>
  <c r="E469" i="1"/>
  <c r="D469" i="1" s="1"/>
  <c r="E468" i="1"/>
  <c r="D468" i="1" s="1"/>
  <c r="E467" i="1"/>
  <c r="D467" i="1" s="1"/>
  <c r="E466" i="1"/>
  <c r="D466" i="1" s="1"/>
  <c r="E465" i="1"/>
  <c r="D465" i="1" s="1"/>
  <c r="E464" i="1"/>
  <c r="D464" i="1" s="1"/>
  <c r="E463" i="1"/>
  <c r="D463" i="1" s="1"/>
  <c r="E462" i="1"/>
  <c r="D462" i="1" s="1"/>
  <c r="E461" i="1"/>
  <c r="D461" i="1" s="1"/>
  <c r="E460" i="1"/>
  <c r="D460" i="1" s="1"/>
  <c r="E459" i="1"/>
  <c r="D459" i="1" s="1"/>
  <c r="E458" i="1"/>
  <c r="D458" i="1" s="1"/>
  <c r="E457" i="1"/>
  <c r="D457" i="1" s="1"/>
  <c r="E456" i="1"/>
  <c r="D456" i="1" s="1"/>
  <c r="E455" i="1"/>
  <c r="D455" i="1" s="1"/>
  <c r="E454" i="1"/>
  <c r="D454" i="1" s="1"/>
  <c r="E453" i="1"/>
  <c r="D453" i="1" s="1"/>
  <c r="E452" i="1"/>
  <c r="D452" i="1" s="1"/>
  <c r="E451" i="1"/>
  <c r="D451" i="1" s="1"/>
  <c r="E450" i="1"/>
  <c r="D450" i="1" s="1"/>
  <c r="E449" i="1"/>
  <c r="D449" i="1" s="1"/>
  <c r="E448" i="1"/>
  <c r="D448" i="1" s="1"/>
  <c r="E447" i="1"/>
  <c r="D447" i="1" s="1"/>
  <c r="E446" i="1"/>
  <c r="D446" i="1" s="1"/>
  <c r="E445" i="1"/>
  <c r="D445" i="1" s="1"/>
  <c r="E444" i="1"/>
  <c r="D444" i="1" s="1"/>
  <c r="E443" i="1"/>
  <c r="D443" i="1" s="1"/>
  <c r="E442" i="1"/>
  <c r="D442" i="1" s="1"/>
  <c r="E441" i="1"/>
  <c r="D441" i="1" s="1"/>
  <c r="E440" i="1"/>
  <c r="D440" i="1" s="1"/>
  <c r="E439" i="1"/>
  <c r="D439" i="1" s="1"/>
  <c r="E438" i="1"/>
  <c r="D438" i="1" s="1"/>
  <c r="E437" i="1"/>
  <c r="D437" i="1" s="1"/>
  <c r="E436" i="1"/>
  <c r="D436" i="1" s="1"/>
  <c r="E435" i="1"/>
  <c r="D435" i="1" s="1"/>
  <c r="E434" i="1"/>
  <c r="D434" i="1" s="1"/>
  <c r="E433" i="1"/>
  <c r="D433" i="1" s="1"/>
  <c r="E432" i="1"/>
  <c r="D432" i="1" s="1"/>
  <c r="E431" i="1"/>
  <c r="D431" i="1" s="1"/>
  <c r="E430" i="1"/>
  <c r="D430" i="1" s="1"/>
  <c r="E429" i="1"/>
  <c r="D429" i="1" s="1"/>
  <c r="E428" i="1"/>
  <c r="D428" i="1" s="1"/>
  <c r="E427" i="1"/>
  <c r="D427" i="1" s="1"/>
  <c r="E426" i="1"/>
  <c r="D426" i="1" s="1"/>
  <c r="E425" i="1"/>
  <c r="D425" i="1" s="1"/>
  <c r="E424" i="1"/>
  <c r="D424" i="1" s="1"/>
  <c r="E423" i="1"/>
  <c r="D423" i="1" s="1"/>
  <c r="E422" i="1"/>
  <c r="D422" i="1" s="1"/>
  <c r="E421" i="1"/>
  <c r="D421" i="1" s="1"/>
  <c r="E420" i="1"/>
  <c r="D420" i="1" s="1"/>
  <c r="E419" i="1"/>
  <c r="D419" i="1" s="1"/>
  <c r="E418" i="1"/>
  <c r="D418" i="1" s="1"/>
  <c r="E417" i="1"/>
  <c r="D417" i="1" s="1"/>
  <c r="E416" i="1"/>
  <c r="D416" i="1" s="1"/>
  <c r="E415" i="1"/>
  <c r="D415" i="1" s="1"/>
  <c r="E414" i="1"/>
  <c r="D414" i="1" s="1"/>
  <c r="E413" i="1"/>
  <c r="D413" i="1" s="1"/>
  <c r="E412" i="1"/>
  <c r="D412" i="1" s="1"/>
  <c r="E411" i="1"/>
  <c r="D411" i="1" s="1"/>
  <c r="E410" i="1"/>
  <c r="D410" i="1" s="1"/>
  <c r="E409" i="1"/>
  <c r="D409" i="1" s="1"/>
  <c r="E408" i="1"/>
  <c r="D408" i="1" s="1"/>
  <c r="E407" i="1"/>
  <c r="D407" i="1" s="1"/>
  <c r="E406" i="1"/>
  <c r="D406" i="1" s="1"/>
  <c r="E405" i="1"/>
  <c r="D405" i="1" s="1"/>
  <c r="E404" i="1"/>
  <c r="D404" i="1" s="1"/>
  <c r="E403" i="1"/>
  <c r="D403" i="1" s="1"/>
  <c r="E402" i="1"/>
  <c r="D402" i="1" s="1"/>
  <c r="E401" i="1"/>
  <c r="D401" i="1" s="1"/>
  <c r="E400" i="1"/>
  <c r="D400" i="1" s="1"/>
  <c r="E399" i="1"/>
  <c r="D399" i="1" s="1"/>
  <c r="E398" i="1"/>
  <c r="D398" i="1" s="1"/>
  <c r="E397" i="1"/>
  <c r="D397" i="1" s="1"/>
  <c r="E396" i="1"/>
  <c r="D396" i="1" s="1"/>
  <c r="E395" i="1"/>
  <c r="D395" i="1" s="1"/>
  <c r="E394" i="1"/>
  <c r="D394" i="1" s="1"/>
  <c r="E393" i="1"/>
  <c r="D393" i="1" s="1"/>
  <c r="E392" i="1"/>
  <c r="D392" i="1" s="1"/>
  <c r="E391" i="1"/>
  <c r="D391" i="1" s="1"/>
  <c r="E390" i="1"/>
  <c r="D390" i="1" s="1"/>
  <c r="E389" i="1"/>
  <c r="D389" i="1" s="1"/>
  <c r="E388" i="1"/>
  <c r="D388" i="1" s="1"/>
  <c r="E387" i="1"/>
  <c r="D387" i="1" s="1"/>
  <c r="E386" i="1"/>
  <c r="D386" i="1" s="1"/>
  <c r="E385" i="1"/>
  <c r="D385" i="1" s="1"/>
  <c r="E384" i="1"/>
  <c r="D384" i="1" s="1"/>
  <c r="E383" i="1"/>
  <c r="D383" i="1" s="1"/>
  <c r="E382" i="1"/>
  <c r="D382" i="1" s="1"/>
  <c r="E381" i="1"/>
  <c r="D381" i="1" s="1"/>
  <c r="E380" i="1"/>
  <c r="D380" i="1" s="1"/>
  <c r="E379" i="1"/>
  <c r="D379" i="1" s="1"/>
  <c r="E378" i="1"/>
  <c r="D378" i="1" s="1"/>
  <c r="E377" i="1"/>
  <c r="D377" i="1" s="1"/>
  <c r="E376" i="1"/>
  <c r="D376" i="1" s="1"/>
  <c r="E375" i="1"/>
  <c r="D375" i="1" s="1"/>
  <c r="E374" i="1"/>
  <c r="D374" i="1" s="1"/>
  <c r="E373" i="1"/>
  <c r="D373" i="1" s="1"/>
  <c r="E372" i="1"/>
  <c r="D372" i="1" s="1"/>
  <c r="E371" i="1"/>
  <c r="D371" i="1" s="1"/>
  <c r="E370" i="1"/>
  <c r="D370" i="1" s="1"/>
  <c r="E369" i="1"/>
  <c r="D369" i="1" s="1"/>
  <c r="E368" i="1"/>
  <c r="D368" i="1" s="1"/>
  <c r="E367" i="1"/>
  <c r="D367" i="1" s="1"/>
  <c r="E366" i="1"/>
  <c r="D366" i="1" s="1"/>
  <c r="E365" i="1"/>
  <c r="D365" i="1" s="1"/>
  <c r="E364" i="1"/>
  <c r="D364" i="1" s="1"/>
  <c r="E363" i="1"/>
  <c r="D363" i="1" s="1"/>
  <c r="E362" i="1"/>
  <c r="D362" i="1" s="1"/>
  <c r="E361" i="1"/>
  <c r="D361" i="1" s="1"/>
  <c r="E360" i="1"/>
  <c r="D360" i="1" s="1"/>
  <c r="E359" i="1"/>
  <c r="D359" i="1" s="1"/>
  <c r="E358" i="1"/>
  <c r="D358" i="1" s="1"/>
  <c r="E357" i="1"/>
  <c r="D357" i="1" s="1"/>
  <c r="E356" i="1"/>
  <c r="D356" i="1" s="1"/>
  <c r="E355" i="1"/>
  <c r="D355" i="1" s="1"/>
  <c r="E354" i="1"/>
  <c r="D354" i="1" s="1"/>
  <c r="E353" i="1"/>
  <c r="D353" i="1" s="1"/>
  <c r="E352" i="1"/>
  <c r="D352" i="1" s="1"/>
  <c r="E351" i="1"/>
  <c r="D351" i="1" s="1"/>
  <c r="E350" i="1"/>
  <c r="D350" i="1" s="1"/>
  <c r="E349" i="1"/>
  <c r="D349" i="1" s="1"/>
  <c r="E348" i="1"/>
  <c r="D348" i="1" s="1"/>
  <c r="E347" i="1"/>
  <c r="D347" i="1" s="1"/>
  <c r="E346" i="1"/>
  <c r="D346" i="1" s="1"/>
  <c r="E345" i="1"/>
  <c r="D345" i="1" s="1"/>
  <c r="E344" i="1"/>
  <c r="D344" i="1" s="1"/>
  <c r="E343" i="1"/>
  <c r="D343" i="1" s="1"/>
  <c r="E342" i="1"/>
  <c r="D342" i="1" s="1"/>
  <c r="E341" i="1"/>
  <c r="D341" i="1" s="1"/>
  <c r="E340" i="1"/>
  <c r="D340" i="1" s="1"/>
  <c r="E339" i="1"/>
  <c r="D339" i="1" s="1"/>
  <c r="E338" i="1"/>
  <c r="D338" i="1" s="1"/>
  <c r="E337" i="1"/>
  <c r="D337" i="1" s="1"/>
  <c r="E336" i="1"/>
  <c r="D336" i="1" s="1"/>
  <c r="E335" i="1"/>
  <c r="D335" i="1" s="1"/>
  <c r="E334" i="1"/>
  <c r="D334" i="1" s="1"/>
  <c r="E333" i="1"/>
  <c r="D333" i="1" s="1"/>
  <c r="E332" i="1"/>
  <c r="D332" i="1" s="1"/>
  <c r="E331" i="1"/>
  <c r="D331" i="1" s="1"/>
  <c r="E330" i="1"/>
  <c r="D330" i="1" s="1"/>
  <c r="E329" i="1"/>
  <c r="D329" i="1" s="1"/>
  <c r="E328" i="1"/>
  <c r="D328" i="1" s="1"/>
  <c r="E327" i="1"/>
  <c r="D327" i="1" s="1"/>
  <c r="E326" i="1"/>
  <c r="D326" i="1" s="1"/>
  <c r="E325" i="1"/>
  <c r="D325" i="1" s="1"/>
  <c r="E324" i="1"/>
  <c r="D324" i="1" s="1"/>
  <c r="E323" i="1"/>
  <c r="D323" i="1" s="1"/>
  <c r="E322" i="1"/>
  <c r="D322" i="1" s="1"/>
  <c r="E321" i="1"/>
  <c r="D321" i="1" s="1"/>
  <c r="E320" i="1"/>
  <c r="D320" i="1" s="1"/>
  <c r="E319" i="1"/>
  <c r="D319" i="1" s="1"/>
  <c r="E318" i="1"/>
  <c r="D318" i="1" s="1"/>
  <c r="E317" i="1"/>
  <c r="D317" i="1" s="1"/>
  <c r="E316" i="1"/>
  <c r="D316" i="1" s="1"/>
  <c r="E315" i="1"/>
  <c r="D315" i="1" s="1"/>
  <c r="E314" i="1"/>
  <c r="D314" i="1" s="1"/>
  <c r="E313" i="1"/>
  <c r="D313" i="1" s="1"/>
  <c r="E312" i="1"/>
  <c r="D312" i="1" s="1"/>
  <c r="E311" i="1"/>
  <c r="D311" i="1" s="1"/>
  <c r="E310" i="1"/>
  <c r="D310" i="1" s="1"/>
  <c r="E309" i="1"/>
  <c r="D309" i="1" s="1"/>
  <c r="E308" i="1"/>
  <c r="D308" i="1" s="1"/>
  <c r="E307" i="1"/>
  <c r="D307" i="1" s="1"/>
  <c r="E306" i="1"/>
  <c r="D306" i="1" s="1"/>
  <c r="E305" i="1"/>
  <c r="D305" i="1" s="1"/>
  <c r="E304" i="1"/>
  <c r="D304" i="1" s="1"/>
  <c r="E303" i="1"/>
  <c r="D303" i="1" s="1"/>
  <c r="E302" i="1"/>
  <c r="D302" i="1" s="1"/>
  <c r="E301" i="1"/>
  <c r="D301" i="1" s="1"/>
  <c r="E300" i="1"/>
  <c r="D300" i="1" s="1"/>
  <c r="E299" i="1"/>
  <c r="D299" i="1" s="1"/>
  <c r="E298" i="1"/>
  <c r="D298" i="1" s="1"/>
  <c r="E297" i="1"/>
  <c r="D297" i="1" s="1"/>
  <c r="E296" i="1"/>
  <c r="D296" i="1" s="1"/>
  <c r="E295" i="1"/>
  <c r="D295" i="1" s="1"/>
  <c r="E294" i="1"/>
  <c r="D294" i="1" s="1"/>
  <c r="E293" i="1"/>
  <c r="D293" i="1" s="1"/>
  <c r="E292" i="1"/>
  <c r="D292" i="1" s="1"/>
  <c r="E291" i="1"/>
  <c r="D291" i="1" s="1"/>
  <c r="E290" i="1"/>
  <c r="D290" i="1" s="1"/>
  <c r="E289" i="1"/>
  <c r="D289" i="1" s="1"/>
  <c r="E288" i="1"/>
  <c r="D288" i="1" s="1"/>
  <c r="E287" i="1"/>
  <c r="D287" i="1" s="1"/>
  <c r="E286" i="1"/>
  <c r="D286" i="1" s="1"/>
  <c r="E285" i="1"/>
  <c r="D285" i="1" s="1"/>
  <c r="E284" i="1"/>
  <c r="D284" i="1" s="1"/>
  <c r="E283" i="1"/>
  <c r="D283" i="1" s="1"/>
  <c r="E282" i="1"/>
  <c r="D282" i="1" s="1"/>
  <c r="E281" i="1"/>
  <c r="D281" i="1" s="1"/>
  <c r="E280" i="1"/>
  <c r="D280" i="1" s="1"/>
  <c r="E279" i="1"/>
  <c r="D279" i="1" s="1"/>
  <c r="E278" i="1"/>
  <c r="D278" i="1" s="1"/>
  <c r="E277" i="1"/>
  <c r="D277" i="1" s="1"/>
  <c r="E276" i="1"/>
  <c r="D276" i="1" s="1"/>
  <c r="E275" i="1"/>
  <c r="D275" i="1" s="1"/>
  <c r="E274" i="1"/>
  <c r="D274" i="1" s="1"/>
  <c r="E273" i="1"/>
  <c r="D273" i="1" s="1"/>
  <c r="E272" i="1"/>
  <c r="D272" i="1" s="1"/>
  <c r="E271" i="1"/>
  <c r="D271" i="1" s="1"/>
  <c r="E270" i="1"/>
  <c r="D270" i="1" s="1"/>
  <c r="E269" i="1"/>
  <c r="D269" i="1" s="1"/>
  <c r="E268" i="1"/>
  <c r="D268" i="1" s="1"/>
  <c r="E267" i="1"/>
  <c r="D267" i="1" s="1"/>
  <c r="E266" i="1"/>
  <c r="D266" i="1" s="1"/>
  <c r="E265" i="1"/>
  <c r="D265" i="1" s="1"/>
  <c r="E264" i="1"/>
  <c r="D264" i="1" s="1"/>
  <c r="E263" i="1"/>
  <c r="D263" i="1" s="1"/>
  <c r="E262" i="1"/>
  <c r="D262" i="1" s="1"/>
  <c r="E261" i="1"/>
  <c r="D261" i="1" s="1"/>
  <c r="E260" i="1"/>
  <c r="D260" i="1" s="1"/>
  <c r="E259" i="1"/>
  <c r="D259" i="1" s="1"/>
  <c r="E258" i="1"/>
  <c r="D258" i="1" s="1"/>
  <c r="E257" i="1"/>
  <c r="D257" i="1" s="1"/>
  <c r="E256" i="1"/>
  <c r="D256" i="1" s="1"/>
  <c r="E255" i="1"/>
  <c r="D255" i="1" s="1"/>
  <c r="E254" i="1"/>
  <c r="D254" i="1" s="1"/>
  <c r="E253" i="1"/>
  <c r="D253" i="1" s="1"/>
  <c r="E252" i="1"/>
  <c r="D252" i="1" s="1"/>
  <c r="E251" i="1"/>
  <c r="D251" i="1" s="1"/>
  <c r="E250" i="1"/>
  <c r="D250" i="1" s="1"/>
  <c r="E249" i="1"/>
  <c r="D249" i="1" s="1"/>
  <c r="E248" i="1"/>
  <c r="D248" i="1" s="1"/>
  <c r="E247" i="1"/>
  <c r="D247" i="1" s="1"/>
  <c r="E246" i="1"/>
  <c r="D246" i="1" s="1"/>
  <c r="E245" i="1"/>
  <c r="D245" i="1" s="1"/>
  <c r="E244" i="1"/>
  <c r="D244" i="1" s="1"/>
  <c r="E243" i="1"/>
  <c r="D243" i="1" s="1"/>
  <c r="E242" i="1"/>
  <c r="D242" i="1" s="1"/>
  <c r="E241" i="1"/>
  <c r="D241" i="1" s="1"/>
  <c r="E240" i="1"/>
  <c r="D240" i="1" s="1"/>
  <c r="E239" i="1"/>
  <c r="D239" i="1" s="1"/>
  <c r="E238" i="1"/>
  <c r="D238" i="1" s="1"/>
  <c r="E237" i="1"/>
  <c r="D237" i="1" s="1"/>
  <c r="E236" i="1"/>
  <c r="D236" i="1" s="1"/>
  <c r="E235" i="1"/>
  <c r="D235" i="1" s="1"/>
  <c r="E234" i="1"/>
  <c r="D234" i="1" s="1"/>
  <c r="E233" i="1"/>
  <c r="D233" i="1" s="1"/>
  <c r="E232" i="1"/>
  <c r="D232" i="1" s="1"/>
  <c r="E231" i="1"/>
  <c r="D231" i="1" s="1"/>
  <c r="E230" i="1"/>
  <c r="D230" i="1" s="1"/>
  <c r="E229" i="1"/>
  <c r="D229" i="1" s="1"/>
  <c r="E228" i="1"/>
  <c r="D228" i="1" s="1"/>
  <c r="E227" i="1"/>
  <c r="D227" i="1" s="1"/>
  <c r="E226" i="1"/>
  <c r="D226" i="1" s="1"/>
  <c r="E225" i="1"/>
  <c r="D225" i="1" s="1"/>
  <c r="E224" i="1"/>
  <c r="D224" i="1" s="1"/>
  <c r="E223" i="1"/>
  <c r="D223" i="1" s="1"/>
  <c r="E222" i="1"/>
  <c r="D222" i="1" s="1"/>
  <c r="E221" i="1"/>
  <c r="D221" i="1" s="1"/>
  <c r="E220" i="1"/>
  <c r="D220" i="1" s="1"/>
  <c r="E219" i="1"/>
  <c r="D219" i="1" s="1"/>
  <c r="E218" i="1"/>
  <c r="D218" i="1" s="1"/>
  <c r="E217" i="1"/>
  <c r="D217" i="1" s="1"/>
  <c r="E216" i="1"/>
  <c r="D216" i="1" s="1"/>
  <c r="E215" i="1"/>
  <c r="D215" i="1" s="1"/>
  <c r="E214" i="1"/>
  <c r="D214" i="1" s="1"/>
  <c r="E213" i="1"/>
  <c r="D213" i="1" s="1"/>
  <c r="E212" i="1"/>
  <c r="D212" i="1" s="1"/>
  <c r="E211" i="1"/>
  <c r="D211" i="1" s="1"/>
  <c r="E210" i="1"/>
  <c r="D210" i="1" s="1"/>
  <c r="E209" i="1"/>
  <c r="D209" i="1" s="1"/>
  <c r="E208" i="1"/>
  <c r="D208" i="1" s="1"/>
  <c r="E207" i="1"/>
  <c r="D207" i="1" s="1"/>
  <c r="E206" i="1"/>
  <c r="D206" i="1" s="1"/>
  <c r="E205" i="1"/>
  <c r="D205" i="1" s="1"/>
  <c r="E204" i="1"/>
  <c r="D204" i="1" s="1"/>
  <c r="E203" i="1"/>
  <c r="D203" i="1" s="1"/>
  <c r="E202" i="1"/>
  <c r="D202" i="1" s="1"/>
  <c r="E201" i="1"/>
  <c r="D201" i="1" s="1"/>
  <c r="E200" i="1"/>
  <c r="D200" i="1" s="1"/>
  <c r="E199" i="1"/>
  <c r="D199" i="1" s="1"/>
  <c r="E198" i="1"/>
  <c r="D198" i="1" s="1"/>
  <c r="E197" i="1"/>
  <c r="D197" i="1" s="1"/>
  <c r="E196" i="1"/>
  <c r="D196" i="1" s="1"/>
  <c r="E195" i="1"/>
  <c r="D195" i="1" s="1"/>
  <c r="E194" i="1"/>
  <c r="D194" i="1" s="1"/>
  <c r="E193" i="1"/>
  <c r="D193" i="1" s="1"/>
  <c r="E192" i="1"/>
  <c r="D192" i="1" s="1"/>
  <c r="E191" i="1"/>
  <c r="D191" i="1" s="1"/>
  <c r="E190" i="1"/>
  <c r="D190" i="1" s="1"/>
  <c r="E189" i="1"/>
  <c r="D189" i="1" s="1"/>
  <c r="E188" i="1"/>
  <c r="D188" i="1" s="1"/>
  <c r="E187" i="1"/>
  <c r="D187" i="1" s="1"/>
  <c r="E186" i="1"/>
  <c r="D186" i="1" s="1"/>
  <c r="E185" i="1"/>
  <c r="D185" i="1" s="1"/>
  <c r="E184" i="1"/>
  <c r="D184" i="1" s="1"/>
  <c r="E183" i="1"/>
  <c r="D183" i="1" s="1"/>
  <c r="E182" i="1"/>
  <c r="D182" i="1" s="1"/>
  <c r="E181" i="1"/>
  <c r="D181" i="1" s="1"/>
  <c r="E180" i="1"/>
  <c r="D180" i="1" s="1"/>
  <c r="E179" i="1"/>
  <c r="D179" i="1" s="1"/>
  <c r="E178" i="1"/>
  <c r="D178" i="1" s="1"/>
  <c r="E177" i="1"/>
  <c r="D177" i="1" s="1"/>
  <c r="E176" i="1"/>
  <c r="D176" i="1" s="1"/>
  <c r="E175" i="1"/>
  <c r="D175" i="1" s="1"/>
  <c r="E174" i="1"/>
  <c r="D174" i="1" s="1"/>
  <c r="E173" i="1"/>
  <c r="D173" i="1" s="1"/>
  <c r="E172" i="1"/>
  <c r="D172" i="1" s="1"/>
  <c r="E171" i="1"/>
  <c r="D171" i="1" s="1"/>
  <c r="E170" i="1"/>
  <c r="D170" i="1" s="1"/>
  <c r="E169" i="1"/>
  <c r="D169" i="1" s="1"/>
  <c r="E168" i="1"/>
  <c r="D168" i="1" s="1"/>
  <c r="E167" i="1"/>
  <c r="D167" i="1" s="1"/>
  <c r="E166" i="1"/>
  <c r="D166" i="1" s="1"/>
  <c r="E165" i="1"/>
  <c r="D165" i="1" s="1"/>
  <c r="E164" i="1"/>
  <c r="D164" i="1" s="1"/>
  <c r="E163" i="1"/>
  <c r="D163" i="1" s="1"/>
  <c r="E162" i="1"/>
  <c r="D162" i="1" s="1"/>
  <c r="E161" i="1"/>
  <c r="D161" i="1" s="1"/>
  <c r="E160" i="1"/>
  <c r="D160" i="1" s="1"/>
  <c r="E159" i="1"/>
  <c r="D159" i="1" s="1"/>
  <c r="E158" i="1"/>
  <c r="D158" i="1" s="1"/>
  <c r="E157" i="1"/>
  <c r="D157" i="1" s="1"/>
  <c r="E156" i="1"/>
  <c r="D156" i="1" s="1"/>
  <c r="E155" i="1"/>
  <c r="D155" i="1" s="1"/>
  <c r="E154" i="1"/>
  <c r="D154" i="1" s="1"/>
  <c r="E153" i="1"/>
  <c r="D153" i="1" s="1"/>
  <c r="E152" i="1"/>
  <c r="D152" i="1" s="1"/>
  <c r="E151" i="1"/>
  <c r="D151" i="1" s="1"/>
  <c r="E150" i="1"/>
  <c r="D150" i="1" s="1"/>
  <c r="E149" i="1"/>
  <c r="D149" i="1" s="1"/>
  <c r="E148" i="1"/>
  <c r="D148" i="1" s="1"/>
  <c r="E147" i="1"/>
  <c r="D147" i="1" s="1"/>
  <c r="E146" i="1"/>
  <c r="D146" i="1" s="1"/>
  <c r="E145" i="1"/>
  <c r="D145" i="1" s="1"/>
  <c r="E144" i="1"/>
  <c r="D144" i="1" s="1"/>
  <c r="E143" i="1"/>
  <c r="D143" i="1" s="1"/>
  <c r="E142" i="1"/>
  <c r="D142" i="1" s="1"/>
  <c r="E141" i="1"/>
  <c r="D141" i="1" s="1"/>
  <c r="E140" i="1"/>
  <c r="D140" i="1" s="1"/>
  <c r="E139" i="1"/>
  <c r="D139" i="1" s="1"/>
  <c r="E138" i="1"/>
  <c r="D138" i="1" s="1"/>
  <c r="E137" i="1"/>
  <c r="D137" i="1" s="1"/>
  <c r="E136" i="1"/>
  <c r="D136" i="1" s="1"/>
  <c r="E135" i="1"/>
  <c r="D135" i="1" s="1"/>
  <c r="E134" i="1"/>
  <c r="D134" i="1" s="1"/>
  <c r="E133" i="1"/>
  <c r="D133" i="1" s="1"/>
  <c r="E132" i="1"/>
  <c r="D132" i="1" s="1"/>
  <c r="E131" i="1"/>
  <c r="D131" i="1" s="1"/>
  <c r="E130" i="1"/>
  <c r="D130" i="1" s="1"/>
  <c r="E129" i="1"/>
  <c r="D129" i="1" s="1"/>
  <c r="E128" i="1"/>
  <c r="D128" i="1" s="1"/>
  <c r="E127" i="1"/>
  <c r="D127" i="1" s="1"/>
  <c r="E126" i="1"/>
  <c r="D126" i="1" s="1"/>
  <c r="E125" i="1"/>
  <c r="D125" i="1" s="1"/>
  <c r="E124" i="1"/>
  <c r="D124" i="1" s="1"/>
  <c r="E123" i="1"/>
  <c r="D123" i="1" s="1"/>
  <c r="E122" i="1"/>
  <c r="D122" i="1" s="1"/>
  <c r="E121" i="1"/>
  <c r="D121" i="1" s="1"/>
  <c r="E120" i="1"/>
  <c r="D120" i="1" s="1"/>
  <c r="E119" i="1"/>
  <c r="D119" i="1" s="1"/>
  <c r="E118" i="1"/>
  <c r="D118" i="1" s="1"/>
  <c r="E117" i="1"/>
  <c r="D117" i="1" s="1"/>
  <c r="E116" i="1"/>
  <c r="D116" i="1" s="1"/>
  <c r="E115" i="1"/>
  <c r="D115" i="1" s="1"/>
  <c r="E114" i="1"/>
  <c r="D114" i="1" s="1"/>
  <c r="E113" i="1"/>
  <c r="D113" i="1" s="1"/>
  <c r="E112" i="1"/>
  <c r="D112" i="1" s="1"/>
  <c r="E111" i="1"/>
  <c r="D111" i="1" s="1"/>
  <c r="E110" i="1"/>
  <c r="D110" i="1" s="1"/>
  <c r="E109" i="1"/>
  <c r="D109" i="1" s="1"/>
  <c r="E108" i="1"/>
  <c r="D108" i="1" s="1"/>
  <c r="E107" i="1"/>
  <c r="D107" i="1" s="1"/>
  <c r="E106" i="1"/>
  <c r="D106" i="1" s="1"/>
  <c r="E105" i="1"/>
  <c r="D105" i="1" s="1"/>
  <c r="E104" i="1"/>
  <c r="D104" i="1" s="1"/>
  <c r="E103" i="1"/>
  <c r="D103" i="1" s="1"/>
  <c r="E102" i="1"/>
  <c r="D102" i="1" s="1"/>
  <c r="E101" i="1"/>
  <c r="D101" i="1" s="1"/>
  <c r="E100" i="1"/>
  <c r="D100" i="1" s="1"/>
  <c r="E99" i="1"/>
  <c r="D99" i="1" s="1"/>
  <c r="E98" i="1"/>
  <c r="D98" i="1" s="1"/>
  <c r="E97" i="1"/>
  <c r="D97" i="1" s="1"/>
  <c r="E96" i="1"/>
  <c r="D96" i="1" s="1"/>
  <c r="E95" i="1"/>
  <c r="D95" i="1" s="1"/>
  <c r="E94" i="1"/>
  <c r="D94" i="1" s="1"/>
  <c r="E93" i="1"/>
  <c r="D93" i="1" s="1"/>
  <c r="E92" i="1"/>
  <c r="D92" i="1" s="1"/>
  <c r="E91" i="1"/>
  <c r="D91" i="1" s="1"/>
  <c r="E90" i="1"/>
  <c r="D90" i="1" s="1"/>
  <c r="E89" i="1"/>
  <c r="D89" i="1" s="1"/>
  <c r="E88" i="1"/>
  <c r="D88" i="1" s="1"/>
  <c r="E87" i="1"/>
  <c r="D87" i="1" s="1"/>
  <c r="E86" i="1"/>
  <c r="D86" i="1" s="1"/>
  <c r="E85" i="1"/>
  <c r="D85" i="1" s="1"/>
  <c r="E84" i="1"/>
  <c r="D84" i="1" s="1"/>
  <c r="E83" i="1"/>
  <c r="D83" i="1" s="1"/>
  <c r="E82" i="1"/>
  <c r="D82" i="1" s="1"/>
  <c r="E81" i="1"/>
  <c r="D81" i="1" s="1"/>
  <c r="E80" i="1"/>
  <c r="D80" i="1" s="1"/>
  <c r="E79" i="1"/>
  <c r="D79" i="1" s="1"/>
  <c r="E78" i="1"/>
  <c r="D78" i="1" s="1"/>
  <c r="E77" i="1"/>
  <c r="D77" i="1" s="1"/>
  <c r="E76" i="1"/>
  <c r="D76" i="1" s="1"/>
  <c r="E75" i="1"/>
  <c r="D75" i="1" s="1"/>
  <c r="E74" i="1"/>
  <c r="D74" i="1" s="1"/>
  <c r="E73" i="1"/>
  <c r="D73" i="1" s="1"/>
  <c r="E72" i="1"/>
  <c r="D72" i="1" s="1"/>
  <c r="E71" i="1"/>
  <c r="D71" i="1" s="1"/>
  <c r="E70" i="1"/>
  <c r="D70" i="1" s="1"/>
  <c r="E69" i="1"/>
  <c r="D69" i="1" s="1"/>
  <c r="E68" i="1"/>
  <c r="D68" i="1" s="1"/>
  <c r="E67" i="1"/>
  <c r="D67" i="1" s="1"/>
  <c r="E66" i="1"/>
  <c r="D66" i="1" s="1"/>
  <c r="E65" i="1"/>
  <c r="D65" i="1" s="1"/>
  <c r="E64" i="1"/>
  <c r="D64" i="1" s="1"/>
  <c r="E63" i="1"/>
  <c r="D63" i="1" s="1"/>
  <c r="E62" i="1"/>
  <c r="D62" i="1" s="1"/>
  <c r="E61" i="1"/>
  <c r="D61" i="1" s="1"/>
  <c r="E60" i="1"/>
  <c r="D60" i="1" s="1"/>
  <c r="E59" i="1"/>
  <c r="D59" i="1" s="1"/>
  <c r="E58" i="1"/>
  <c r="D58" i="1" s="1"/>
  <c r="E57" i="1"/>
  <c r="D57" i="1" s="1"/>
  <c r="E56" i="1"/>
  <c r="D56" i="1" s="1"/>
  <c r="E55" i="1"/>
  <c r="D55" i="1" s="1"/>
  <c r="E54" i="1"/>
  <c r="D54" i="1" s="1"/>
  <c r="E53" i="1"/>
  <c r="D53" i="1" s="1"/>
  <c r="E52" i="1"/>
  <c r="D52" i="1" s="1"/>
  <c r="E51" i="1"/>
  <c r="D51" i="1" s="1"/>
  <c r="E50" i="1"/>
  <c r="D50" i="1" s="1"/>
  <c r="E49" i="1"/>
  <c r="D49" i="1" s="1"/>
  <c r="E48" i="1"/>
  <c r="D48" i="1" s="1"/>
  <c r="E47" i="1"/>
  <c r="D47" i="1" s="1"/>
  <c r="E46" i="1"/>
  <c r="D46" i="1" s="1"/>
  <c r="E45" i="1"/>
  <c r="D45" i="1" s="1"/>
  <c r="E44" i="1"/>
  <c r="D44" i="1" s="1"/>
  <c r="E43" i="1"/>
  <c r="D43" i="1" s="1"/>
  <c r="E42" i="1"/>
  <c r="D42" i="1" s="1"/>
  <c r="E41" i="1"/>
  <c r="D41" i="1" s="1"/>
  <c r="E40" i="1"/>
  <c r="D40" i="1" s="1"/>
  <c r="E39" i="1"/>
  <c r="D39" i="1" s="1"/>
  <c r="E38" i="1"/>
  <c r="D38" i="1" s="1"/>
  <c r="E37" i="1"/>
  <c r="D37" i="1" s="1"/>
  <c r="E36" i="1"/>
  <c r="D36" i="1" s="1"/>
  <c r="E35" i="1"/>
  <c r="D35" i="1" s="1"/>
  <c r="E34" i="1"/>
  <c r="D34" i="1" s="1"/>
  <c r="E33" i="1"/>
  <c r="D33" i="1" s="1"/>
  <c r="E32" i="1"/>
  <c r="D32" i="1" s="1"/>
  <c r="E31" i="1"/>
  <c r="D31" i="1" s="1"/>
  <c r="E30" i="1"/>
  <c r="D30" i="1" s="1"/>
  <c r="E29" i="1"/>
  <c r="D29" i="1" s="1"/>
  <c r="E28" i="1"/>
  <c r="D28" i="1" s="1"/>
  <c r="E27" i="1"/>
  <c r="D27" i="1" s="1"/>
  <c r="E26" i="1"/>
  <c r="D26" i="1" s="1"/>
  <c r="E25" i="1"/>
  <c r="D25" i="1" s="1"/>
  <c r="E24" i="1"/>
  <c r="D24" i="1" s="1"/>
  <c r="E23" i="1"/>
  <c r="D23" i="1" s="1"/>
  <c r="E22" i="1"/>
  <c r="D22" i="1" s="1"/>
  <c r="E21" i="1"/>
  <c r="D21" i="1" s="1"/>
  <c r="E20" i="1"/>
  <c r="D20" i="1" s="1"/>
  <c r="E19" i="1"/>
  <c r="D19" i="1" s="1"/>
  <c r="E18" i="1"/>
  <c r="D18" i="1" s="1"/>
  <c r="E17" i="1"/>
  <c r="D17" i="1" s="1"/>
  <c r="E16" i="1"/>
  <c r="D16" i="1" s="1"/>
  <c r="E15" i="1"/>
  <c r="D15" i="1" s="1"/>
  <c r="E14" i="1"/>
  <c r="D14" i="1" s="1"/>
  <c r="E13" i="1"/>
  <c r="D13" i="1" s="1"/>
  <c r="E12" i="1"/>
  <c r="D12" i="1" s="1"/>
  <c r="E11" i="1"/>
  <c r="D11" i="1" s="1"/>
  <c r="E10" i="1"/>
  <c r="D10" i="1" s="1"/>
  <c r="E9" i="1"/>
  <c r="D9" i="1" s="1"/>
  <c r="E8" i="1"/>
  <c r="D8" i="1" s="1"/>
  <c r="E7" i="1"/>
  <c r="D7" i="1" s="1"/>
  <c r="E6" i="1"/>
  <c r="D6" i="1" s="1"/>
  <c r="E5" i="1"/>
  <c r="D5" i="1" s="1"/>
  <c r="E4" i="1"/>
  <c r="D4" i="1" s="1"/>
  <c r="E3" i="1"/>
  <c r="D3" i="1" s="1"/>
  <c r="E2" i="1"/>
  <c r="D2" i="1" s="1"/>
  <c r="E5" i="8"/>
  <c r="E8" i="8"/>
  <c r="E9" i="8"/>
  <c r="E10" i="8"/>
  <c r="E11" i="8"/>
  <c r="E6" i="8"/>
  <c r="E7" i="8"/>
  <c r="E4" i="8"/>
  <c r="F5" i="6"/>
  <c r="F12" i="6"/>
  <c r="F13" i="6"/>
  <c r="F4" i="6"/>
  <c r="F6" i="6"/>
  <c r="F7" i="6"/>
  <c r="F8" i="6"/>
  <c r="F9" i="6"/>
  <c r="F10" i="6"/>
  <c r="F11" i="6"/>
  <c r="E4" i="9" l="1"/>
  <c r="F4" i="9"/>
</calcChain>
</file>

<file path=xl/sharedStrings.xml><?xml version="1.0" encoding="utf-8"?>
<sst xmlns="http://schemas.openxmlformats.org/spreadsheetml/2006/main" count="14252" uniqueCount="2768">
  <si>
    <t>match_number</t>
  </si>
  <si>
    <t>team1</t>
  </si>
  <si>
    <t>team2</t>
  </si>
  <si>
    <t>Season</t>
  </si>
  <si>
    <t>Year</t>
  </si>
  <si>
    <t>match_date</t>
  </si>
  <si>
    <t>toss_winner</t>
  </si>
  <si>
    <t>toss_decision</t>
  </si>
  <si>
    <t>result</t>
  </si>
  <si>
    <t>eliminator</t>
  </si>
  <si>
    <t>winner</t>
  </si>
  <si>
    <t>player_of_match</t>
  </si>
  <si>
    <t>venue</t>
  </si>
  <si>
    <t>city</t>
  </si>
  <si>
    <t>team1_players</t>
  </si>
  <si>
    <t>team2_players</t>
  </si>
  <si>
    <t>Royal Challengers Bengaluru</t>
  </si>
  <si>
    <t>Punjab Kings</t>
  </si>
  <si>
    <t>field</t>
  </si>
  <si>
    <t>Win</t>
  </si>
  <si>
    <t>NA</t>
  </si>
  <si>
    <t>KH Pandya</t>
  </si>
  <si>
    <t>Narendra Modi Stadium, Ahmedabad</t>
  </si>
  <si>
    <t>Ahmedabad</t>
  </si>
  <si>
    <t>Suyash Sharma, PD Salt, V Kohli, MA Agarwal, RM Patidar, LS Livingstone, JM Sharma, R Shepherd, KH Pandya, B Kumar, Yash Dayal, JR Hazlewood</t>
  </si>
  <si>
    <t>YS Chahal, Priyansh Arya, P Simran Singh, JP Inglis, SS Iyer, N Wadhera, Shashank Singh, MP Stoinis, Azmatullah Omarzai, KA Jamieson, Vijaykumar Vyshak, Arshdeep Singh</t>
  </si>
  <si>
    <t>Mumbai Indians</t>
  </si>
  <si>
    <t>SS Iyer</t>
  </si>
  <si>
    <t>Ashwani Kumar, RG Sharma, JM Bairstow, Tilak Varma, SA Yadav, HH Pandya, Naman Dhir, RA Bawa, MJ Santner, TA Boult, JJ Bumrah, RJW Topley</t>
  </si>
  <si>
    <t>YS Chahal, Priyansh Arya, P Simran Singh, JP Inglis, SS Iyer, N Wadhera, Shashank Singh, MP Stoinis, Azmatullah Omarzai, Vijaykumar Vyshak, KA Jamieson, Arshdeep Singh</t>
  </si>
  <si>
    <t>Gujarat Titans</t>
  </si>
  <si>
    <t>bat</t>
  </si>
  <si>
    <t>RG Sharma</t>
  </si>
  <si>
    <t>Maharaja Yadavindra Singh International Cricket Stadium, New Chandigarh</t>
  </si>
  <si>
    <t>New Chandigarh</t>
  </si>
  <si>
    <t>Ashwani Kumar, RG Sharma, JM Bairstow, SA Yadav, Tilak Varma, HH Pandya, Naman Dhir, MJ Santner, RA Bawa, TA Boult, JJ Bumrah, RJ Gleeson</t>
  </si>
  <si>
    <t>Mohammed Siraj, B Sai Sudharsan, Shubman Gill, BKG Mendis, Washington Sundar, SE Rutherford, R Tewatia, M Shahrukh Khan, Rashid Khan, R Sai Kishore, G Coetzee, M Prasidh Krishna</t>
  </si>
  <si>
    <t>Suyash Sharma</t>
  </si>
  <si>
    <t>Maharaja Yadavindra Singh International Cricket Stadium, Mullanpur</t>
  </si>
  <si>
    <t>Priyansh Arya, P Simran Singh, JP Inglis, SS Iyer, N Wadhera, MP Stoinis, Shashank Singh, Musheer Khan, Azmatullah Omarzai, Harpreet Brar, KA Jamieson, Arshdeep Singh</t>
  </si>
  <si>
    <t>Lucknow Super Giants</t>
  </si>
  <si>
    <t>JM Sharma</t>
  </si>
  <si>
    <t>Bharat Ratna Shri Atal Bihari Vajpayee Ekana Cricket Stadium, Lucknow</t>
  </si>
  <si>
    <t>Lucknow</t>
  </si>
  <si>
    <t>Akash Singh, MR Marsh, MP Breetzke, RR Pant, N Pooran, Abdul Samad, A Badoni, Himmat Singh, Shahbaz Ahmed, DS Rathi, Avesh Khan, W O'Rourke</t>
  </si>
  <si>
    <t>Suyash Sharma, PD Salt, V Kohli, RM Patidar, LS Livingstone, MA Agarwal, JM Sharma, R Shepherd, KH Pandya, B Kumar, Yash Dayal, N Thushara</t>
  </si>
  <si>
    <t>JP Inglis</t>
  </si>
  <si>
    <t>Sawai Mansingh Stadium, Jaipur</t>
  </si>
  <si>
    <t>Jaipur</t>
  </si>
  <si>
    <t>Ashwani Kumar, RD Rickelton, RG Sharma, SA Yadav, Tilak Varma, WG Jacks, HH Pandya, Naman Dhir, MJ Santner, DL Chahar, TA Boult, JJ Bumrah</t>
  </si>
  <si>
    <t>Vijaykumar Vyshak, Priyansh Arya, P Simran Singh, JP Inglis, SS Iyer, N Wadhera, Shashank Singh, MP Stoinis, M Jansen, Harpreet Brar, KA Jamieson, Arshdeep Singh</t>
  </si>
  <si>
    <t>Chennai Super Kings</t>
  </si>
  <si>
    <t>D Brevis</t>
  </si>
  <si>
    <t>M Pathirana, A Mhatre, DP Conway, Urvil Patel, S Dube, D Brevis, RA Jadeja, MS Dhoni, DJ Hooda, Noor Ahmad, A Kamboj, KK Ahmed</t>
  </si>
  <si>
    <t>M Prasidh Krishna, B Sai Sudharsan, Shubman Gill, JC Buttler, SE Rutherford, M Shahrukh Khan, R Tewatia, Rashid Khan, G Coetzee, Arshad Khan, R Sai Kishore, Mohammed Siraj</t>
  </si>
  <si>
    <t>Sunrisers Hyderabad</t>
  </si>
  <si>
    <t>Kolkata Knight Riders</t>
  </si>
  <si>
    <t>H Klaasen</t>
  </si>
  <si>
    <t>Arun Jaitley Stadium, Delhi</t>
  </si>
  <si>
    <t>Delhi</t>
  </si>
  <si>
    <t>Harsh Dubey, Abhishek Sharma, TM Head, H Klaasen, Ishan Kishan, Aniket Verma, Nithish Kumar Reddy, A Manohar, PJ Cummins, HV Patel, JD Unadkat, E Malinga</t>
  </si>
  <si>
    <t>CV Varun, Q de Kock, SP Narine, AM Rahane, A Raghuvanshi, RK Singh, AD Russell, MK Pandey, Ramandeep Singh, Harshit Rana, VG Arora, A Nortje</t>
  </si>
  <si>
    <t>Delhi Capitals</t>
  </si>
  <si>
    <t>Sameer Rizvi</t>
  </si>
  <si>
    <t>P Dubey, Priyansh Arya, P Simran Singh, JP Inglis, SS Iyer, N Wadhera, Shashank Singh, MP Stoinis, Azmatullah Omarzai, M Jansen, Harpreet Brar, Arshdeep Singh</t>
  </si>
  <si>
    <t>Mukesh Kumar, KL Rahul, F du Plessis, KK Nair, Sediqullah Atal, Sameer Rizvi, T Stubbs, Ashutosh Sharma, V Nigam, Kuldeep Yadav, MM Sharma, Mustafizur Rahman</t>
  </si>
  <si>
    <t>Ishan Kishan</t>
  </si>
  <si>
    <t>Abhishek Sharma, TM Head, Ishan Kishan, H Klaasen, Aniket Verma, Nithish Kumar Reddy, A Manohar, PJ Cummins, HV Patel, JD Unadkat, E Malinga, Harsh Dubey</t>
  </si>
  <si>
    <t>PD Salt, V Kohli, MA Agarwal, RM Patidar, JM Sharma, R Shepherd, KH Pandya, TH David, B Kumar, Yash Dayal, L Ngidi, Suyash Sharma</t>
  </si>
  <si>
    <t>MR Marsh</t>
  </si>
  <si>
    <t>AK Markram, MR Marsh, N Pooran, RR Pant, A Badoni, Abdul Samad, Himmat Singh, Shahbaz Ahmed, Avesh Khan, Akash Deep, W O'Rourke, Akash Singh</t>
  </si>
  <si>
    <t>B Sai Sudharsan, Shubman Gill, JC Buttler, SE Rutherford, M Shahrukh Khan, R Tewatia, Arshad Khan, Rashid Khan, K Rabada, R Sai Kishore, Mohammed Siraj, M Prasidh Krishna</t>
  </si>
  <si>
    <t>SA Yadav</t>
  </si>
  <si>
    <t>Wankhede Stadium, Mumbai</t>
  </si>
  <si>
    <t>Mumbai</t>
  </si>
  <si>
    <t>RD Rickelton, RG Sharma, WG Jacks, SA Yadav, Tilak Varma, HH Pandya, Naman Dhir, MJ Santner, DL Chahar, TA Boult, JJ Bumrah, KV Sharma</t>
  </si>
  <si>
    <t>KL Rahul, F du Plessis, Abishek Porel, Sameer Rizvi, V Nigam, T Stubbs, Ashutosh Sharma, M Tiwari, PVD Chameera, Kuldeep Yadav, Mustafizur Rahman, Mukesh Kumar</t>
  </si>
  <si>
    <t>Rajasthan Royals</t>
  </si>
  <si>
    <t>Akash Madhwal</t>
  </si>
  <si>
    <t>M Pathirana, A Mhatre, DP Conway, Urvil Patel, R Ashwin, RA Jadeja, D Brevis, S Dube, MS Dhoni, A Kamboj, Noor Ahmad, KK Ahmed</t>
  </si>
  <si>
    <t>YBK Jaiswal, V Suryavanshi, SV Samson, R Parag, Dhruv Jurel, SO Hetmyer, PWH de Silva, KT Maphaka, Yudhvir Singh, TU Deshpande, Akash Madhwal</t>
  </si>
  <si>
    <t>Abhishek Sharma</t>
  </si>
  <si>
    <t>MR Marsh, AK Markram, RR Pant, N Pooran, A Badoni, Abdul Samad, SN Thakur, Ravi Bishnoi, Akash Deep, Avesh Khan, DS Rathi, W O'Rourke</t>
  </si>
  <si>
    <t>Zeeshan Ansari, Atharva Taide, Abhishek Sharma, Ishan Kishan, H Klaasen, PHKD Mendis, Aniket Verma, Nithish Kumar Reddy, PJ Cummins, HV Patel, Harsh Dubey, E Malinga</t>
  </si>
  <si>
    <t>B Sai Sudharsan</t>
  </si>
  <si>
    <t>PVD Chameera, KL Rahul, F du Plessis, Abishek Porel, AR Patel, T Stubbs, Sameer Rizvi, Ashutosh Sharma, V Nigam, T Natarajan, Kuldeep Yadav, Mustafizur Rahman</t>
  </si>
  <si>
    <t>M Prasidh Krishna, B Sai Sudharsan, Shubman Gill, SE Rutherford, JC Buttler, M Shahrukh Khan, R Tewatia, Rashid Khan, K Rabada, Arshad Khan, R Sai Kishore, Mohammed Siraj</t>
  </si>
  <si>
    <t>Harpreet Brar</t>
  </si>
  <si>
    <t>Harpreet Brar, Priyansh Arya, P Simran Singh, MJ Owen, N Wadhera, SS Iyer, Shashank Singh, Azmatullah Omarzai, M Jansen, XC Bartlett, Arshdeep Singh, YS Chahal</t>
  </si>
  <si>
    <t>Fazalhaq Farooqi, YBK Jaiswal, V Suryavanshi, SV Samson, R Parag, Dhruv Jurel, SO Hetmyer, SB Dubey, PWH de Silva, KT Maphaka, TU Deshpande, Akash Madhwal</t>
  </si>
  <si>
    <t>no result</t>
  </si>
  <si>
    <t>N</t>
  </si>
  <si>
    <t>Himachal Pradesh Cricket Association Stadium, Dharamsala</t>
  </si>
  <si>
    <t>Dharamsala</t>
  </si>
  <si>
    <t>Priyansh Arya, P Simran Singh, JP Inglis, SS Iyer, N Wadhera, Shashank Singh, MP Stoinis, Azmatullah Omarzai, M Jansen, YS Chahal, Arshdeep Singh</t>
  </si>
  <si>
    <t>F du Plessis, Sameer Rizvi, Abishek Porel, KL Rahul, AR Patel, T Stubbs, M Tiwari, MA Starc, PVD Chameera, Kuldeep Yadav, T Natarajan</t>
  </si>
  <si>
    <t>Noor Ahmad</t>
  </si>
  <si>
    <t>Eden Gardens, Kolkata</t>
  </si>
  <si>
    <t>Kolkata</t>
  </si>
  <si>
    <t>Harshit Rana, Rahmanullah Gurbaz, SP Narine, AM Rahane, A Raghuvanshi, MK Pandey, AD Russell, RK Singh, Ramandeep Singh, MM Ali, VG Arora, CV Varun</t>
  </si>
  <si>
    <t>M Pathirana, A Mhatre, DP Conway, Urvil Patel, R Ashwin, RA Jadeja, D Brevis, S Dube, MS Dhoni, Noor Ahmad, A Kamboj, KK Ahmed</t>
  </si>
  <si>
    <t>Shubman Gill</t>
  </si>
  <si>
    <t>RD Rickelton, RG Sharma, WG Jacks, SA Yadav, Tilak Varma, HH Pandya, Naman Dhir, C Bosch, DL Chahar, KV Sharma, TA Boult, JJ Bumrah, Ashwani Kumar</t>
  </si>
  <si>
    <t>B Sai Sudharsan, Shubman Gill, JC Buttler, SE Rutherford, M Shahrukh Khan, R Tewatia, Rashid Khan, G Coetzee, Arshad Khan, R Sai Kishore, Mohammed Siraj, M Prasidh Krishna</t>
  </si>
  <si>
    <t>Rajiv Gandhi International Stadium, Uppal, Hyderabad</t>
  </si>
  <si>
    <t>Hyderabad</t>
  </si>
  <si>
    <t>KK Nair, F du Plessis, Abishek Porel, KL Rahul, AR Patel, T Stubbs, V Nigam, Ashutosh Sharma, MA Starc, PVD Chameera, Kuldeep Yadav, T Natarajan</t>
  </si>
  <si>
    <t>JD Unadkat, Abhishek Sharma, Ishan Kishan, Sachin Baby, H Klaasen, Aniket Verma, A Manohar, PJ Cummins, HV Patel, Zeeshan Ansari, E Malinga, TM Head</t>
  </si>
  <si>
    <t>P Simran Singh</t>
  </si>
  <si>
    <t>Vijaykumar Vyshak, Priyansh Arya, P Simran Singh, JP Inglis, SS Iyer, N Wadhera, Shashank Singh, MP Stoinis, Azmatullah Omarzai, M Jansen, YS Chahal, Arshdeep Singh</t>
  </si>
  <si>
    <t>Akash Singh, AK Markram, MR Marsh, N Pooran, RR Pant, A Badoni, DA Miller, Abdul Samad, Avesh Khan, Prince Yadav, MP Yadav, DS Rathi</t>
  </si>
  <si>
    <t>AD Russell</t>
  </si>
  <si>
    <t>Harshit Rana, Rahmanullah Gurbaz, SP Narine, AM Rahane, A Raghuvanshi, AD Russell, RK Singh, VR Iyer, Ramandeep Singh, MM Ali, VG Arora, CV Varun</t>
  </si>
  <si>
    <t>Akash Madhwal, YBK Jaiswal, V Suryavanshi, KS Rathore, R Parag, Dhruv Jurel, PWH de Silva, SO Hetmyer, SB Dubey, JC Archer, M Theekshana, Yudhvir Singh</t>
  </si>
  <si>
    <t>R Shepherd</t>
  </si>
  <si>
    <t>M Chinnaswamy Stadium, Bengaluru</t>
  </si>
  <si>
    <t>Bengaluru</t>
  </si>
  <si>
    <t>Suyash Sharma, JG Bethell, V Kohli, D Padikkal, RM Patidar, JM Sharma, TH David, R Shepherd, KH Pandya, B Kumar, L Ngidi, Yash Dayal</t>
  </si>
  <si>
    <t>M Pathirana, A Mhatre, SK Rasheed, SM Curran, RA Jadeja, D Brevis, MS Dhoni, S Dube, DJ Hooda, Noor Ahmad, KK Ahmed, A Kamboj</t>
  </si>
  <si>
    <t>M Prasidh Krishna</t>
  </si>
  <si>
    <t>I Sharma, B Sai Sudharsan, Shubman Gill, JC Buttler, Washington Sundar, M Shahrukh Khan, R Tewatia, Rashid Khan, Mohammed Siraj, G Coetzee, R Sai Kishore, M Prasidh Krishna</t>
  </si>
  <si>
    <t>Mohammed Shami, TM Head, Abhishek Sharma, Ishan Kishan, H Klaasen, Aniket Verma, Nithish Kumar Reddy, PHKD Mendis, PJ Cummins, HV Patel, JD Unadkat, Zeeshan Ansari</t>
  </si>
  <si>
    <t>RD Rickelton</t>
  </si>
  <si>
    <t>KV Sharma, RD Rickelton, RG Sharma, SA Yadav, HH Pandya, WG Jacks, Tilak Varma, Naman Dhir, C Bosch, DL Chahar, TA Boult, JJ Bumrah</t>
  </si>
  <si>
    <t>Fazalhaq Farooqi, YBK Jaiswal, V Suryavanshi, N Rana, R Parag, Dhruv Jurel, SO Hetmyer, SB Dubey, JC Archer, M Theekshana, K Kartikeya, Akash Madhwal</t>
  </si>
  <si>
    <t>MA Chidambaram Stadium, Chepauk, Chennai</t>
  </si>
  <si>
    <t>Chennai</t>
  </si>
  <si>
    <t>SK Rasheed, A Mhatre, SM Curran, RA Jadeja, D Brevis, S Dube, MS Dhoni, DJ Hooda, A Kamboj, Noor Ahmad, KK Ahmed, M Pathirana</t>
  </si>
  <si>
    <t>YS Chahal, Priyansh Arya, P Simran Singh, SS Iyer, N Wadhera, Shashank Singh, JP Inglis, Suryansh Shedge, M Jansen, Azmatullah Omarzai, Harpreet Brar, Arshdeep Singh</t>
  </si>
  <si>
    <t>SP Narine</t>
  </si>
  <si>
    <t>VG Arora, Rahmanullah Gurbaz, SP Narine, AM Rahane, A Raghuvanshi, VR Iyer, RK Singh, AD Russell, R Powell, AS Roy, Harshit Rana, CV Varun</t>
  </si>
  <si>
    <t>Mukesh Kumar, Abishek Porel, F du Plessis, KK Nair, KL Rahul, AR Patel, T Stubbs, V Nigam, Ashutosh Sharma, MA Starc, PVD Chameera, Kuldeep Yadav</t>
  </si>
  <si>
    <t>V Suryavanshi</t>
  </si>
  <si>
    <t>I Sharma, B Sai Sudharsan, Shubman Gill, JC Buttler, Washington Sundar, R Tewatia, M Shahrukh Khan, Karim Janat, Rashid Khan, R Sai Kishore, Mohammed Siraj, M Prasidh Krishna</t>
  </si>
  <si>
    <t>YBK Jaiswal, V Suryavanshi, N Rana, R Parag, Dhruv Jurel, SO Hetmyer, PWH de Silva, JC Archer, M Theekshana, Sandeep Sharma, Yudhvir Singh</t>
  </si>
  <si>
    <t>Abishek Porel, F du Plessis, KK Nair, KL Rahul, AR Patel, T Stubbs, Ashutosh Sharma, V Nigam, MA Starc, PVD Chameera, Kuldeep Yadav, Mukesh Kumar</t>
  </si>
  <si>
    <t>Suyash Sharma, JG Bethell, V Kohli, D Padikkal, RM Patidar, KH Pandya, TH David, R Shepherd, JM Sharma, B Kumar, JR Hazlewood, Yash Dayal</t>
  </si>
  <si>
    <t>WG Jacks</t>
  </si>
  <si>
    <t>JJ Bumrah, RD Rickelton, RG Sharma, WG Jacks, SA Yadav, Tilak Varma, HH Pandya, Naman Dhir, C Bosch, DL Chahar, TA Boult, KV Sharma</t>
  </si>
  <si>
    <t>MR Marsh, AK Markram, N Pooran, RR Pant, A Badoni, DA Miller, Abdul Samad, Ravi Bishnoi, Avesh Khan, Prince Yadav, DS Rathi, MP Yadav</t>
  </si>
  <si>
    <t>Harpreet Brar, Priyansh Arya, P Simran Singh, SS Iyer, GJ Maxwell, M Jansen, JP Inglis, Shashank Singh, N Wadhera, Azmatullah Omarzai, YS Chahal, Arshdeep Singh</t>
  </si>
  <si>
    <t>C Sakariya, Rahmanullah Gurbaz, SP Narine, VR Iyer, AM Rahane, RK Singh, AD Russell, R Powell, VG Arora, Harshit Rana, CV Varun, A Raghuvanshi</t>
  </si>
  <si>
    <t>HV Patel</t>
  </si>
  <si>
    <t>SK Rasheed, A Mhatre, SM Curran, RA Jadeja, D Brevis, S Dube, DJ Hooda, MS Dhoni, A Kamboj, Noor Ahmad, KK Ahmed, M Pathirana</t>
  </si>
  <si>
    <t>Zeeshan Ansari, Abhishek Sharma, TM Head, Ishan Kishan, H Klaasen, Aniket Verma, PHKD Mendis, Nithish Kumar Reddy, PJ Cummins, HV Patel, JD Unadkat, Mohammed Shami</t>
  </si>
  <si>
    <t>JR Hazlewood</t>
  </si>
  <si>
    <t>Suyash Sharma, PD Salt, V Kohli, D Padikkal, TH David, RM Patidar, JM Sharma, R Shepherd, KH Pandya, B Kumar, JR Hazlewood, Yash Dayal</t>
  </si>
  <si>
    <t>Sandeep Sharma, YBK Jaiswal, V Suryavanshi, N Rana, R Parag, Dhruv Jurel, SO Hetmyer, SB Dubey, JC Archer, PWH de Silva, TU Deshpande, Fazalhaq Farooqi</t>
  </si>
  <si>
    <t>TA Boult</t>
  </si>
  <si>
    <t>TM Head, Abhishek Sharma, Ishan Kishan, Nithish Kumar Reddy, H Klaasen, Aniket Verma, A Manohar, PJ Cummins, HV Patel, JD Unadkat, Zeeshan Ansari, E Malinga</t>
  </si>
  <si>
    <t>V Puthur, RD Rickelton, RG Sharma, WG Jacks, SA Yadav, Tilak Varma, HH Pandya, Naman Dhir, MJ Santner, DL Chahar, TA Boult, JJ Bumrah</t>
  </si>
  <si>
    <t>Mukesh Kumar</t>
  </si>
  <si>
    <t>AK Markram, MR Marsh, N Pooran, Abdul Samad, DA Miller, A Badoni, RR Pant, SN Thakur, Ravi Bishnoi, DS Rathi, Avesh Khan, Prince Yadav</t>
  </si>
  <si>
    <t>Abishek Porel, KK Nair, KL Rahul, AR Patel, T Stubbs, Ashutosh Sharma, V Nigam, MA Starc, PVD Chameera, Kuldeep Yadav, Mukesh Kumar</t>
  </si>
  <si>
    <t>SE Rutherford, B Sai Sudharsan, Shubman Gill, JC Buttler, R Tewatia, M Shahrukh Khan, Rashid Khan, Washington Sundar, R Sai Kishore, Mohammed Siraj, M Prasidh Krishna, I Sharma</t>
  </si>
  <si>
    <t>VG Arora, Rahmanullah Gurbaz, SP Narine, AM Rahane, VR Iyer, RK Singh, AD Russell, Ramandeep Singh, MM Ali, A Raghuvanshi, Harshit Rana, CV Varun</t>
  </si>
  <si>
    <t>R Ashwin, SK Rasheed, R Ravindra, A Mhatre, RA Jadeja, S Dube, MS Dhoni, J Overton, V Shankar, Noor Ahmad, KK Ahmed, M Pathirana</t>
  </si>
  <si>
    <t>Ashwani Kumar, RD Rickelton, RG Sharma, SA Yadav, WG Jacks, Tilak Varma, HH Pandya, Naman Dhir, MJ Santner, DL Chahar, TA Boult, JJ Bumrah</t>
  </si>
  <si>
    <t>V Kohli</t>
  </si>
  <si>
    <t>Mohali</t>
  </si>
  <si>
    <t>Harpreet Brar, Priyansh Arya, P Simran Singh, SS Iyer, JP Inglis, N Wadhera, Shashank Singh, MP Stoinis, M Jansen, XC Bartlett, Arshdeep Singh, YS Chahal</t>
  </si>
  <si>
    <t>Suyash Sharma, PD Salt, V Kohli, D Padikkal, RM Patidar, JM Sharma, R Shepherd, TH David, KH Pandya, B Kumar, JR Hazlewood, Yash Dayal</t>
  </si>
  <si>
    <t>Avesh Khan</t>
  </si>
  <si>
    <t>MR Marsh, AK Markram, N Pooran, RR Pant, A Badoni, DA Miller, Abdul Samad, DS Rathi, SN Thakur, Ravi Bishnoi, Prince Yadav, Avesh Khan</t>
  </si>
  <si>
    <t>Sandeep Sharma, YBK Jaiswal, V Suryavanshi, N Rana, R Parag, Dhruv Jurel, SO Hetmyer, SB Dubey, PWH de Silva, JC Archer, M Theekshana, TU Deshpande</t>
  </si>
  <si>
    <t>JC Buttler</t>
  </si>
  <si>
    <t>Abishek Porel, KK Nair, KL Rahul, AR Patel, T Stubbs, Ashutosh Sharma, V Nigam, D Ferreira, MA Starc, Kuldeep Yadav, MM Sharma, Mukesh Kumar</t>
  </si>
  <si>
    <t>I Sharma, B Sai Sudharsan, Shubman Gill, JC Buttler, SE Rutherford, R Tewatia, Rashid Khan, M Shahrukh Khan, Arshad Khan, R Sai Kishore, Mohammed Siraj, M Prasidh Krishna</t>
  </si>
  <si>
    <t>TH David</t>
  </si>
  <si>
    <t>PD Salt, V Kohli, RM Patidar, LS Livingstone, JM Sharma, KH Pandya, TH David, MS Bhandage, B Kumar, Yash Dayal, JR Hazlewood, Suyash Sharma</t>
  </si>
  <si>
    <t>YS Chahal, Priyansh Arya, P Simran Singh, SS Iyer, JP Inglis, N Wadhera, Shashank Singh, MP Stoinis, Harpreet Brar, M Jansen, XC Bartlett, Arshdeep Singh</t>
  </si>
  <si>
    <t>RD Chahar, Abhishek Sharma, TM Head, Ishan Kishan, Nithish Kumar Reddy, H Klaasen, Aniket Verma, PJ Cummins, HV Patel, Mohammed Shami, Zeeshan Ansari, E Malinga</t>
  </si>
  <si>
    <t>KV Sharma, RD Rickelton, RG Sharma, WG Jacks, SA Yadav, Tilak Varma, HH Pandya, Naman Dhir, MJ Santner, DL Chahar, TA Boult, JJ Bumrah</t>
  </si>
  <si>
    <t>tie</t>
  </si>
  <si>
    <t>MA Starc</t>
  </si>
  <si>
    <t>Mukesh Kumar, J Fraser-McGurk, Abishek Porel, KK Nair, KL Rahul, T Stubbs, AR Patel, Ashutosh Sharma, V Nigam, MA Starc, Kuldeep Yadav, MM Sharma</t>
  </si>
  <si>
    <t>YBK Jaiswal, SV Samson, R Parag, N Rana, Dhruv Jurel, SO Hetmyer, PWH de Silva, JC Archer, M Theekshana, Sandeep Sharma, TU Deshpande, SB Dubey</t>
  </si>
  <si>
    <t>YS Chahal</t>
  </si>
  <si>
    <t>Priyansh Arya, P Simran Singh, SS Iyer, JP Inglis, N Wadhera, GJ Maxwell, Suryansh Shedge, Shashank Singh, M Jansen, XC Bartlett, Arshdeep Singh, YS Chahal</t>
  </si>
  <si>
    <t>CV Varun, Q de Kock, SP Narine, AM Rahane, A Raghuvanshi, VR Iyer, RK Singh, AD Russell, Ramandeep Singh, Harshit Rana, VG Arora, A Nortje</t>
  </si>
  <si>
    <t>MS Dhoni</t>
  </si>
  <si>
    <t>Ravi Bishnoi, AK Markram, MR Marsh, N Pooran, RR Pant, A Badoni, Abdul Samad, DA Miller, SN Thakur, DS Rathi, Akash Deep, Avesh Khan</t>
  </si>
  <si>
    <t>M Pathirana, SK Rasheed, R Ravindra, RA Tripathi, RA Jadeja, S Dube, V Shankar, MS Dhoni, J Overton, A Kamboj, Noor Ahmad, KK Ahmed</t>
  </si>
  <si>
    <t>KV Sharma</t>
  </si>
  <si>
    <t>KV Sharma, RG Sharma, RD Rickelton, SA Yadav, Tilak Varma, HH Pandya, Naman Dhir, WG Jacks, MJ Santner, DL Chahar, TA Boult, JJ Bumrah</t>
  </si>
  <si>
    <t>Mukesh Kumar, J Fraser-McGurk, Abishek Porel, KK Nair, KL Rahul, AR Patel, T Stubbs, Ashutosh Sharma, V Nigam, MA Starc, Kuldeep Yadav, MM Sharma</t>
  </si>
  <si>
    <t>PD Salt</t>
  </si>
  <si>
    <t>K Kartikeya, YBK Jaiswal, SV Samson, R Parag, Dhruv Jurel, SO Hetmyer, N Rana, PWH de Silva, JC Archer, M Theekshana, Sandeep Sharma, TU Deshpande</t>
  </si>
  <si>
    <t>Suyash Sharma, PD Salt, V Kohli, D Padikkal, RM Patidar, LS Livingstone, JM Sharma, TH David, KH Pandya, B Kumar, JR Hazlewood, Yash Dayal</t>
  </si>
  <si>
    <t>AK Markram</t>
  </si>
  <si>
    <t>M Prasidh Krishna, B Sai Sudharsan, Shubman Gill, JC Buttler, Washington Sundar, SE Rutherford, M Shahrukh Khan, R Tewatia, Rashid Khan, Arshad Khan, R Sai Kishore, Mohammed Siraj</t>
  </si>
  <si>
    <t>DS Rathi, AK Markram, RR Pant, N Pooran, A Badoni, DA Miller, Abdul Samad, Himmat Singh, SN Thakur, Akash Deep, Avesh Khan, Ravi Bishnoi</t>
  </si>
  <si>
    <t>Yash Thakur, Priyansh Arya, P Simran Singh, SS Iyer, N Wadhera, Shashank Singh, GJ Maxwell, MP Stoinis, M Jansen, YS Chahal, Arshdeep Singh, LH Ferguson</t>
  </si>
  <si>
    <t>E Malinga, TM Head, Abhishek Sharma, H Klaasen, Ishan Kishan, Nithish Kumar Reddy, Aniket Verma, PJ Cummins, HV Patel, Mohammed Shami, Zeeshan Ansari, A Manohar</t>
  </si>
  <si>
    <t>R Ravindra, DP Conway, RA Tripathi, V Shankar, S Dube, R Ashwin, RA Jadeja, DJ Hooda, MS Dhoni, Noor Ahmad, A Kamboj, KK Ahmed</t>
  </si>
  <si>
    <t>Q de Kock, SP Narine, AM Rahane, RK Singh, VR Iyer, AD Russell, Ramandeep Singh, VG Arora, MM Ali, Harshit Rana, CV Varun</t>
  </si>
  <si>
    <t>KL Rahul</t>
  </si>
  <si>
    <t>PD Salt, V Kohli, D Padikkal, RM Patidar, LS Livingstone, JM Sharma, KH Pandya, TH David, B Kumar, JR Hazlewood, Yash Dayal, Suyash Sharma</t>
  </si>
  <si>
    <t>F du Plessis, J Fraser-McGurk, Abishek Porel, KL Rahul, AR Patel, T Stubbs, Ashutosh Sharma, V Nigam, MA Starc, Kuldeep Yadav, MM Sharma, Mukesh Kumar</t>
  </si>
  <si>
    <t>K Khejroliya, B Sai Sudharsan, Shubman Gill, JC Buttler, M Shahrukh Khan, SE Rutherford, R Tewatia, Rashid Khan, Arshad Khan, R Sai Kishore, Mohammed Siraj, M Prasidh Krishna</t>
  </si>
  <si>
    <t>Fazalhaq Farooqi, YBK Jaiswal, SV Samson, N Rana, R Parag, Dhruv Jurel, SO Hetmyer, SB Dubey, JC Archer, M Theekshana, TU Deshpande, Sandeep Sharma</t>
  </si>
  <si>
    <t>N Pooran</t>
  </si>
  <si>
    <t>AK Markram, MR Marsh, N Pooran, Abdul Samad, DA Miller, RR Pant, A Badoni, SN Thakur, Akash Deep, Avesh Khan, DS Rathi, Ravi Bishnoi</t>
  </si>
  <si>
    <t>CV Varun, Q de Kock, SP Narine, AM Rahane, VR Iyer, Ramandeep Singh, A Raghuvanshi, AD Russell, RK Singh, Harshit Rana, VG Arora, SH Johnson</t>
  </si>
  <si>
    <t>Priyansh Arya</t>
  </si>
  <si>
    <t>Priyansh Arya, P Simran Singh, SS Iyer, MP Stoinis, N Wadhera, GJ Maxwell, Shashank Singh, M Jansen, YS Chahal, Arshdeep Singh, LH Ferguson, Yash Thakur</t>
  </si>
  <si>
    <t>M Pathirana, R Ravindra, DP Conway, RD Gaikwad, S Dube, MS Dhoni, RA Jadeja, V Shankar, R Ashwin, Noor Ahmad, Mukesh Choudhary, KK Ahmed</t>
  </si>
  <si>
    <t>RM Patidar</t>
  </si>
  <si>
    <t>PD Salt, V Kohli, D Padikkal, RM Patidar, LS Livingstone, JM Sharma, TH David, KH Pandya, B Kumar, JR Hazlewood, Yash Dayal, Suyash Sharma</t>
  </si>
  <si>
    <t>V Puthur, RG Sharma, RD Rickelton, WG Jacks, SA Yadav, Tilak Varma, HH Pandya, Naman Dhir, MJ Santner, DL Chahar, TA Boult, JJ Bumrah</t>
  </si>
  <si>
    <t>Mohammed Siraj</t>
  </si>
  <si>
    <t>Abhishek Sharma, TM Head, Ishan Kishan, Nithish Kumar Reddy, H Klaasen, Aniket Verma, PHKD Mendis, PJ Cummins, Simarjeet Singh, Mohammed Shami, Zeeshan Ansari, JD Unadkat</t>
  </si>
  <si>
    <t>I Sharma, B Sai Sudharsan, Shubman Gill, JC Buttler, Washington Sundar, SE Rutherford, R Tewatia, M Shahrukh Khan, Rashid Khan, R Sai Kishore, Mohammed Siraj, M Prasidh Krishna</t>
  </si>
  <si>
    <t>Mukesh Kumar, J Fraser-McGurk, KL Rahul, Abishek Porel, AR Patel, Sameer Rizvi, T Stubbs, Ashutosh Sharma, V Nigam, MA Starc, Kuldeep Yadav, MM Sharma</t>
  </si>
  <si>
    <t>M Pathirana, R Ravindra, DP Conway, RD Gaikwad, V Shankar, S Dube, RA Jadeja, MS Dhoni, R Ashwin, Noor Ahmad, Mukesh Choudhary, KK Ahmed</t>
  </si>
  <si>
    <t>JC Archer</t>
  </si>
  <si>
    <t>K Kartikeya, YBK Jaiswal, SV Samson, R Parag, N Rana, SO Hetmyer, Dhruv Jurel, PWH de Silva, JC Archer, M Theekshana, Yudhvir Singh, Sandeep Sharma</t>
  </si>
  <si>
    <t>YS Chahal, Priyansh Arya, P Simran Singh, SS Iyer, MP Stoinis, N Wadhera, GJ Maxwell, Shashank Singh, Suryansh Shedge, M Jansen, Arshdeep Singh, LH Ferguson</t>
  </si>
  <si>
    <t>DS Rathi</t>
  </si>
  <si>
    <t>Ravi Bishnoi, MR Marsh, AK Markram, N Pooran, RR Pant, A Badoni, DA Miller, Abdul Samad, SN Thakur, Akash Deep, Avesh Khan, DS Rathi</t>
  </si>
  <si>
    <t>V Puthur, WG Jacks, RD Rickelton, Naman Dhir, SA Yadav, Tilak Varma, HH Pandya, MJ Santner, RA Bawa, DL Chahar, TA Boult, Ashwani Kumar</t>
  </si>
  <si>
    <t>VG Arora</t>
  </si>
  <si>
    <t>VG Arora, Q de Kock, SP Narine, AM Rahane, A Raghuvanshi, VR Iyer, RK Singh, AD Russell, MM Ali, Ramandeep Singh, Harshit Rana, CV Varun</t>
  </si>
  <si>
    <t>Zeeshan Ansari, TM Head, Abhishek Sharma, Ishan Kishan, Nithish Kumar Reddy, PHKD Mendis, H Klaasen, Aniket Verma, PJ Cummins, HV Patel, Simarjeet Singh, Mohammed Shami</t>
  </si>
  <si>
    <t>Rasikh Salam, PD Salt, V Kohli, D Padikkal, RM Patidar, LS Livingstone, JM Sharma, KH Pandya, TH David, B Kumar, JR Hazlewood, Yash Dayal</t>
  </si>
  <si>
    <t>I Sharma, B Sai Sudharsan, Shubman Gill, JC Buttler, SE Rutherford, M Shahrukh Khan, R Tewatia, Arshad Khan, Rashid Khan, R Sai Kishore, Mohammed Siraj, M Prasidh Krishna</t>
  </si>
  <si>
    <t>M Siddharth, AK Markram, MR Marsh, N Pooran, RR Pant, A Badoni, DA Miller, Abdul Samad, SN Thakur, Avesh Khan, Ravi Bishnoi, DS Rathi</t>
  </si>
  <si>
    <t>YS Chahal, Priyansh Arya, P Simran Singh, SS Iyer, N Wadhera, GJ Maxwell, MP Stoinis, Shashank Singh, Suryansh Shedge, M Jansen, LH Ferguson, Arshdeep Singh</t>
  </si>
  <si>
    <t>Ashwani Kumar</t>
  </si>
  <si>
    <t>Q de Kock, SP Narine, AM Rahane, A Raghuvanshi, VR Iyer, RK Singh, MK Pandey, AD Russell, Ramandeep Singh, Harshit Rana, SH Johnson, CV Varun</t>
  </si>
  <si>
    <t>V Puthur, RG Sharma, RD Rickelton, WG Jacks, SA Yadav, Tilak Varma, HH Pandya, Naman Dhir, MJ Santner, DL Chahar, TA Boult, Ashwani Kumar</t>
  </si>
  <si>
    <t>Dr. Y.S. Rajasekhara Reddy ACA-VDCA Cricket Stadium, Visakhapatnam</t>
  </si>
  <si>
    <t>Visakhapatnam</t>
  </si>
  <si>
    <t>Abhishek Sharma, TM Head, Ishan Kishan, Nithish Kumar Reddy, Aniket Verma, H Klaasen, A Manohar, PJ Cummins, PWA Mulder, HV Patel, Mohammed Shami, Zeeshan Ansari</t>
  </si>
  <si>
    <t>J Fraser-McGurk, F du Plessis, Abishek Porel, KL Rahul, T Stubbs, AR Patel, V Nigam, MA Starc, Kuldeep Yadav, MM Sharma, Mukesh Kumar</t>
  </si>
  <si>
    <t>N Rana</t>
  </si>
  <si>
    <t>Barsapara Cricket Stadium, Guwahati</t>
  </si>
  <si>
    <t>Guwahati</t>
  </si>
  <si>
    <t>YBK Jaiswal, SV Samson, N Rana, R Parag, Dhruv Jurel, PWH de Silva, SO Hetmyer, JC Archer, K Kartikeya, M Theekshana, TU Deshpande, Sandeep Sharma</t>
  </si>
  <si>
    <t>M Pathirana, R Ravindra, RA Tripathi, RD Gaikwad, S Dube, V Shankar, RA Jadeja, MS Dhoni, J Overton, R Ashwin, Noor Ahmad, KK Ahmed</t>
  </si>
  <si>
    <t>I Sharma, B Sai Sudharsan, Shubman Gill, JC Buttler, M Shahrukh Khan, SE Rutherford, R Tewatia, Rashid Khan, K Rabada, R Sai Kishore, Mohammed Siraj, M Prasidh Krishna</t>
  </si>
  <si>
    <t>PVSN Raju, RG Sharma, RD Rickelton, Tilak Varma, SA Yadav, R Minz, HH Pandya, Naman Dhir, MJ Santner, DL Chahar, TA Boult, Mujeeb Ur Rahman</t>
  </si>
  <si>
    <t>M Pathirana, R Ravindra, RA Tripathi, RD Gaikwad, DJ Hooda, SM Curran, S Dube, RA Jadeja, R Ashwin, MS Dhoni, Noor Ahmad, KK Ahmed</t>
  </si>
  <si>
    <t>SN Thakur</t>
  </si>
  <si>
    <t>TM Head, Abhishek Sharma, Ishan Kishan, Nithish Kumar Reddy, H Klaasen, Aniket Verma, A Manohar, PJ Cummins, HV Patel, Mohammed Shami, Simarjeet Singh, A Zampa</t>
  </si>
  <si>
    <t>DS Rathi, MR Marsh, AK Markram, N Pooran, RR Pant, A Badoni, DA Miller, Abdul Samad, SN Thakur, Ravi Bishnoi, Prince Yadav, Avesh Khan</t>
  </si>
  <si>
    <t>Q de Kock</t>
  </si>
  <si>
    <t>YBK Jaiswal, SV Samson, R Parag, N Rana, PWH de Silva, Dhruv Jurel, SB Dubey, SO Hetmyer, JC Archer, M Theekshana, TU Deshpande, Sandeep Sharma</t>
  </si>
  <si>
    <t>CV Varun, MM Ali, Q de Kock, AM Rahane, A Raghuvanshi, VR Iyer, RK Singh, AD Russell, Ramandeep Singh, SH Johnson, VG Arora, Harshit Rana</t>
  </si>
  <si>
    <t>Priyansh Arya, P Simran Singh, SS Iyer, Azmatullah Omarzai, GJ Maxwell, MP Stoinis, Shashank Singh, Suryansh Shedge, M Jansen, Arshdeep Singh, YS Chahal, Vijaykumar Vyshak</t>
  </si>
  <si>
    <t>B Sai Sudharsan, Shubman Gill, JC Buttler, SE Rutherford, R Tewatia, M Shahrukh Khan, Arshad Khan, R Sai Kishore, Rashid Khan, K Rabada, Mohammed Siraj, M Prasidh Krishna</t>
  </si>
  <si>
    <t>Ashutosh Sharma</t>
  </si>
  <si>
    <t>M Siddharth, AK Markram, MR Marsh, N Pooran, RR Pant, DA Miller, A Badoni, SN Thakur, Shahbaz Ahmed, Ravi Bishnoi, DS Rathi, Prince Yadav</t>
  </si>
  <si>
    <t>Mukesh Kumar, J Fraser-McGurk, F du Plessis, Abishek Porel, Sameer Rizvi, AR Patel, T Stubbs, Ashutosh Sharma, V Nigam, MA Starc, Kuldeep Yadav, MM Sharma</t>
  </si>
  <si>
    <t>A Zampa, Abhishek Sharma, TM Head, Ishan Kishan, Nithish Kumar Reddy, H Klaasen, Aniket Verma, A Manohar, PJ Cummins, Simarjeet Singh, HV Patel, Mohammed Shami</t>
  </si>
  <si>
    <t>Fazalhaq Farooqi, YBK Jaiswal, SV Samson, R Parag, N Rana, Dhruv Jurel, SO Hetmyer, SB Dubey, JC Archer, M Theekshana, TU Deshpande, Sandeep Sharma</t>
  </si>
  <si>
    <t>V Puthur, RG Sharma, RD Rickelton, WG Jacks, SA Yadav, Tilak Varma, R Minz, Naman Dhir, MJ Santner, DL Chahar, TA Boult, PVSN Raju</t>
  </si>
  <si>
    <t>KK Ahmed, R Ravindra, RA Tripathi, RD Gaikwad, S Dube, DJ Hooda, SM Curran, RA Jadeja, MS Dhoni, R Ashwin, Noor Ahmad, NT Ellis</t>
  </si>
  <si>
    <t>VG Arora, Q de Kock, SP Narine, AM Rahane, VR Iyer, A Raghuvanshi, RK Singh, AD Russell, Ramandeep Singh, Harshit Rana, SH Johnson, CV Varun</t>
  </si>
  <si>
    <t>Suyash Sharma, PD Salt, V Kohli, D Padikkal, RM Patidar, LS Livingstone, JM Sharma, TH David, KH Pandya, Rasikh Salam, JR Hazlewood, Yash Dayal</t>
  </si>
  <si>
    <t>Abhishek Sharma, TM Head, RA Tripathi, AK Markram, Nithish Kumar Reddy, H Klaasen, Shahbaz Ahmed, Abdul Samad, PJ Cummins, JD Unadkat, B Kumar, T Natarajan</t>
  </si>
  <si>
    <t>Rahmanullah Gurbaz, SP Narine, VR Iyer, SS Iyer, RK Singh, AD Russell, Ramandeep Singh, MA Starc, VG Arora, Harshit Rana, CV Varun</t>
  </si>
  <si>
    <t>Shahbaz Ahmed</t>
  </si>
  <si>
    <t>TM Head, Abhishek Sharma, RA Tripathi, AK Markram, H Klaasen, Nithish Kumar Reddy, Abdul Samad, Shahbaz Ahmed, PJ Cummins, JD Unadkat, B Kumar, T Natarajan</t>
  </si>
  <si>
    <t>YS Chahal, YBK Jaiswal, T Kohler-Cadmore, SV Samson, R Parag, Dhruv Jurel, R Ashwin, SO Hetmyer, R Powell, TA Boult, Sandeep Sharma, Avesh Khan</t>
  </si>
  <si>
    <t>R Ashwin</t>
  </si>
  <si>
    <t>V Kohli, F du Plessis, C Green, RM Patidar, GJ Maxwell, MK Lomror, KD Karthik, Swapnil Singh, KV Sharma, Yash Dayal, Mohammed Siraj, LH Ferguson</t>
  </si>
  <si>
    <t>YS Chahal, YBK Jaiswal, T Kohler-Cadmore, SV Samson, R Parag, Dhruv Jurel, SO Hetmyer, R Powell, R Ashwin, TA Boult, Avesh Khan, Sandeep Sharma</t>
  </si>
  <si>
    <t>TM Head, Abhishek Sharma, RA Tripathi, Nithish Kumar Reddy, Shahbaz Ahmed, H Klaasen, Abdul Samad, Sanvir Singh, PJ Cummins, B Kumar, V Viyaskanth, T Natarajan</t>
  </si>
  <si>
    <t>Arshdeep Singh, Atharva Taide, P Simran Singh, RR Rossouw, Shashank Singh, JM Sharma, Ashutosh Sharma, Shivam Singh, R Dhawan, Harpreet Brar, HV Patel, RD Chahar</t>
  </si>
  <si>
    <t>T Natarajan, TM Head, Abhishek Sharma, RA Tripathi, Nithish Kumar Reddy, H Klaasen, Shahbaz Ahmed, Abdul Samad, Sanvir Singh, PJ Cummins, B Kumar, V Viyaskanth</t>
  </si>
  <si>
    <t>F du Plessis</t>
  </si>
  <si>
    <t>Swapnil Singh, V Kohli, F du Plessis, RM Patidar, C Green, KD Karthik, GJ Maxwell, MK Lomror, Yash Dayal, KV Sharma, Mohammed Siraj, LH Ferguson</t>
  </si>
  <si>
    <t>M Theekshana, RD Gaikwad, R Ravindra, DJ Mitchell, AM Rahane, S Dube, RA Jadeja, MJ Santner, MS Dhoni, SN Thakur, TU Deshpande, Simarjeet Singh</t>
  </si>
  <si>
    <t>Naveen-ul-Haq, KL Rahul, D Padikkal, MP Stoinis, DJ Hooda, N Pooran, Arshad Khan, A Badoni, KH Pandya, MJ Henry, Ravi Bishnoi, Mohsin Khan</t>
  </si>
  <si>
    <t>N Thushara, RG Sharma, D Brevis, SA Yadav, Ishan Kishan, HH Pandya, N Wadhera, Naman Dhir, R Shepherd, A Kamboj, PP Chawla, Arjun Tendulkar</t>
  </si>
  <si>
    <t>SM Curran</t>
  </si>
  <si>
    <t>YBK Jaiswal, T Kohler-Cadmore, SV Samson, R Parag, R Ashwin, Dhruv Jurel, R Powell, D Ferreira, TA Boult, Avesh Khan, Sandeep Sharma, YS Chahal</t>
  </si>
  <si>
    <t>Arshdeep Singh, P Simran Singh, JM Bairstow, RR Rossouw, Shashank Singh, SM Curran, JM Sharma, Ashutosh Sharma, Harpreet Brar, HV Patel, NT Ellis, RD Chahar</t>
  </si>
  <si>
    <t>I Sharma</t>
  </si>
  <si>
    <t>I Sharma, J Fraser-McGurk, Abishek Porel, SD Hope, RR Pant, T Stubbs, AR Patel, Gulbadin Naib, Rasikh Salam, Mukesh Kumar, Kuldeep Yadav, KK Ahmed</t>
  </si>
  <si>
    <t>Mohsin Khan, Q de Kock, KL Rahul, MP Stoinis, DJ Hooda, N Pooran, A Badoni, KH Pandya, Arshad Khan, Yudhvir Singh, Ravi Bishnoi, Naveen-ul-Haq</t>
  </si>
  <si>
    <t>C Green</t>
  </si>
  <si>
    <t>V Kohli, F du Plessis, WG Jacks, RM Patidar, C Green, MK Lomror, KD Karthik, Swapnil Singh, KV Sharma, Mohammed Siraj, Yash Dayal, LH Ferguson</t>
  </si>
  <si>
    <t>KK Ahmed, DA Warner, J Fraser-McGurk, Abishek Porel, SD Hope, Kumar Kushagra, AR Patel, T Stubbs, Rasikh Salam, Kuldeep Yadav, Mukesh Kumar, I Sharma</t>
  </si>
  <si>
    <t>Simarjeet Singh</t>
  </si>
  <si>
    <t>N Burger, YBK Jaiswal, JC Buttler, SV Samson, R Parag, Dhruv Jurel, SB Dubey, R Ashwin, TA Boult, Avesh Khan, Sandeep Sharma, YS Chahal</t>
  </si>
  <si>
    <t>R Ravindra, RD Gaikwad, DJ Mitchell, MM Ali, S Dube, RA Jadeja, Sameer Rizvi, MS Dhoni, SN Thakur, TU Deshpande, Simarjeet Singh, M Theekshana</t>
  </si>
  <si>
    <t>CV Varun</t>
  </si>
  <si>
    <t>VG Arora, PD Salt, SP Narine, VR Iyer, SS Iyer, N Rana, AD Russell, RK Singh, Ramandeep Singh, MA Starc, Harshit Rana, CV Varun</t>
  </si>
  <si>
    <t>N Thushara, Ishan Kishan, RG Sharma, SA Yadav, Tilak Varma, HH Pandya, TH David, N Wadhera, Naman Dhir, A Kamboj, PP Chawla, JJ Bumrah</t>
  </si>
  <si>
    <t>S Sandeep Warrier, B Sai Sudharsan, Shubman Gill, DA Miller, M Shahrukh Khan, MS Wade, R Tewatia, Rashid Khan, Noor Ahmad, UT Yadav, MM Sharma, Kartik Tyagi</t>
  </si>
  <si>
    <t>TU Deshpande, AM Rahane, R Ravindra, RD Gaikwad, DJ Mitchell, MM Ali, S Dube, RA Jadeja, MS Dhoni, MJ Santner, SN Thakur, Simarjeet Singh</t>
  </si>
  <si>
    <t>Yash Dayal, V Kohli, F du Plessis, WG Jacks, RM Patidar, C Green, KD Karthik, MK Lomror, Swapnil Singh, KV Sharma, Mohammed Siraj, LH Ferguson</t>
  </si>
  <si>
    <t>V Kaverappa, P Simran Singh, JM Bairstow, RR Rossouw, Shashank Singh, JM Sharma, LS Livingstone, SM Curran, Ashutosh Sharma, HV Patel, RD Chahar, Arshdeep Singh</t>
  </si>
  <si>
    <t>TM Head</t>
  </si>
  <si>
    <t>KL Rahul, Q de Kock, MP Stoinis, KH Pandya, N Pooran, A Badoni, DJ Hooda, K Gowtham, Yash Thakur, Ravi Bishnoi, Naveen-ul-Haq</t>
  </si>
  <si>
    <t>T Natarajan, Abhishek Sharma, TM Head, Nithish Kumar Reddy, H Klaasen, Abdul Samad, Shahbaz Ahmed, Sanvir Singh, PJ Cummins, B Kumar, JD Unadkat, V Viyaskanth</t>
  </si>
  <si>
    <t>Kuldeep Yadav</t>
  </si>
  <si>
    <t>J Fraser-McGurk, Abishek Porel, SD Hope, AR Patel, RR Pant, T Stubbs, Gulbadin Naib, Rasikh Salam, Kuldeep Yadav, Mukesh Kumar, I Sharma, KK Ahmed</t>
  </si>
  <si>
    <t>YS Chahal, YBK Jaiswal, JC Buttler, SV Samson, R Parag, SB Dubey, R Powell, D Ferreira, R Ashwin, TA Boult, Avesh Khan, Sandeep Sharma</t>
  </si>
  <si>
    <t>TM Head, Abhishek Sharma, MA Agarwal, Nithish Kumar Reddy, H Klaasen, M Jansen, Shahbaz Ahmed, Abdul Samad, PJ Cummins, Sanvir Singh, B Kumar, T Natarajan</t>
  </si>
  <si>
    <t>Ishan Kishan, RG Sharma, Naman Dhir, SA Yadav, Tilak Varma, HH Pandya, TH David, A Kamboj, PP Chawla, JJ Bumrah, N Thushara</t>
  </si>
  <si>
    <t>VG Arora, PD Salt, SP Narine, A Raghuvanshi, AD Russell, RK Singh, SS Iyer, Ramandeep Singh, VR Iyer, MA Starc, Harshit Rana, CV Varun</t>
  </si>
  <si>
    <t>Yash Thakur, Mohsin Khan, KL Rahul, AA Kulkarni, MP Stoinis, DJ Hooda, N Pooran, A Badoni, AJ Turner, KH Pandya, Yudhvir Singh, Ravi Bishnoi, Naveen-ul-Haq</t>
  </si>
  <si>
    <t>RA Jadeja</t>
  </si>
  <si>
    <t>Simarjeet Singh, AM Rahane, RD Gaikwad, DJ Mitchell, S Dube, MM Ali, RA Jadeja, MJ Santner, SN Thakur, MS Dhoni, TU Deshpande, RJ Gleeson</t>
  </si>
  <si>
    <t>Arshdeep Singh, P Simran Singh, JM Bairstow, RR Rossouw, Shashank Singh, SM Curran, JM Sharma, Ashutosh Sharma, Harpreet Brar, HV Patel, RD Chahar, K Rabada</t>
  </si>
  <si>
    <t>WP Saha, Shubman Gill, B Sai Sudharsan, M Shahrukh Khan, DA Miller, R Tewatia, Rashid Khan, V Shankar, MJ Suthar, MM Sharma, Noor Ahmad, J Little</t>
  </si>
  <si>
    <t>Yash Dayal, V Kohli, F du Plessis, WG Jacks, RM Patidar, GJ Maxwell, C Green, KD Karthik, Swapnil Singh, KV Sharma, Mohammed Siraj, Vijaykumar Vyshak</t>
  </si>
  <si>
    <t>VR Iyer</t>
  </si>
  <si>
    <t>PD Salt, SP Narine, A Raghuvanshi, SS Iyer, VR Iyer, RK Singh, MK Pandey, AD Russell, Ramandeep Singh, MA Starc, VG Arora, CV Varun</t>
  </si>
  <si>
    <t>N Thushara, Ishan Kishan, RG Sharma, Naman Dhir, SA Yadav, Tilak Varma, N Wadhera, HH Pandya, TH David, G Coetzee, PP Chawla, JJ Bumrah</t>
  </si>
  <si>
    <t>B Kumar</t>
  </si>
  <si>
    <t>JD Unadkat, TM Head, Abhishek Sharma, Anmolpreet Singh, Nithish Kumar Reddy, H Klaasen, Abdul Samad, Shahbaz Ahmed, M Jansen, PJ Cummins, B Kumar, T Natarajan</t>
  </si>
  <si>
    <t>YS Chahal, YBK Jaiswal, JC Buttler, SV Samson, R Parag, SO Hetmyer, R Powell, Dhruv Jurel, R Ashwin, TA Boult, Avesh Khan, Sandeep Sharma</t>
  </si>
  <si>
    <t>AM Rahane, RD Gaikwad, S Dube, RA Jadeja, Sameer Rizvi, MM Ali, MS Dhoni, DJ Mitchell, DL Chahar, SN Thakur, RJ Gleeson, Mustafizur Rahman</t>
  </si>
  <si>
    <t>Arshdeep Singh, P Simran Singh, JM Bairstow, RR Rossouw, Shashank Singh, SM Curran, JM Sharma, Ashutosh Sharma, Harpreet Brar, RD Chahar, HV Patel, K Rabada</t>
  </si>
  <si>
    <t>MP Stoinis</t>
  </si>
  <si>
    <t>N Thushara, Ishan Kishan, RG Sharma, SA Yadav, Tilak Varma, HH Pandya, N Wadhera, TH David, Mohammad Nabi, G Coetzee, PP Chawla, JJ Bumrah</t>
  </si>
  <si>
    <t>MP Yadav, KL Rahul, AA Kulkarni, MP Stoinis, DJ Hooda, N Pooran, AJ Turner, A Badoni, KH Pandya, Ravi Bishnoi, Naveen-ul-Haq, Mohsin Khan</t>
  </si>
  <si>
    <t>PP Shaw, J Fraser-McGurk, Abishek Porel, SD Hope, RR Pant, AR Patel, T Stubbs, Kumar Kushagra, Kuldeep Yadav, Rasikh Salam, LB Williams, KK Ahmed</t>
  </si>
  <si>
    <t>CV Varun, PD Salt, SP Narine, RK Singh, SS Iyer, VR Iyer, AD Russell, Ramandeep Singh, MA Starc, VG Arora, Harshit Rana, A Raghuvanshi</t>
  </si>
  <si>
    <t>S Sandeep Warrier, WP Saha, Shubman Gill, B Sai Sudharsan, M Shahrukh Khan, DA Miller, Azmatullah Omarzai, R Tewatia, Rashid Khan, R Sai Kishore, MM Sharma, Noor Ahmad</t>
  </si>
  <si>
    <t>V Kohli, F du Plessis, WG Jacks, RM Patidar, GJ Maxwell, C Green, KD Karthik, KV Sharma, Mohammed Siraj, Yash Dayal, Swapnil Singh</t>
  </si>
  <si>
    <t>RD Gaikwad</t>
  </si>
  <si>
    <t>SN Thakur, AM Rahane, RD Gaikwad, DJ Mitchell, S Dube, MS Dhoni, MM Ali, RA Jadeja, DL Chahar, TU Deshpande, Mustafizur Rahman, M Pathirana</t>
  </si>
  <si>
    <t>T Natarajan, TM Head, Abhishek Sharma, Anmolpreet Singh, AK Markram, Nithish Kumar Reddy, H Klaasen, Abdul Samad, Shahbaz Ahmed, PJ Cummins, B Kumar, JD Unadkat</t>
  </si>
  <si>
    <t>J Fraser-McGurk</t>
  </si>
  <si>
    <t>Rasikh Salam, J Fraser-McGurk, Abishek Porel, SD Hope, RR Pant, T Stubbs, AR Patel, Kumar Kushagra, Kuldeep Yadav, LB Williams, KK Ahmed, Mukesh Kumar</t>
  </si>
  <si>
    <t>N Thushara, Ishan Kishan, RG Sharma, SA Yadav, Tilak Varma, HH Pandya, N Wadhera, TH David, Mohammad Nabi, PP Chawla, L Wood, JJ Bumrah</t>
  </si>
  <si>
    <t>SV Samson</t>
  </si>
  <si>
    <t>A Mishra, Q de Kock, KL Rahul, MP Stoinis, DJ Hooda, N Pooran, A Badoni, KH Pandya, MJ Henry, Ravi Bishnoi, Mohsin Khan, Yash Thakur</t>
  </si>
  <si>
    <t>YS Chahal, YBK Jaiswal, JC Buttler, SV Samson, R Parag, Dhruv Jurel, R Powell, SO Hetmyer, R Ashwin, TA Boult, Avesh Khan, Sandeep Sharma</t>
  </si>
  <si>
    <t>JM Bairstow</t>
  </si>
  <si>
    <t>AS Roy, PD Salt, SP Narine, VR Iyer, AD Russell, SS Iyer, RK Singh, Ramandeep Singh, A Raghuvanshi, CV Varun, Harshit Rana, PVD Chameera</t>
  </si>
  <si>
    <t>Arshdeep Singh, P Simran Singh, JM Bairstow, RR Rossouw, Shashank Singh, SM Curran, JM Sharma, Ashutosh Sharma, Harpreet Brar, HV Patel, K Rabada, RD Chahar</t>
  </si>
  <si>
    <t>V Kohli, F du Plessis, WG Jacks, RM Patidar, C Green, MK Lomror, KD Karthik, Swapnil Singh, KV Sharma, LH Ferguson, Yash Dayal, Mohammed Siraj</t>
  </si>
  <si>
    <t>T Natarajan, Abhishek Sharma, TM Head, AK Markram, Nithish Kumar Reddy, H Klaasen, Shahbaz Ahmed, Abdul Samad, PJ Cummins, B Kumar, JD Unadkat, M Markande</t>
  </si>
  <si>
    <t>RR Pant</t>
  </si>
  <si>
    <t>Rasikh Salam, PP Shaw, J Fraser-McGurk, AR Patel, SD Hope, RR Pant, T Stubbs, Abishek Porel, Kuldeep Yadav, A Nortje, KK Ahmed, Mukesh Kumar</t>
  </si>
  <si>
    <t>S Sandeep Warrier, WP Saha, Shubman Gill, B Sai Sudharsan, Azmatullah Omarzai, DA Miller, M Shahrukh Khan, R Tewatia, Rashid Khan, R Sai Kishore, MM Sharma, Noor Ahmad</t>
  </si>
  <si>
    <t>SN Thakur, AM Rahane, RD Gaikwad, DJ Mitchell, RA Jadeja, S Dube, MS Dhoni, MM Ali, DL Chahar, TU Deshpande, Mustafizur Rahman, M Pathirana</t>
  </si>
  <si>
    <t>Yash Thakur, Q de Kock, KL Rahul, MP Stoinis, D Padikkal, N Pooran, DJ Hooda, A Badoni, KH Pandya, MJ Henry, Ravi Bishnoi, Mohsin Khan</t>
  </si>
  <si>
    <t>Sandeep Sharma</t>
  </si>
  <si>
    <t>N Thushara, RG Sharma, Ishan Kishan, SA Yadav, Tilak Varma, Mohammad Nabi, N Wadhera, HH Pandya, TH David, G Coetzee, PP Chawla, JJ Bumrah</t>
  </si>
  <si>
    <t>YS Chahal, YBK Jaiswal, JC Buttler, SV Samson, R Powell, R Parag, SO Hetmyer, Dhruv Jurel, R Ashwin, TA Boult, Avesh Khan, Sandeep Sharma</t>
  </si>
  <si>
    <t>R Sai Kishore</t>
  </si>
  <si>
    <t>SM Curran, P Simran Singh, RR Rossouw, JM Sharma, LS Livingstone, Shashank Singh, Ashutosh Sharma, Harpreet Singh, Harpreet Brar, HV Patel, K Rabada, Arshdeep Singh</t>
  </si>
  <si>
    <t>S Sandeep Warrier, WP Saha, Shubman Gill, B Sai Sudharsan, DA Miller, Azmatullah Omarzai, R Tewatia, M Shahrukh Khan, Rashid Khan, R Sai Kishore, Noor Ahmad, MM Sharma</t>
  </si>
  <si>
    <t>Suyash Sharma, PD Salt, SP Narine, A Raghuvanshi, VR Iyer, SS Iyer, RK Singh, AD Russell, Ramandeep Singh, MA Starc, CV Varun, Harshit Rana</t>
  </si>
  <si>
    <t>Yash Dayal, V Kohli, F du Plessis, WG Jacks, RM Patidar, C Green, SS Prabhudessai, MK Lomror, KD Karthik, KV Sharma, Mohammed Siraj, LH Ferguson</t>
  </si>
  <si>
    <t>TM Head, Abhishek Sharma, AK Markram, H Klaasen, Nithish Kumar Reddy, Shahbaz Ahmed, Abdul Samad, PJ Cummins, Washington Sundar, B Kumar, T Natarajan, M Markande</t>
  </si>
  <si>
    <t>KK Ahmed, PP Shaw, DA Warner, J Fraser-McGurk, Abishek Porel, T Stubbs, RR Pant, Lalit Yadav, AR Patel, A Nortje, Kuldeep Yadav, Mukesh Kumar</t>
  </si>
  <si>
    <t>AM Rahane, R Ravindra, RD Gaikwad, RA Jadeja, S Dube, Sameer Rizvi, MM Ali, MS Dhoni, DL Chahar, TU Deshpande, Mustafizur Rahman, M Pathirana</t>
  </si>
  <si>
    <t>Q de Kock, KL Rahul, N Pooran, MP Stoinis, DJ Hooda, A Badoni, KH Pandya, MJ Henry, Ravi Bishnoi, Mohsin Khan, Yash Thakur</t>
  </si>
  <si>
    <t>JJ Bumrah</t>
  </si>
  <si>
    <t>Akash Madhwal, Ishan Kishan, RG Sharma, SA Yadav, Tilak Varma, HH Pandya, TH David, R Shepherd, Mohammad Nabi, G Coetzee, S Gopal, JJ Bumrah</t>
  </si>
  <si>
    <t>Arshdeep Singh, SM Curran, P Simran Singh, RR Rossouw, LS Livingstone, Harpreet Singh, Shashank Singh, JM Sharma, Ashutosh Sharma, Harpreet Brar, HV Patel, K Rabada</t>
  </si>
  <si>
    <t>WP Saha, Shubman Gill, B Sai Sudharsan, DA Miller, A Manohar, R Tewatia, M Shahrukh Khan, Rashid Khan, MM Sharma, Noor Ahmad, SH Johnson, S Sandeep Warrier</t>
  </si>
  <si>
    <t>KK Ahmed, PP Shaw, J Fraser-McGurk, Abishek Porel, SD Hope, RR Pant, Sumit Kumar, T Stubbs, AR Patel, Kuldeep Yadav, I Sharma, Mukesh Kumar</t>
  </si>
  <si>
    <t>VG Arora, PD Salt, SP Narine, A Raghuvanshi, SS Iyer, AD Russell, RK Singh, VR Iyer, Ramandeep Singh, MA Starc, CV Varun, Harshit Rana</t>
  </si>
  <si>
    <t>KR Sen, YBK Jaiswal, JC Buttler, SV Samson, R Parag, Dhruv Jurel, R Ashwin, SO Hetmyer, R Powell, TA Boult, Avesh Khan, YS Chahal</t>
  </si>
  <si>
    <t>M Markande, Abhishek Sharma, TM Head, H Klaasen, AK Markram, Abdul Samad, Shahbaz Ahmed, PJ Cummins, B Kumar, JD Unadkat, T Natarajan, Nithish Kumar Reddy</t>
  </si>
  <si>
    <t>Yash Dayal, V Kohli, F du Plessis, WG Jacks, RM Patidar, Saurav Chauhan, KD Karthik, MK Lomror, Anuj Rawat, Vijaykumar Vyshak, RJW Topley, LH Ferguson</t>
  </si>
  <si>
    <t>Q de Kock, KL Rahul, DJ Hooda, A Badoni, MP Stoinis, N Pooran, KH Pandya, Arshad Khan (2), Mohsin Khan, Ravi Bishnoi, S Joseph, Yash Thakur</t>
  </si>
  <si>
    <t>CV Varun, PD Salt, SP Narine, A Raghuvanshi, SS Iyer, VR Iyer, AD Russell, Ramandeep Singh, MA Starc, VG Arora, Harshit Rana, RK Singh</t>
  </si>
  <si>
    <t>M Pathirana</t>
  </si>
  <si>
    <t>AM Rahane, R Ravindra, RD Gaikwad, S Dube, DJ Mitchell, MS Dhoni, RA Jadeja, Sameer Rizvi, SN Thakur, TU Deshpande, Mustafizur Rahman, M Pathirana</t>
  </si>
  <si>
    <t>Akash Madhwal, RG Sharma, Ishan Kishan, SA Yadav, Tilak Varma, HH Pandya, TH David, R Shepherd, Mohammad Nabi, S Gopal, JJ Bumrah, G Coetzee</t>
  </si>
  <si>
    <t>SO Hetmyer</t>
  </si>
  <si>
    <t>Atharva Taide, JM Bairstow, P Simran Singh, SM Curran, JM Sharma, Shashank Singh, LS Livingstone, Ashutosh Sharma, Harpreet Brar, HV Patel, K Rabada, Arshdeep Singh</t>
  </si>
  <si>
    <t>KR Sen, YBK Jaiswal, Tanush Kotian, SV Samson, R Parag, Dhruv Jurel, SO Hetmyer, R Powell, KA Maharaj, TA Boult, Avesh Khan, YS Chahal</t>
  </si>
  <si>
    <t>Q de Kock, KL Rahul, D Padikkal, MP Stoinis, N Pooran, DJ Hooda, A Badoni, KH Pandya, Arshad Khan, Ravi Bishnoi, Naveen-ul-Haq, Yash Thakur</t>
  </si>
  <si>
    <t>KK Ahmed, PP Shaw, DA Warner, J Fraser-McGurk, RR Pant, T Stubbs, SD Hope, AR Patel, Kuldeep Yadav, Mukesh Kumar, I Sharma, Abishek Porel</t>
  </si>
  <si>
    <t>V Kohli, F du Plessis, WG Jacks, RM Patidar, GJ Maxwell, KD Karthik, MK Lomror, Saurav Chauhan, Vijaykumar Vyshak, Akash Deep, RJW Topley, Mohammed Siraj</t>
  </si>
  <si>
    <t>Akash Madhwal, Ishan Kishan, RG Sharma, SA Yadav, HH Pandya, Tilak Varma, TH David, Mohammad Nabi, R Shepherd, S Gopal, JJ Bumrah, G Coetzee</t>
  </si>
  <si>
    <t>Rashid Khan</t>
  </si>
  <si>
    <t>KA Maharaj, YBK Jaiswal, JC Buttler, SV Samson, R Parag, SO Hetmyer, Dhruv Jurel, R Ashwin, TA Boult, Avesh Khan, KR Sen, YS Chahal</t>
  </si>
  <si>
    <t>MM Sharma, B Sai Sudharsan, Shubman Gill, MS Wade, A Manohar, V Shankar, R Tewatia, M Shahrukh Khan, Rashid Khan, Noor Ahmad, UT Yadav, SH Johnson</t>
  </si>
  <si>
    <t>Nithish Kumar Reddy</t>
  </si>
  <si>
    <t>TM Head, Abhishek Sharma, AK Markram, Nithish Kumar Reddy, RA Tripathi, H Klaasen, Abdul Samad, Shahbaz Ahmed, PJ Cummins, B Kumar, JD Unadkat, T Natarajan</t>
  </si>
  <si>
    <t>Arshdeep Singh, S Dhawan, JM Bairstow, P Simran Singh, SM Curran, Sikandar Raza, Shashank Singh, JM Sharma, Ashutosh Sharma, Harpreet Brar, HV Patel, K Rabada</t>
  </si>
  <si>
    <t>PD Salt, SP Narine, A Raghuvanshi, SS Iyer, VR Iyer, Ramandeep Singh, RK Singh, AD Russell, AS Roy, MA Starc, VG Arora, CV Varun</t>
  </si>
  <si>
    <t>Mustafizur Rahman, R Ravindra, RD Gaikwad, DJ Mitchell, S Dube, MS Dhoni, AM Rahane, Sameer Rizvi, RA Jadeja, SN Thakur, TU Deshpande, M Theekshana</t>
  </si>
  <si>
    <t>Akash Madhwal, RG Sharma, Ishan Kishan, SA Yadav, HH Pandya, Tilak Varma, TH David, R Shepherd, Mohammad Nabi, G Coetzee, PP Chawla, JJ Bumrah</t>
  </si>
  <si>
    <t>KK Ahmed, PP Shaw, DA Warner, Abishek Porel, T Stubbs, RR Pant, AR Patel, Lalit Yadav, Kumar Kushagra, JA Richardson, A Nortje, I Sharma</t>
  </si>
  <si>
    <t>Yash Thakur</t>
  </si>
  <si>
    <t>M Siddharth, Q de Kock, KL Rahul, D Padikkal, MP Stoinis, N Pooran, A Badoni, KH Pandya, Ravi Bishnoi, Naveen-ul-Haq, Yash Thakur, MP Yadav</t>
  </si>
  <si>
    <t>MM Sharma, B Sai Sudharsan, Shubman Gill, KS Williamson, BR Sharath, V Shankar, DG Nalkande, R Tewatia, Rashid Khan, UT Yadav, SH Johnson, Noor Ahmad</t>
  </si>
  <si>
    <t>H Sharma, V Kohli, F du Plessis, GJ Maxwell, Saurav Chauhan, C Green, RM Patidar, KD Karthik, RJW Topley, Mayank Dagar, Mohammed Siraj, Yash Dayal</t>
  </si>
  <si>
    <t>YS Chahal, YBK Jaiswal, JC Buttler, SV Samson, R Parag, Dhruv Jurel, SO Hetmyer, R Ashwin, TA Boult, Avesh Khan, N Burger, SB Dubey</t>
  </si>
  <si>
    <t>Mukesh Choudhary, R Ravindra, RD Gaikwad, AM Rahane, S Dube, RA Jadeja, DJ Mitchell, MS Dhoni, MM Ali, DL Chahar, TU Deshpande, M Theekshana</t>
  </si>
  <si>
    <t>T Natarajan, TM Head, Abhishek Sharma, AK Markram, Shahbaz Ahmed, H Klaasen, Nithish Kumar Reddy, Abdul Samad, PJ Cummins, B Kumar, M Markande, JD Unadkat</t>
  </si>
  <si>
    <t>Shashank Singh</t>
  </si>
  <si>
    <t>MM Sharma, WP Saha, Shubman Gill, KS Williamson, B Sai Sudharsan, V Shankar, R Tewatia, Azmatullah Omarzai, Rashid Khan, Noor Ahmad, UT Yadav, DG Nalkande</t>
  </si>
  <si>
    <t>VG Arora, PD Salt, SP Narine, A Raghuvanshi, AD Russell, SS Iyer, RK Singh, VR Iyer, Ramandeep Singh, MA Starc, Harshit Rana, CV Varun</t>
  </si>
  <si>
    <t>KK Ahmed, DA Warner, PP Shaw, MR Marsh, Abishek Porel, RR Pant, T Stubbs, AR Patel, Sumit Kumar, Rasikh Salam, A Nortje, I Sharma</t>
  </si>
  <si>
    <t>MP Yadav</t>
  </si>
  <si>
    <t>M Siddharth, Q de Kock, KL Rahul, D Padikkal, MP Stoinis, N Pooran, A Badoni, KH Pandya, Ravi Bishnoi, Yash Thakur, Naveen-ul-Haq, MP Yadav</t>
  </si>
  <si>
    <t>Yash Dayal, V Kohli, F du Plessis, RM Patidar, GJ Maxwell, C Green, Anuj Rawat, MK Lomror, KD Karthik, Mayank Dagar, RJW Topley, Mohammed Siraj</t>
  </si>
  <si>
    <t>Ishan Kishan, RG Sharma, Naman Dhir, D Brevis, Tilak Varma, HH Pandya, PP Chawla, TH David, G Coetzee, JJ Bumrah, Akash Madhwal, KT Maphaka</t>
  </si>
  <si>
    <t>YS Chahal, YBK Jaiswal, JC Buttler, SV Samson, R Parag, R Ashwin, SB Dubey, Dhruv Jurel, SO Hetmyer, TA Boult, Avesh Khan, N Burger</t>
  </si>
  <si>
    <t>MM Sharma</t>
  </si>
  <si>
    <t>TM Head, MA Agarwal, Abhishek Sharma, AK Markram, H Klaasen, Shahbaz Ahmed, Abdul Samad, Washington Sundar, PJ Cummins, B Kumar, M Markande, JD Unadkat</t>
  </si>
  <si>
    <t>MM Sharma, WP Saha, Shubman Gill, B Sai Sudharsan, DA Miller, V Shankar, Azmatullah Omarzai, R Tewatia, Rashid Khan, UT Yadav, Noor Ahmad, DG Nalkande</t>
  </si>
  <si>
    <t>KK Ahmed</t>
  </si>
  <si>
    <t>Rasikh Salam, PP Shaw, DA Warner, RR Pant, MR Marsh, T Stubbs, AR Patel, Abishek Porel, A Nortje, Mukesh Kumar, I Sharma, KK Ahmed</t>
  </si>
  <si>
    <t>M Pathirana, RD Gaikwad, R Ravindra, AM Rahane, DJ Mitchell, S Dube, Sameer Rizvi, RA Jadeja, MS Dhoni, DL Chahar, TU Deshpande, Mustafizur Rahman</t>
  </si>
  <si>
    <t>Q de Kock, KL Rahul, D Padikkal, MP Stoinis, N Pooran, A Badoni, KH Pandya, Ravi Bishnoi, Mohsin Khan, Naveen-ul-Haq, MP Yadav, M Siddharth</t>
  </si>
  <si>
    <t>Arshdeep Singh, S Dhawan, JM Bairstow, P Simran Singh, JM Sharma, LS Livingstone, SM Curran, Shashank Singh, Harpreet Brar, HV Patel, K Rabada, RD Chahar</t>
  </si>
  <si>
    <t>Vijaykumar Vyshak, V Kohli, F du Plessis, C Green, GJ Maxwell, RM Patidar, Anuj Rawat, KD Karthik, AS Joseph, Mayank Dagar, Mohammed Siraj, Yash Dayal</t>
  </si>
  <si>
    <t>CV Varun, PD Salt, SP Narine, VR Iyer, SS Iyer, RK Singh, AD Russell, Ramandeep Singh, MA Starc, AS Roy, Harshit Rana, A Raghuvanshi</t>
  </si>
  <si>
    <t>R Parag</t>
  </si>
  <si>
    <t>N Burger, YBK Jaiswal, JC Buttler, SV Samson, R Parag, R Ashwin, Dhruv Jurel, SO Hetmyer, TA Boult, Avesh Khan, Sandeep Sharma, YS Chahal</t>
  </si>
  <si>
    <t>KK Ahmed, DA Warner, MR Marsh, RK Bhui, RR Pant, T Stubbs, Abishek Porel, AR Patel, Sumit Kumar, Kuldeep Yadav, A Nortje, Mukesh Kumar</t>
  </si>
  <si>
    <t>Umran Malik, MA Agarwal, TM Head, Abhishek Sharma, AK Markram, H Klaasen, Abdul Samad, Shahbaz Ahmed, PJ Cummins, B Kumar, M Markande, JD Unadkat</t>
  </si>
  <si>
    <t>KT Maphaka, RG Sharma, Ishan Kishan, Naman Dhir, Tilak Varma, HH Pandya, TH David, R Shepherd, G Coetzee, JJ Bumrah, PP Chawla, SZ Mulani</t>
  </si>
  <si>
    <t>S Dube</t>
  </si>
  <si>
    <t>M Pathirana, RD Gaikwad, R Ravindra, AM Rahane, S Dube, DJ Mitchell, Sameer Rizvi, RA Jadeja, MS Dhoni, DL Chahar, TU Deshpande, Mustafizur Rahman</t>
  </si>
  <si>
    <t>MM Sharma, WP Saha, Shubman Gill, B Sai Sudharsan, V Shankar, DA Miller, Azmatullah Omarzai, R Tewatia, Rashid Khan, UT Yadav, SH Johnson, R Sai Kishore</t>
  </si>
  <si>
    <t>Arshdeep Singh, S Dhawan, JM Bairstow, P Simran Singh, LS Livingstone, SM Curran, JM Sharma, Shashank Singh, Harpreet Brar, HV Patel, K Rabada, RD Chahar</t>
  </si>
  <si>
    <t>Yash Dayal, V Kohli, F du Plessis, C Green, RM Patidar, GJ Maxwell, Anuj Rawat, KD Karthik, MK Lomror, AS Joseph, Mayank Dagar, Mohammed Siraj</t>
  </si>
  <si>
    <t>MM Sharma, WP Saha, Shubman Gill, B Sai Sudharsan, Azmatullah Omarzai, DA Miller, V Shankar, R Tewatia, Rashid Khan, UT Yadav, R Sai Kishore, SH Johnson</t>
  </si>
  <si>
    <t>L Wood, Ishan Kishan, RG Sharma, Naman Dhir, D Brevis, Tilak Varma, TH David, HH Pandya, G Coetzee, SZ Mulani, PP Chawla, JJ Bumrah</t>
  </si>
  <si>
    <t>YBK Jaiswal, JC Buttler, SV Samson, R Parag, SO Hetmyer, Dhruv Jurel, R Ashwin, Sandeep Sharma, YS Chahal, Avesh Khan, TA Boult, N Burger</t>
  </si>
  <si>
    <t>Q de Kock, KL Rahul, D Padikkal, A Badoni, DJ Hooda, N Pooran, MP Stoinis, KH Pandya, Ravi Bishnoi, Mohsin Khan, Naveen-ul-Haq, Yash Thakur</t>
  </si>
  <si>
    <t>Suyash Sharma, PD Salt, SP Narine, VR Iyer, SS Iyer, N Rana, Ramandeep Singh, RK Singh, AD Russell, MA Starc, Harshit Rana, CV Varun</t>
  </si>
  <si>
    <t>T Natarajan, MA Agarwal, Abhishek Sharma, RA Tripathi, AK Markram, H Klaasen, Abdul Samad, Shahbaz Ahmed, M Jansen, PJ Cummins, B Kumar, M Markande</t>
  </si>
  <si>
    <t>DA Warner, MR Marsh, SD Hope, RR Pant, RK Bhui, T Stubbs, AR Patel, Sumit Kumar, Abishek Porel, Kuldeep Yadav, KK Ahmed, I Sharma</t>
  </si>
  <si>
    <t>Arshdeep Singh, S Dhawan, JM Bairstow, P Simran Singh, SM Curran, JM Sharma, LS Livingstone, Shashank Singh, Harpreet Brar, HV Patel, K Rabada, RD Chahar</t>
  </si>
  <si>
    <t>Mustafizur Rahman</t>
  </si>
  <si>
    <t>V Kohli, F du Plessis, RM Patidar, GJ Maxwell, C Green, Anuj Rawat, KD Karthik, KV Sharma, AS Joseph, Mayank Dagar, Mohammed Siraj, Yash Dayal</t>
  </si>
  <si>
    <t>RD Gaikwad, R Ravindra, AM Rahane, DJ Mitchell, S Dube, RA Jadeja, Sameer Rizvi, MS Dhoni, DL Chahar, M Theekshana, TU Deshpande, Mustafizur Rahman</t>
  </si>
  <si>
    <t>DP Conway</t>
  </si>
  <si>
    <t>WP Saha, Shubman Gill, B Sai Sudharsan, HH Pandya, Rashid Khan, V Shankar, DA Miller, R Tewatia, MM Sharma, Noor Ahmad, Mohammed Shami, J Little</t>
  </si>
  <si>
    <t>RD Gaikwad, DP Conway, S Dube, AM Rahane, AT Rayudu, MS Dhoni, RA Jadeja, MM Ali, DL Chahar, M Pathirana, TU Deshpande, M Theekshana</t>
  </si>
  <si>
    <t>J Little, WP Saha, Shubman Gill, B Sai Sudharsan, HH Pandya, Rashid Khan, DA Miller, R Tewatia, V Shankar, Noor Ahmad, Mohammed Shami, MM Sharma</t>
  </si>
  <si>
    <t>Ishan Kishan, Akash Madhwal, RG Sharma, N Wadhera, C Green, SA Yadav, Tilak Varma, Vishnu Vinod, TH David, CJ Jordan, PP Chawla, K Kartikeya, JP Behrendorff</t>
  </si>
  <si>
    <t>Ishan Kishan, RG Sharma, C Green, SA Yadav, Tilak Varma, TH David, N Wadhera, CJ Jordan, HR Shokeen, PP Chawla, JP Behrendorff, Akash Madhwal</t>
  </si>
  <si>
    <t>Yash Thakur, KR Mayers, PN Mankad, KH Pandya, MP Stoinis, A Badoni, N Pooran, DJ Hooda, K Gowtham, Ravi Bishnoi, Naveen-ul-Haq, Mohsin Khan</t>
  </si>
  <si>
    <t>M Pathirana, RD Gaikwad, DP Conway, S Dube, AM Rahane, AT Rayudu, RA Jadeja, MS Dhoni, MM Ali, DL Chahar, TU Deshpande, M Theekshana</t>
  </si>
  <si>
    <t>MM Sharma, WP Saha, Shubman Gill, HH Pandya, MD Shanaka, DA Miller, V Shankar, R Tewatia, Rashid Khan, DG Nalkande, Noor Ahmad, Mohammed Shami</t>
  </si>
  <si>
    <t>Kartik Tyagi, Vivrant Sharma, MA Agarwal, H Klaasen, GD Phillips, AK Markram, HC Brook, Sanvir Singh, Nithish Kumar Reddy, Mayank Dagar, B Kumar, Umran Malik</t>
  </si>
  <si>
    <t>Ishan Kishan, RG Sharma, C Green, SA Yadav, TH David, N Wadhera, CJ Jordan, PP Chawla, JP Behrendorff, K Kartikeya, Akash Madhwal</t>
  </si>
  <si>
    <t>Royal Challengers Bangalore</t>
  </si>
  <si>
    <t>H Sharma, V Kohli, F du Plessis, GJ Maxwell, MK Lomror, MG Bracewell, KD Karthik, Anuj Rawat, HV Patel, WD Parnell, Vijaykumar Vyshak, Mohammed Siraj</t>
  </si>
  <si>
    <t>Yash Dayal, WP Saha, Shubman Gill, V Shankar, MD Shanaka, DA Miller, R Tewatia, HH Pandya, Rashid Khan, Noor Ahmad, Mohammed Shami, MM Sharma</t>
  </si>
  <si>
    <t>Yash Thakur, KS Sharma, Q de Kock, PN Mankad, MP Stoinis, KH Pandya, A Badoni, N Pooran, K Gowtham, Ravi Bishnoi, Naveen-ul-Haq, Mohsin Khan</t>
  </si>
  <si>
    <t>Harshit Rana, JJ Roy, VR Iyer, N Rana, Rahmanullah Gurbaz, RK Singh, AD Russell, SN Thakur, SP Narine, VG Arora, CV Varun, Suyash Sharma</t>
  </si>
  <si>
    <t>M Pathirana, RD Gaikwad, DP Conway, S Dube, MS Dhoni, RA Jadeja, AM Rahane, MM Ali, AT Rayudu, DL Chahar, TU Deshpande, M Theekshana</t>
  </si>
  <si>
    <t>KK Ahmed, PP Shaw, DA Warner, PD Salt, RR Rossouw, YV Dhull, AR Patel, Aman Hakim Khan, Lalit Yadav, A Nortje, Kuldeep Yadav, C Sakariya</t>
  </si>
  <si>
    <t>D Padikkal</t>
  </si>
  <si>
    <t>NT Ellis, P Simran Singh, S Dhawan, Atharva Taide, LS Livingstone, SM Curran, JM Sharma, M Shahrukh Khan, Harpreet Brar, RD Chahar, K Rabada, Arshdeep Singh</t>
  </si>
  <si>
    <t>YS Chahal, YBK Jaiswal, JC Buttler, D Padikkal, SV Samson, SO Hetmyer, R Parag, Dhruv Jurel, TA Boult, A Zampa, Navdeep Saini, Sandeep Sharma</t>
  </si>
  <si>
    <t>T Natarajan, Abhishek Sharma, RA Tripathi, AK Markram, H Klaasen, HC Brook, GD Phillips, Abdul Samad, B Kumar, Kartik Tyagi, Mayank Dagar, Nithish Kumar Reddy</t>
  </si>
  <si>
    <t>V Kohli, F du Plessis, GJ Maxwell, MG Bracewell, MK Lomror, Anuj Rawat, Shahbaz Ahmed, HV Patel, WD Parnell, KV Sharma, Mohammed Siraj</t>
  </si>
  <si>
    <t>RR Rossouw</t>
  </si>
  <si>
    <t>Mukesh Kumar, DA Warner, PP Shaw, RR Rossouw, PD Salt, AR Patel, Aman Hakim Khan, YV Dhull, Kuldeep Yadav, A Nortje, I Sharma, KK Ahmed</t>
  </si>
  <si>
    <t>NT Ellis, P Simran Singh, S Dhawan, Atharva Taide, LS Livingstone, JM Sharma, M Shahrukh Khan, SM Curran, Harpreet Brar, RD Chahar, K Rabada, Arshdeep Singh</t>
  </si>
  <si>
    <t>Yash Thakur, DJ Hooda, Q de Kock, PN Mankad, KH Pandya, MP Stoinis, N Pooran, A Badoni, Naveen-ul-Haq, Ravi Bishnoi, Swapnil Singh, Mohsin Khan</t>
  </si>
  <si>
    <t>Akash Madhwal, Ishan Kishan, RG Sharma, SA Yadav, N Wadhera, TH David, Vishnu Vinod, C Green, CJ Jordan, HR Shokeen, PP Chawla, JP Behrendorff</t>
  </si>
  <si>
    <t>Yash Dayal, WP Saha, Shubman Gill, B Sai Sudharsan, HH Pandya, DA Miller, R Tewatia, MD Shanaka, Rashid Khan, Noor Ahmad, Mohammed Shami, MM Sharma</t>
  </si>
  <si>
    <t>T Natarajan, Anmolpreet Singh, Abhishek Sharma, AK Markram, RA Tripathi, H Klaasen, Sanvir Singh, Abdul Samad, M Jansen, B Kumar, M Markande, Fazalhaq Farooqi</t>
  </si>
  <si>
    <t>WD Parnell</t>
  </si>
  <si>
    <t>Shahbaz Ahmed, V Kohli, F du Plessis, GJ Maxwell, MK Lomror, KD Karthik, MG Bracewell, Anuj Rawat, WD Parnell, KV Sharma, HV Patel, Mohammed Siraj</t>
  </si>
  <si>
    <t>YS Chahal, YBK Jaiswal, JC Buttler, SV Samson, JE Root, D Padikkal, SO Hetmyer, Dhruv Jurel, R Ashwin, A Zampa, Sandeep Sharma, KM Asif</t>
  </si>
  <si>
    <t>RK Singh</t>
  </si>
  <si>
    <t>M Pathirana, RD Gaikwad, DP Conway, AM Rahane, AT Rayudu, S Dube, MM Ali, RA Jadeja, MS Dhoni, DL Chahar, TU Deshpande, M Theekshana</t>
  </si>
  <si>
    <t>Suyash Sharma, JJ Roy, Rahmanullah Gurbaz, VR Iyer, N Rana, RK Singh, AD Russell, SN Thakur, SP Narine, VG Arora, Harshit Rana, CV Varun</t>
  </si>
  <si>
    <t>NT Ellis, P Simran Singh, S Dhawan, LS Livingstone, JM Sharma, SM Curran, Harpreet Brar, M Shahrukh Khan, Sikandar Raza, R Dhawan, RD Chahar, Arshdeep Singh</t>
  </si>
  <si>
    <t>KK Ahmed, DA Warner, PD Salt, MR Marsh, RR Rossouw, AR Patel, MK Pandey, Aman Hakim Khan, P Dubey, Kuldeep Yadav, Mukesh Kumar, I Sharma</t>
  </si>
  <si>
    <t>PN Mankad</t>
  </si>
  <si>
    <t>Vivrant Sharma, Anmolpreet Singh, Abhishek Sharma, RA Tripathi, AK Markram, H Klaasen, GD Phillips, Abdul Samad, B Kumar, T Natarajan, M Markande, Fazalhaq Farooqi</t>
  </si>
  <si>
    <t>A Mishra, KR Mayers, Q de Kock, PN Mankad, MP Stoinis, N Pooran, KH Pandya, Yash Thakur, Ravi Bishnoi, Yudhvir Singh, Avesh Khan, A Badoni</t>
  </si>
  <si>
    <t>Akash Madhwal, Ishan Kishan, RG Sharma, SA Yadav, N Wadhera, Vishnu Vinod, TH David, C Green, CJ Jordan, PP Chawla, JP Behrendorff, K Kartikeya</t>
  </si>
  <si>
    <t>MM Sharma, WP Saha, Shubman Gill, HH Pandya, V Shankar, DA Miller, A Manohar, R Tewatia, Rashid Khan, Noor Ahmad, AS Joseph, Mohammed Shami</t>
  </si>
  <si>
    <t>YBK Jaiswal</t>
  </si>
  <si>
    <t>Suyash Sharma, JJ Roy, Rahmanullah Gurbaz, VR Iyer, N Rana, AD Russell, RK Singh, SN Thakur, AS Roy, SP Narine, Harshit Rana, CV Varun</t>
  </si>
  <si>
    <t>YBK Jaiswal, JC Buttler, SV Samson, JE Root, Dhruv Jurel, SO Hetmyer, R Ashwin, Sandeep Sharma, KM Asif, TA Boult, YS Chahal</t>
  </si>
  <si>
    <t>M Pathirana, RD Gaikwad, DP Conway, AM Rahane, MM Ali, S Dube, AT Rayudu, RA Jadeja, MS Dhoni, DL Chahar, TU Deshpande, M Theekshana</t>
  </si>
  <si>
    <t>KK Ahmed, DA Warner, PD Salt, MR Marsh, MK Pandey, RR Rossouw, RV Patel, AR Patel, Aman Hakim Khan, Lalit Yadav, Kuldeep Yadav, I Sharma</t>
  </si>
  <si>
    <t>V Kohli, F du Plessis, Anuj Rawat, GJ Maxwell, MK Lomror, KD Karthik, KM Jadhav, PWH de Silva, JR Hazlewood, Mohammed Siraj, Vijaykumar Vyshak, HV Patel</t>
  </si>
  <si>
    <t>Ishan Kishan, RG Sharma, SA Yadav, N Wadhera, TH David, C Green, CJ Jordan, PP Chawla, JP Behrendorff, K Kartikeya, Akash Madhwal</t>
  </si>
  <si>
    <t>NT Ellis, P Simran Singh, S Dhawan, PBB Rajapaksa, LS Livingstone, JM Sharma, SM Curran, R Dhawan, M Shahrukh Khan, Harpreet Brar, RD Chahar, Arshdeep Singh</t>
  </si>
  <si>
    <t>Suyash Sharma, JJ Roy, Rahmanullah Gurbaz, N Rana, VR Iyer, AD Russell, RK Singh, SN Thakur, SP Narine, Harshit Rana, VG Arora, CV Varun</t>
  </si>
  <si>
    <t>AS Joseph, WP Saha, Shubman Gill, HH Pandya, DA Miller, V Shankar, Rashid Khan, R Tewatia, A Manohar, MM Sharma, Mohammed Shami, Noor Ahmad</t>
  </si>
  <si>
    <t>Yash Thakur, KR Mayers, Q de Kock, DJ Hooda, MP Stoinis, N Pooran, A Badoni, Swapnil Singh, KH Pandya, Ravi Bishnoi, Mohsin Khan, Avesh Khan</t>
  </si>
  <si>
    <t>GD Phillips</t>
  </si>
  <si>
    <t>OC McCoy, YBK Jaiswal, JC Buttler, SV Samson, SO Hetmyer, JE Root, Dhruv Jurel, R Ashwin, Sandeep Sharma, M Ashwin, K Yadav, YS Chahal</t>
  </si>
  <si>
    <t>T Natarajan, Anmolpreet Singh, Abhishek Sharma, RA Tripathi, H Klaasen, AK Markram, GD Phillips, Abdul Samad, M Jansen, Vivrant Sharma, M Markande, B Kumar</t>
  </si>
  <si>
    <t>R Goyal, C Green, Ishan Kishan, RG Sharma, N Wadhera, SA Yadav, T Stubbs, TH David, Arshad Khan, JC Archer, PP Chawla, Akash Madhwal</t>
  </si>
  <si>
    <t>M Theekshana, RD Gaikwad, DP Conway, AM Rahane, AT Rayudu, S Dube, MS Dhoni, MM Ali, RA Jadeja, DL Chahar, M Pathirana, TU Deshpande</t>
  </si>
  <si>
    <t>HV Patel, V Kohli, F du Plessis, GJ Maxwell, MK Lomror, KD Karthik, Anuj Rawat, KM Jadhav, PWH de Silva, KV Sharma, Mohammed Siraj, JR Hazlewood</t>
  </si>
  <si>
    <t>I Sharma, DA Warner, PD Salt, MR Marsh, RR Rossouw, AR Patel, Aman Hakim Khan, MK Pandey, Kuldeep Yadav, Mukesh Kumar, KK Ahmed, RV Patel</t>
  </si>
  <si>
    <t>YBK Jaiswal, JC Buttler, SV Samson, D Padikkal, R Ashwin, R Parag, SO Hetmyer, Dhruv Jurel, TA Boult, A Zampa, Sandeep Sharma, YS Chahal</t>
  </si>
  <si>
    <t>MM Sharma, WP Saha, Shubman Gill, HH Pandya, Rashid Khan, DA Miller, V Shankar, R Tewatia, A Manohar, Noor Ahmad, Mohammed Shami, J Little</t>
  </si>
  <si>
    <t>JJ Roy, Rahmanullah Gurbaz, VR Iyer, N Rana, RK Singh, AD Russell, SP Narine, SN Thakur, AS Roy, Harshit Rana, VG Arora, CV Varun</t>
  </si>
  <si>
    <t>T Natarajan, Abhishek Sharma, MA Agarwal, RA Tripathi, AK Markram, HC Brook, H Klaasen, Abdul Samad, M Jansen, B Kumar, M Markande, Kartik Tyagi</t>
  </si>
  <si>
    <t>M Vohra, KR Mayers, KS Sharma, KH Pandya, MP Stoinis, N Pooran, A Badoni, K Gowtham, Naveen-ul-Haq, Ravi Bishnoi, Mohsin Khan</t>
  </si>
  <si>
    <t>AT Rayudu, RD Gaikwad, DP Conway, AM Rahane, MM Ali, S Dube, RA Jadeja, MS Dhoni, M Pathirana, TU Deshpande, M Theekshana, DL Chahar</t>
  </si>
  <si>
    <t>Punjab Cricket Association IS Bindra Stadium, Mohali, Chandigarh</t>
  </si>
  <si>
    <t>Chandigarh</t>
  </si>
  <si>
    <t>NT Ellis, P Simran Singh, S Dhawan, MW Short, LS Livingstone, JM Sharma, SM Curran, M Shahrukh Khan, Harpreet Brar, R Dhawan, RD Chahar, Arshdeep Singh</t>
  </si>
  <si>
    <t>Akash Madhwal, RG Sharma, Ishan Kishan, C Green, SA Yadav, TH David, Tilak Varma, N Wadhera, PP Chawla, JC Archer, K Kartikeya, Arshad Khan</t>
  </si>
  <si>
    <t>Mohammed Shami</t>
  </si>
  <si>
    <t>KK Ahmed, PD Salt, DA Warner, PK Garg, RR Rossouw, MK Pandey, AR Patel, Aman Hakim Khan, RV Patel, A Nortje, Kuldeep Yadav, I Sharma</t>
  </si>
  <si>
    <t>MM Sharma, WP Saha, Shubman Gill, HH Pandya, V Shankar, DA Miller, A Manohar, R Tewatia, Rashid Khan, Noor Ahmad, Mohammed Shami, J Little</t>
  </si>
  <si>
    <t>V Kohli, F du Plessis, Anuj Rawat, GJ Maxwell, SS Prabhudessai, KD Karthik, MK Lomror, PWH de Silva, KV Sharma, Mohammed Siraj, JR Hazlewood, HV Patel</t>
  </si>
  <si>
    <t>KR Mayers, A Badoni, KH Pandya, DJ Hooda, MP Stoinis, N Pooran, K Gowtham, Ravi Bishnoi, A Mishra, Naveen-ul-Haq, KL Rahul, Yash Thakur</t>
  </si>
  <si>
    <t>Akash Singh, RD Gaikwad, DP Conway, S Dube, MM Ali, RA Jadeja, MS Dhoni, AM Rahane, M Pathirana, TU Deshpande, M Theekshana, AT Rayudu</t>
  </si>
  <si>
    <t>K Rabada, P Simran Singh, S Dhawan, Atharva Taide, LS Livingstone, SM Curran, JM Sharma, M Shahrukh Khan, Sikandar Raza, Harpreet Brar, RD Chahar, Arshdeep Singh</t>
  </si>
  <si>
    <t>KR Sen, YBK Jaiswal, JC Buttler, SV Samson, D Padikkal, JO Holder, SO Hetmyer, Dhruv Jurel, R Ashwin, TA Boult, Sandeep Sharma, YS Chahal</t>
  </si>
  <si>
    <t>RG Sharma, Ishan Kishan, C Green, SA Yadav, Tilak Varma, TH David, PP Chawla, JC Archer, K Kartikeya, RP Meredith, Arshad Khan</t>
  </si>
  <si>
    <t>T Natarajan, Abhishek Sharma, MA Agarwal, RA Tripathi, AK Markram, HC Brook, H Klaasen, Abdul Samad, AJ Hosein, M Markande, B Kumar, Umran Malik</t>
  </si>
  <si>
    <t>I Sharma, DA Warner, PD Salt, MR Marsh, MK Pandey, PK Garg, SN Khan, AR Patel, RV Patel, Kuldeep Yadav, A Nortje, Mukesh Kumar</t>
  </si>
  <si>
    <t>J Little</t>
  </si>
  <si>
    <t>Suyash Sharma, N Jagadeesan, Rahmanullah Gurbaz, SN Thakur, VR Iyer, N Rana, RK Singh, AD Russell, D Wiese, SP Narine, Harshit Rana, CV Varun</t>
  </si>
  <si>
    <t>A Mishra, KL Rahul, KR Mayers, A Badoni, MP Stoinis, N Pooran, DJ Hooda, KH Pandya, Naveen-ul-Haq, Ravi Bishnoi, Avesh Khan, Yash Thakur</t>
  </si>
  <si>
    <t>Gurnoor Brar, P Simran Singh, S Dhawan, Atharva Taide, Sikandar Raza, LS Livingstone, SM Curran, JM Sharma, M Shahrukh Khan, RD Chahar, K Rabada, Arshdeep Singh</t>
  </si>
  <si>
    <t>K Yadav, YBK Jaiswal, JC Buttler, SV Samson, SO Hetmyer, Dhruv Jurel, D Padikkal, R Ashwin, JO Holder, Sandeep Sharma, YS Chahal, A Zampa</t>
  </si>
  <si>
    <t>Akash Singh, RD Gaikwad, DP Conway, AM Rahane, S Dube, AT Rayudu, MM Ali, RA Jadeja, MS Dhoni, M Pathirana, TU Deshpande, M Theekshana</t>
  </si>
  <si>
    <t>Suyash Sharma, JJ Roy, N Jagadeesan, VR Iyer, N Rana, AD Russell, RK Singh, D Wiese, SP Narine, VG Arora, UT Yadav, CV Varun</t>
  </si>
  <si>
    <t>HV Patel, V Kohli, F du Plessis, Shahbaz Ahmed, GJ Maxwell, MK Lomror, KD Karthik, SS Prabhudessai, PWH de Silva, DJ Willey, Vijaykumar Vyshak, Mohammed Siraj</t>
  </si>
  <si>
    <t>A Manohar</t>
  </si>
  <si>
    <t>J Little, WP Saha, Shubman Gill, HH Pandya, V Shankar, DA Miller, A Manohar, R Tewatia, Rashid Khan, MM Sharma, Mohammed Shami, Noor Ahmad</t>
  </si>
  <si>
    <t>K Kartikeya, RG Sharma, Ishan Kishan, C Green, Tilak Varma, SA Yadav, TH David, N Wadhera, PP Chawla, Arjun Tendulkar, JP Behrendorff, RP Meredith</t>
  </si>
  <si>
    <t>AR Patel</t>
  </si>
  <si>
    <t>Mukesh Kumar, DA Warner, PD Salt, MR Marsh, SN Khan, MK Pandey, Aman Hakim Khan, AR Patel, RV Patel, A Nortje, Kuldeep Yadav, I Sharma</t>
  </si>
  <si>
    <t>T Natarajan, HC Brook, MA Agarwal, RA Tripathi, Abhishek Sharma, AK Markram, H Klaasen, Washington Sundar, M Jansen, M Markande, B Kumar, Umran Malik</t>
  </si>
  <si>
    <t>AM Rahane</t>
  </si>
  <si>
    <t>Akash Singh, RD Gaikwad, DP Conway, AM Rahane, S Dube, RA Jadeja, MS Dhoni, MM Ali, AT Rayudu, M Pathirana, TU Deshpande, M Theekshana</t>
  </si>
  <si>
    <t>Suyash Sharma, N Jagadeesan, SP Narine, VR Iyer, N Rana, JJ Roy, RK Singh, AD Russell, D Wiese, UT Yadav, CV Varun, K Khejroliya</t>
  </si>
  <si>
    <t>GJ Maxwell</t>
  </si>
  <si>
    <t>YBK Jaiswal, JC Buttler, D Padikkal, SV Samson, SO Hetmyer, Dhruv Jurel, R Ashwin, Abdul Basith, JO Holder, TA Boult, Sandeep Sharma, YS Chahal</t>
  </si>
  <si>
    <t>J Yadav, WP Saha, Shubman Gill, HH Pandya, A Manohar, V Shankar, DA Miller, R Tewatia, Rashid Khan, Mohammed Shami, Noor Ahmad, MM Sharma</t>
  </si>
  <si>
    <t>A Mishra, KL Rahul, KR Mayers, KH Pandya, N Pooran, A Badoni, MP Stoinis, DJ Hooda, PN Mankad, Ravi Bishnoi, Avesh Khan, Naveen-ul-Haq</t>
  </si>
  <si>
    <t>NT Ellis, MW Short, P Simran Singh, Atharva Taide, LS Livingstone, Harpreet Singh, SM Curran, JM Sharma, M Shahrukh Khan, Harpreet Brar, Arshdeep Singh, RD Chahar</t>
  </si>
  <si>
    <t>JP Behrendorff, RG Sharma, Ishan Kishan, C Green, SA Yadav, TH David, Tilak Varma, N Wadhera, JC Archer, Arjun Tendulkar, HR Shokeen, PP Chawla</t>
  </si>
  <si>
    <t>Mayank Dagar, HC Brook, Abhishek Sharma, RA Tripathi, AK Markram, H Klaasen, MA Agarwal, M Jansen, Washington Sundar, B Kumar, M Markande, Umran Malik</t>
  </si>
  <si>
    <t>Akash Singh, RD Gaikwad, DP Conway, AM Rahane, AT Rayudu, MM Ali, S Dube, RA Jadeja, MS Dhoni, TU Deshpande, M Theekshana, M Pathirana</t>
  </si>
  <si>
    <t>Vijaykumar Vyshak, V Kohli, F du Plessis, GJ Maxwell, KD Karthik, MK Lomror, Shahbaz Ahmed, SS Prabhudessai, PWH de Silva, HV Patel, WD Parnell, Mohammed Siraj</t>
  </si>
  <si>
    <t>RD Chahar, Atharva Taide, P Simran Singh, MW Short, LS Livingstone, Harpreet Singh, SM Curran, JM Sharma, M Shahrukh Khan, Harpreet Brar, NT Ellis, Arshdeep Singh</t>
  </si>
  <si>
    <t>JJ Roy, Liton Das, VR Iyer, N Rana, Mandeep Singh, RK Singh, SP Narine, AD Russell, AS Roy, UT Yadav, CV Varun, K Khejroliya</t>
  </si>
  <si>
    <t>I Sharma, DA Warner, PP Shaw, MR Marsh, PD Salt, MK Pandey, AR Patel, Aman Hakim Khan, Lalit Yadav, Mukesh Kumar, Kuldeep Yadav, A Nortje</t>
  </si>
  <si>
    <t>A Mishra, KL Rahul, KR Mayers, A Badoni, DJ Hooda, MP Stoinis, N Pooran, KH Pandya, Yudhvir Singh, Naveen-ul-Haq, Ravi Bishnoi, Avesh Khan</t>
  </si>
  <si>
    <t>YS Chahal, YBK Jaiswal, JC Buttler, SV Samson, D Padikkal, SO Hetmyer, R Parag, Dhruv Jurel, R Ashwin, JO Holder, TA Boult, Sandeep Sharma</t>
  </si>
  <si>
    <t>RP Meredith, RG Sharma, Ishan Kishan, C Green, SA Yadav, Tilak Varma, TH David, N Wadhera, Arjun Tendulkar, HR Shokeen, PP Chawla, JP Behrendorff</t>
  </si>
  <si>
    <t>T Natarajan, HC Brook, MA Agarwal, RA Tripathi, AK Markram, Abhishek Sharma, H Klaasen, Abdul Samad, M Jansen, Washington Sundar, B Kumar, M Markande</t>
  </si>
  <si>
    <t>RD Gaikwad, DP Conway, AM Rahane, S Dube, AT Rayudu, MM Ali, RA Jadeja, MS Dhoni, TU Deshpande, M Theekshana, M Pathirana, Akash Singh</t>
  </si>
  <si>
    <t>V Kohli, F du Plessis, MK Lomror, GJ Maxwell, Shahbaz Ahmed, KD Karthik, SS Prabhudessai, WD Parnell, PWH de Silva, HV Patel, Mohammed Siraj, Vijaykumar Vyshak</t>
  </si>
  <si>
    <t>Noor Ahmad, WP Saha, Shubman Gill, B Sai Sudharsan, HH Pandya, DA Miller, A Manohar, R Tewatia, Rashid Khan, AS Joseph, Mohammed Shami, MM Sharma</t>
  </si>
  <si>
    <t>YS Chahal, YBK Jaiswal, JC Buttler, D Padikkal, SV Samson, R Parag, SO Hetmyer, Dhruv Jurel, R Ashwin, TA Boult, Sandeep Sharma, A Zampa</t>
  </si>
  <si>
    <t>Suyash Sharma, Rahmanullah Gurbaz, N Jagadeesan, VR Iyer, N Rana, SN Thakur, RK Singh, AD Russell, SP Narine, UT Yadav, LH Ferguson, CV Varun</t>
  </si>
  <si>
    <t>RP Meredith, RG Sharma, Ishan Kishan, SA Yadav, Tilak Varma, TH David, N Wadhera, C Green, Arjun Tendulkar, HR Shokeen, PP Chawla, D Jansen</t>
  </si>
  <si>
    <t>V Kohli, F du Plessis, MK Lomror, GJ Maxwell, HV Patel, Shahbaz Ahmed, KD Karthik, Anuj Rawat, PWH de Silva, WD Parnell, Mohammed Siraj, Vijaykumar Vyshak</t>
  </si>
  <si>
    <t>DA Warner, PP Shaw, MR Marsh, YV Dhull, MK Pandey, Abishek Porel, AR Patel, Aman Hakim Khan, Lalit Yadav, A Nortje, Kuldeep Yadav, Mustafizur Rahman</t>
  </si>
  <si>
    <t>Sikandar Raza</t>
  </si>
  <si>
    <t>KL Rahul, KR Mayers, DJ Hooda, KH Pandya, N Pooran, MP Stoinis, A Badoni, K Gowtham, Yudhvir Singh, Ravi Bishnoi, Avesh Khan, MA Wood</t>
  </si>
  <si>
    <t>Atharva Taide, P Simran Singh, MW Short, Harpreet Singh, Sikandar Raza, SM Curran, JM Sharma, M Shahrukh Khan, Harpreet Brar, K Rabada, RD Chahar, Arshdeep Singh</t>
  </si>
  <si>
    <t>HC Brook</t>
  </si>
  <si>
    <t>Washington Sundar, HC Brook, MA Agarwal, RA Tripathi, AK Markram, Abhishek Sharma, H Klaasen, M Jansen, M Markande, B Kumar, Umran Malik, T Natarajan</t>
  </si>
  <si>
    <t>Suyash Sharma, Rahmanullah Gurbaz, N Jagadeesan, VR Iyer, SP Narine, N Rana, AD Russell, RK Singh, SN Thakur, UT Yadav, LH Ferguson, CV Varun</t>
  </si>
  <si>
    <t>RD Chahar, P Simran Singh, S Dhawan, MW Short, PBB Rajapaksa, JM Sharma, SM Curran, M Shahrukh Khan, Harpreet Brar, R Dhawan, K Rabada, Arshdeep Singh</t>
  </si>
  <si>
    <t>WP Saha, Shubman Gill, B Sai Sudharsan, HH Pandya, DA Miller, R Tewatia, Rashid Khan, AS Joseph, Mohammed Shami, MM Sharma, J Little</t>
  </si>
  <si>
    <t>YBK Jaiswal, JC Buttler, D Padikkal, SV Samson, R Ashwin, SO Hetmyer, Dhruv Jurel, JO Holder, A Zampa, KR Sen, Sandeep Sharma, YS Chahal</t>
  </si>
  <si>
    <t>RD Gaikwad, DP Conway, AM Rahane, S Dube, MM Ali, AT Rayudu, RA Jadeja, MS Dhoni, SSB Magala, TU Deshpande, M Theekshana, Akash Singh</t>
  </si>
  <si>
    <t>Mukesh Kumar, DA Warner, PP Shaw, MK Pandey, YV Dhull, R Powell, Lalit Yadav, AR Patel, Abishek Porel, Kuldeep Yadav, A Nortje, Mustafizur Rahman</t>
  </si>
  <si>
    <t>RP Meredith, RG Sharma, Ishan Kishan, Tilak Varma, SA Yadav, TH David, C Green, N Wadhera, HR Shokeen, Arshad Khan, JP Behrendorff, PP Chawla</t>
  </si>
  <si>
    <t>Anuj Rawat, V Kohli, F du Plessis, GJ Maxwell, KD Karthik, MK Lomror, Shahbaz Ahmed, DJ Willey, WD Parnell, HV Patel, Mohammed Siraj, KV Sharma</t>
  </si>
  <si>
    <t>A Mishra, KR Mayers, KL Rahul, DJ Hooda, KH Pandya, MP Stoinis, N Pooran, A Badoni, JD Unadkat, MA Wood, Ravi Bishnoi, Avesh Khan</t>
  </si>
  <si>
    <t>S Dhawan</t>
  </si>
  <si>
    <t>P Simran Singh, S Dhawan, MW Short, JM Sharma, SM Curran, Sikandar Raza, M Shahrukh Khan, Harpreet Brar, RD Chahar, NT Ellis, Mohit Rathee, Arshdeep Singh</t>
  </si>
  <si>
    <t>HC Brook, MA Agarwal, RA Tripathi, AK Markram, H Klaasen, Washington Sundar, M Jansen, M Markande, B Kumar, Umran Malik, T Natarajan</t>
  </si>
  <si>
    <t>J Little, WP Saha, Shubman Gill, B Sai Sudharsan, A Manohar, V Shankar, DA Miller, R Tewatia, Rashid Khan, AS Joseph, Mohammed Shami, Yash Dayal</t>
  </si>
  <si>
    <t>Suyash Sharma, Rahmanullah Gurbaz, N Jagadeesan, VR Iyer, N Rana, RK Singh, AD Russell, SP Narine, SN Thakur, UT Yadav, LH Ferguson, CV Varun</t>
  </si>
  <si>
    <t>M Ashwin, YBK Jaiswal, JC Buttler, SV Samson, R Parag, SO Hetmyer, Dhruv Jurel, JO Holder, R Ashwin, YS Chahal, TA Boult, Sandeep Sharma</t>
  </si>
  <si>
    <t>KK Ahmed, PP Shaw, DA Warner, MK Pandey, RR Rossouw, Lalit Yadav, AR Patel, R Powell, Abishek Porel, Kuldeep Yadav, A Nortje, Mukesh Kumar</t>
  </si>
  <si>
    <t>K Kartikeya, RG Sharma, Ishan Kishan, C Green, SA Yadav, Tilak Varma, Arshad Khan, TH David, T Stubbs, HR Shokeen, PP Chawla, JP Behrendorff</t>
  </si>
  <si>
    <t>DL Chahar, DP Conway, RD Gaikwad, AM Rahane, S Dube, AT Rayudu, RA Jadeja, MS Dhoni, D Pretorius, MJ Santner, SSB Magala, TU Deshpande</t>
  </si>
  <si>
    <t>Fazalhaq Farooqi, Anmolpreet Singh, MA Agarwal, RA Tripathi, AK Markram, HC Brook, Washington Sundar, Abdul Samad, AU Rashid, Umran Malik, B Kumar, T Natarajan</t>
  </si>
  <si>
    <t>A Mishra, KR Mayers, KL Rahul, DJ Hooda, KH Pandya, MP Stoinis, R Shepherd, N Pooran, Yash Thakur, JD Unadkat, Ravi Bishnoi, A Badoni</t>
  </si>
  <si>
    <t>Suyash Sharma, Rahmanullah Gurbaz, VR Iyer, Mandeep Singh, N Rana, RK Singh, AD Russell, SN Thakur, SP Narine, UT Yadav, TG Southee, CV Varun</t>
  </si>
  <si>
    <t>Mohammed Siraj, V Kohli, F du Plessis, MG Bracewell, GJ Maxwell, HV Patel, Shahbaz Ahmed, KD Karthik, Anuj Rawat, DJ Willey, KV Sharma, Akash Deep</t>
  </si>
  <si>
    <t>NT Ellis</t>
  </si>
  <si>
    <t>P Simran Singh, S Dhawan, PBB Rajapaksa, JM Sharma, Sikandar Raza, M Shahrukh Khan, SM Curran, Harpreet Brar, NT Ellis, RD Chahar, Arshdeep Singh, R Dhawan</t>
  </si>
  <si>
    <t>YBK Jaiswal, R Ashwin, JC Buttler, SV Samson, D Padikkal, R Parag, SO Hetmyer, Dhruv Jurel, JO Holder, YS Chahal, TA Boult, KM Asif</t>
  </si>
  <si>
    <t>KK Ahmed, DA Warner, PP Shaw, MR Marsh, SN Khan, RR Rossouw, Abishek Porel, AR Patel, Aman Hakim Khan, Kuldeep Yadav, A Nortje, Mukesh Kumar</t>
  </si>
  <si>
    <t>J Little, WP Saha, Shubman Gill, B Sai Sudharsan, HH Pandya, V Shankar, DA Miller, R Tewatia, Rashid Khan, AS Joseph, Yash Dayal, Mohammed Shami</t>
  </si>
  <si>
    <t>MM Ali</t>
  </si>
  <si>
    <t>TU Deshpande, RD Gaikwad, DP Conway, S Dube, MM Ali, BA Stokes, AT Rayudu, RA Jadeja, MS Dhoni, MJ Santner, DL Chahar, RS Hangargekar</t>
  </si>
  <si>
    <t>Avesh Khan, KL Rahul, KR Mayers, DJ Hooda, KH Pandya, MP Stoinis, N Pooran, A Badoni, K Gowtham, MA Wood, Yash Thakur, Ravi Bishnoi</t>
  </si>
  <si>
    <t>NA Saini, YBK Jaiswal, JC Buttler, SV Samson, D Padikkal, R Parag, SO Hetmyer, R Ashwin, JO Holder, TA Boult, KM Asif, YS Chahal</t>
  </si>
  <si>
    <t>Fazalhaq Farooqi, Abhishek Sharma, MA Agarwal, RA Tripathi, HC Brook, Washington Sundar, GD Phillips, Abdul Samad, AU Rashid, B Kumar, Umran Malik, T Natarajan</t>
  </si>
  <si>
    <t>JP Behrendorff, RG Sharma, Ishan Kishan, C Green, SA Yadav, Tilak Varma, N Wadhera, TH David, HR Shokeen, Arshad Khan, PP Chawla, JC Archer</t>
  </si>
  <si>
    <t>V Kohli, F du Plessis, KD Karthik, GJ Maxwell, MG Bracewell, Shahbaz Ahmed, HV Patel, Akash Deep, RJW Topley, Mohammed Siraj, KV Sharma</t>
  </si>
  <si>
    <t>MA Wood</t>
  </si>
  <si>
    <t>KL Rahul, KR Mayers, DJ Hooda, KH Pandya, MP Stoinis, N Pooran, A Badoni, K Gowtham, Avesh Khan, Ravi Bishnoi, JD Unadkat, MA Wood</t>
  </si>
  <si>
    <t>KK Ahmed, PP Shaw, DA Warner, MR Marsh, SN Khan, RR Rossouw, R Powell, Aman Hakim Khan, AR Patel, Kuldeep Yadav, C Sakariya, Mukesh Kumar</t>
  </si>
  <si>
    <t>Arshdeep Singh</t>
  </si>
  <si>
    <t>P Simran Singh, S Dhawan, PBB Rajapaksa, JM Sharma, Sikandar Raza, SM Curran, M Shahrukh Khan, Harpreet Brar, RD Chahar, Arshdeep Singh, NT Ellis, R Dhawan</t>
  </si>
  <si>
    <t>Mandeep Singh, Rahmanullah Gurbaz, AS Roy, VR Iyer, N Rana, RK Singh, AD Russell, SN Thakur, SP Narine, TG Southee, UT Yadav, CV Varun</t>
  </si>
  <si>
    <t>TU Deshpande, DP Conway, RD Gaikwad, MM Ali, BA Stokes, AT Rayudu, S Dube, RA Jadeja, MS Dhoni, MJ Santner, DL Chahar, RS Hangargekar</t>
  </si>
  <si>
    <t>KS Williamson, WP Saha, Shubman Gill, B Sai Sudharsan, HH Pandya, V Shankar, R Tewatia, Rashid Khan, Mohammed Shami, J Little, Yash Dayal, AS Joseph</t>
  </si>
  <si>
    <t>HH Pandya</t>
  </si>
  <si>
    <t>YBK Jaiswal, JC Buttler, SV Samson, D Padikkal, SO Hetmyer, R Ashwin, R Parag, TA Boult, OC McCoy, M Prasidh Krishna, YS Chahal</t>
  </si>
  <si>
    <t>WP Saha, Shubman Gill, MS Wade, HH Pandya, DA Miller, R Tewatia, Rashid Khan, R Sai Kishore, LH Ferguson, Yash Dayal, Mohammed Shami</t>
  </si>
  <si>
    <t>V Kohli, F du Plessis, RM Patidar, GJ Maxwell, MK Lomror, KD Karthik, Shahbaz Ahmed, PWH de Silva, HV Patel, JR Hazlewood, Mohammed Siraj</t>
  </si>
  <si>
    <t>YBK Jaiswal, JC Buttler, SV Samson, D Padikkal, SO Hetmyer, R Parag, R Ashwin, TA Boult, YS Chahal, M Prasidh Krishna, OC McCoy</t>
  </si>
  <si>
    <t>V Kohli, F du Plessis, RM Patidar, GJ Maxwell, MK Lomror, KD Karthik, Shahbaz Ahmed, HV Patel, PWH de Silva, JR Hazlewood, Mohammed Siraj</t>
  </si>
  <si>
    <t>Q de Kock, KL Rahul, M Vohra, DJ Hooda, MP Stoinis, E Lewis, KH Pandya, PVD Chameera, Mohsin Khan, Avesh Khan, Ravi Bishnoi</t>
  </si>
  <si>
    <t>DA Miller</t>
  </si>
  <si>
    <t>WP Saha, Shubman Gill, MS Wade, HH Pandya, DA Miller, R Tewatia, Rashid Khan, R Sai Kishore, AS Joseph, Yash Dayal, Mohammed Shami</t>
  </si>
  <si>
    <t>PK Garg, Abhishek Sharma, RA Tripathi, AK Markram, N Pooran, Washington Sundar, R Shepherd, J Suchith, B Kumar, Umran Malik, Fazalhaq Farooqi</t>
  </si>
  <si>
    <t>JM Bairstow, S Dhawan, M Shahrukh Khan, MA Agarwal, LS Livingstone, JM Sharma, PN Mankad, Harpreet Brar, K Rabada, NT Ellis, Arshdeep Singh</t>
  </si>
  <si>
    <t>PP Shaw, DA Warner, MR Marsh, RR Pant, SN Khan, R Powell, AR Patel, SN Thakur, Kuldeep Yadav, A Nortje, KK Ahmed</t>
  </si>
  <si>
    <t>Ishan Kishan, RG Sharma, D Brevis, Tilak Varma, TH David, Ramandeep Singh, DR Sams, HR Shokeen, JJ Bumrah, M Markande, RP Meredith</t>
  </si>
  <si>
    <t>Brabourne Stadium, Mumbai</t>
  </si>
  <si>
    <t>RD Gaikwad, DP Conway, MM Ali, N Jagadeesan, AT Rayudu, MS Dhoni, MJ Santner, Simarjeet Singh, Mukesh Choudhary, PH Solanki, M Pathirana</t>
  </si>
  <si>
    <t>YBK Jaiswal, JC Buttler, SV Samson, D Padikkal, R Ashwin, SO Hetmyer, R Parag, TA Boult, YS Chahal, M Prasidh Krishna, OC McCoy</t>
  </si>
  <si>
    <t>V Kohli, F du Plessis, GJ Maxwell, KD Karthik, RM Patidar, MK Lomror, Shahbaz Ahmed, HV Patel, PWH de Silva, JR Hazlewood, S Kaul</t>
  </si>
  <si>
    <t>Dr DY Patil Sports Academy, Mumbai</t>
  </si>
  <si>
    <t>Navi Mumbai</t>
  </si>
  <si>
    <t>Q de Kock, KL Rahul, E Lewis, DJ Hooda, M Vohra, MP Stoinis, JO Holder, K Gowtham, Mohsin Khan, Avesh Khan, Ravi Bishnoi</t>
  </si>
  <si>
    <t>VR Iyer, A Tomar, N Rana, SS Iyer, SW Billings, AD Russell, RK Singh, SP Narine, UT Yadav, TG Southee, CV Varun</t>
  </si>
  <si>
    <t>RA Tripathi</t>
  </si>
  <si>
    <t>Abhishek Sharma, PK Garg, RA Tripathi, N Pooran, AK Markram, KS Williamson, Washington Sundar, B Kumar, Umran Malik, T Natarajan, Fazalhaq Farooqi</t>
  </si>
  <si>
    <t>RG Sharma, Ishan Kishan, DR Sams, Tilak Varma, TH David, T Stubbs, Ramandeep Singh, R Sanjay Yadav, JJ Bumrah, M Markande, RP Meredith</t>
  </si>
  <si>
    <t>DA Warner, SN Khan, MR Marsh, Lalit Yadav, RR Pant, R Powell, AR Patel, SN Thakur, Kuldeep Yadav, A Nortje, KK Ahmed</t>
  </si>
  <si>
    <t>JM Bairstow, S Dhawan, PBB Rajapaksa, LS Livingstone, MA Agarwal, JM Sharma, Harpreet Brar, R Dhawan, RD Chahar, K Rabada, Arshdeep Singh</t>
  </si>
  <si>
    <t>YBK Jaiswal, JC Buttler, SV Samson, D Padikkal, R Parag, JDS Neesham, R Ashwin, TA Boult, M Prasidh Krishna, YS Chahal, OC McCoy</t>
  </si>
  <si>
    <t>Q de Kock, KL Rahul, A Badoni, DJ Hooda, KH Pandya, MP Stoinis, JO Holder, PVD Chameera, Mohsin Khan, Avesh Khan, Ravi Bishnoi</t>
  </si>
  <si>
    <t>WP Saha</t>
  </si>
  <si>
    <t>RD Gaikwad, DP Conway, MM Ali, N Jagadeesan, S Dube, MS Dhoni, MJ Santner, PH Solanki, Simarjeet Singh, M Pathirana, Mukesh Choudhary</t>
  </si>
  <si>
    <t>Maharashtra Cricket Association Stadium, Pune</t>
  </si>
  <si>
    <t>Pune</t>
  </si>
  <si>
    <t>VR Iyer, AM Rahane, N Rana, SS Iyer, SW Billings, RK Singh, AD Russell, SP Narine, UT Yadav, TG Southee, CV Varun</t>
  </si>
  <si>
    <t>Abhishek Sharma, KS Williamson, RA Tripathi, AK Markram, N Pooran, Washington Sundar, Shashank Singh, M Jansen, B Kumar, Umran Malik, T Natarajan</t>
  </si>
  <si>
    <t>V Kohli, F du Plessis, RM Patidar, MK Lomror, GJ Maxwell, KD Karthik, Shahbaz Ahmed, HV Patel, PWH de Silva, Mohammed Siraj, JR Hazlewood</t>
  </si>
  <si>
    <t>DR Sams</t>
  </si>
  <si>
    <t>RD Gaikwad, DP Conway, MM Ali, RV Uthappa, AT Rayudu, MS Dhoni, S Dube, DJ Bravo, Simarjeet Singh, M Theekshana, Mukesh Choudhary</t>
  </si>
  <si>
    <t>Ishan Kishan, RG Sharma, DR Sams, Tilak Varma, T Stubbs, HR Shokeen, TH David, Ramandeep Singh, JJ Bumrah, RP Meredith, K Kartikeya</t>
  </si>
  <si>
    <t>YBK Jaiswal, JC Buttler, R Ashwin, D Padikkal, SV Samson, R Parag, HE van der Dussen, TA Boult, M Prasidh Krishna, YS Chahal, KR Sen</t>
  </si>
  <si>
    <t>KS Bharat, DA Warner, MR Marsh, RR Pant, R Powell, Lalit Yadav, AR Patel, SN Thakur, Kuldeep Yadav, A Nortje, C Sakariya</t>
  </si>
  <si>
    <t>Q de Kock, KL Rahul, DJ Hooda, KS Sharma, KH Pandya, A Badoni, MP Stoinis, JO Holder, Mohsin Khan, PVD Chameera, Avesh Khan</t>
  </si>
  <si>
    <t>VR Iyer, AM Rahane, N Rana, SS Iyer, AD Russell, RK Singh, SP Jackson, PJ Cummins, SP Narine, TG Southee, CV Varun</t>
  </si>
  <si>
    <t>RG Sharma, Ishan Kishan, Tilak Varma, Ramandeep Singh, TH David, KA Pollard, DR Sams, M Ashwin, K Kartikeya, JJ Bumrah, RP Meredith</t>
  </si>
  <si>
    <t>PWH de Silva</t>
  </si>
  <si>
    <t>V Kohli, F du Plessis, RM Patidar, GJ Maxwell, KD Karthik, MK Lomror, Shahbaz Ahmed, PWH de Silva, HV Patel, JR Hazlewood, Mohammed Siraj</t>
  </si>
  <si>
    <t>Abhishek Sharma, KS Williamson, RA Tripathi, AK Markram, N Pooran, J Suchith, Shashank Singh, Kartik Tyagi, B Kumar, Umran Malik, Fazalhaq Farooqi</t>
  </si>
  <si>
    <t>RD Gaikwad, DP Conway, S Dube, AT Rayudu, MS Dhoni, MM Ali, RV Uthappa, DJ Bravo, Simarjeet Singh, M Theekshana, Mukesh Choudhary</t>
  </si>
  <si>
    <t>DA Warner, KS Bharat, MR Marsh, RR Pant, R Powell, RV Patel, AR Patel, SN Thakur, Kuldeep Yadav, A Nortje, KK Ahmed</t>
  </si>
  <si>
    <t>Q de Kock, KL Rahul, DJ Hooda, KH Pandya, A Badoni, MP Stoinis, JO Holder, PVD Chameera, Avesh Khan, Mohsin Khan, Ravi Bishnoi</t>
  </si>
  <si>
    <t>B Indrajith, AJ Finch, SS Iyer, N Rana, RK Singh, AD Russell, SP Narine, AS Roy, Shivam Mavi, TG Southee, Harshit Rana</t>
  </si>
  <si>
    <t>JM Bairstow, S Dhawan, PBB Rajapaksa, MA Agarwal, JM Sharma, LS Livingstone, R Dhawan, K Rabada, RD Chahar, Arshdeep Singh, Sandeep Sharma</t>
  </si>
  <si>
    <t>YBK Jaiswal, JC Buttler, SV Samson, D Padikkal, SO Hetmyer, R Parag, R Ashwin, TA Boult, M Prasidh Krishna, YS Chahal, KR Sen</t>
  </si>
  <si>
    <t>Ishan Kishan, RG Sharma, SA Yadav, Tilak Varma, KA Pollard, TH David, DR Sams, M Ashwin, K Kartikeya, JJ Bumrah, RP Meredith</t>
  </si>
  <si>
    <t>WP Saha, Shubman Gill, HH Pandya, B Sai Sudharsan, DA Miller, R Tewatia, Rashid Khan, PJ Sangwan, LH Ferguson, AS Joseph, Mohammed Shami</t>
  </si>
  <si>
    <t>DA Warner</t>
  </si>
  <si>
    <t>Mandeep Singh, DA Warner, MR Marsh, RR Pant, R Powell, Lalit Yadav, RV Patel, SN Thakur, Kuldeep Yadav, A Nortje, KK Ahmed</t>
  </si>
  <si>
    <t>Abhishek Sharma, KS Williamson, RA Tripathi, AK Markram, N Pooran, Shashank Singh, SA Abbott, S Gopal, Kartik Tyagi, B Kumar, Umran Malik</t>
  </si>
  <si>
    <t>V Kohli, F du Plessis, GJ Maxwell, MK Lomror, RM Patidar, KD Karthik, PWH de Silva, Shahbaz Ahmed, HV Patel, Mohammed Siraj, JR Hazlewood</t>
  </si>
  <si>
    <t>RD Gaikwad, DP Conway, RV Uthappa, AT Rayudu, MM Ali, RA Jadeja, MS Dhoni, D Pretorius, Simarjeet Singh, M Theekshana, Mukesh Choudhary</t>
  </si>
  <si>
    <t>K Rabada</t>
  </si>
  <si>
    <t>WP Saha, Shubman Gill, B Sai Sudharsan, HH Pandya, DA Miller, R Tewatia, Rashid Khan, PJ Sangwan, LH Ferguson, AS Joseph, Mohammed Shami</t>
  </si>
  <si>
    <t>JM Bairstow, S Dhawan, PBB Rajapaksa, LS Livingstone, MA Agarwal, JM Sharma, R Dhawan, K Rabada, RD Chahar, Arshdeep Singh, Sandeep Sharma</t>
  </si>
  <si>
    <t>JC Buttler, D Padikkal, SV Samson, KK Nair, R Parag, SO Hetmyer, R Ashwin, TA Boult, M Prasidh Krishna, YS Chahal, KR Sen</t>
  </si>
  <si>
    <t>B Indrajith, AJ Finch, SS Iyer, N Rana, RK Singh, AS Roy, AD Russell, SP Narine, UT Yadav, TG Southee, Shivam Mavi</t>
  </si>
  <si>
    <t>Mohsin Khan</t>
  </si>
  <si>
    <t>Q de Kock, KL Rahul, DJ Hooda, MP Stoinis, KH Pandya, A Badoni, JO Holder, Mohsin Khan, K Gowtham, PVD Chameera, Ravi Bishnoi</t>
  </si>
  <si>
    <t>PP Shaw, DA Warner, MR Marsh, RR Pant, Lalit Yadav, R Powell, AR Patel, SN Thakur, Kuldeep Yadav, Mustafizur Rahman, C Sakariya</t>
  </si>
  <si>
    <t>RD Gaikwad, DP Conway, MS Dhoni, RA Jadeja, RV Uthappa, AT Rayudu, Simarjeet Singh, MJ Santner, D Pretorius, Mukesh Choudhary, M Theekshana</t>
  </si>
  <si>
    <t>Abhishek Sharma, KS Williamson, RA Tripathi, AK Markram, N Pooran, Shashank Singh, Washington Sundar, M Jansen, B Kumar, T Natarajan, Umran Malik</t>
  </si>
  <si>
    <t>JC Buttler, D Padikkal, SV Samson, DJ Mitchell, SO Hetmyer, R Parag, R Ashwin, TA Boult, M Prasidh Krishna, YS Chahal, KR Sen</t>
  </si>
  <si>
    <t>RG Sharma, Ishan Kishan, SA Yadav, Tilak Varma, KA Pollard, TH David, DR Sams, HR Shokeen, K Kartikeya, JJ Bumrah, RP Meredith</t>
  </si>
  <si>
    <t>R Tewatia</t>
  </si>
  <si>
    <t>V Kohli, F du Plessis, RM Patidar, GJ Maxwell, KD Karthik, Shahbaz Ahmed, MK Lomror, PWH de Silva, HV Patel, JR Hazlewood, Mohammed Siraj</t>
  </si>
  <si>
    <t>WP Saha, Shubman Gill, B Sai Sudharsan, HH Pandya, DA Miller, R Tewatia, Rashid Khan, PJ Sangwan, AS Joseph, LH Ferguson, Mohammed Shami</t>
  </si>
  <si>
    <t>Q de Kock, KL Rahul, DJ Hooda, KH Pandya, MP Stoinis, A Badoni, JO Holder, PVD Chameera, Mohsin Khan, Avesh Khan, Ravi Bishnoi</t>
  </si>
  <si>
    <t>MA Agarwal, S Dhawan, JM Bairstow, PBB Rajapaksa, LS Livingstone, JM Sharma, R Dhawan, K Rabada, RD Chahar, Arshdeep Singh, Sandeep Sharma</t>
  </si>
  <si>
    <t>AJ Finch, VR Iyer, SS Iyer, B Indrajith, SP Narine, N Rana, AD Russell, RK Singh, UT Yadav, TG Southee, Harshit Rana</t>
  </si>
  <si>
    <t>PP Shaw, DA Warner, MR Marsh, Lalit Yadav, RR Pant, R Powell, AR Patel, SN Thakur, Kuldeep Yadav, Mustafizur Rahman, C Sakariya</t>
  </si>
  <si>
    <t>Umran Malik</t>
  </si>
  <si>
    <t>Abhishek Sharma, KS Williamson, RA Tripathi, AK Markram, N Pooran, Washington Sundar, Shashank Singh, M Jansen, B Kumar, T Natarajan, Umran Malik</t>
  </si>
  <si>
    <t>WP Saha, Shubman Gill, HH Pandya, DA Miller, R Tewatia, A Manohar, Rashid Khan, LH Ferguson, AS Joseph, Yash Dayal, Mohammed Shami</t>
  </si>
  <si>
    <t>JC Buttler, D Padikkal, R Ashwin, SV Samson, DJ Mitchell, R Parag, SO Hetmyer, TA Boult, M Prasidh Krishna, YS Chahal, KR Sen</t>
  </si>
  <si>
    <t>V Kohli, F du Plessis, RM Patidar, GJ Maxwell, Shahbaz Ahmed, SS Prabhudessai, KD Karthik, PWH de Silva, HV Patel, Mohammed Siraj, JR Hazlewood</t>
  </si>
  <si>
    <t>MA Agarwal, S Dhawan, PBB Rajapaksa, LS Livingstone, JM Bairstow, JM Sharma, R Dhawan, K Rabada, RD Chahar, Arshdeep Singh, Sandeep Sharma</t>
  </si>
  <si>
    <t>RD Gaikwad, RV Uthappa, MJ Santner, S Dube, AT Rayudu, RA Jadeja, MS Dhoni, D Pretorius, DJ Bravo, Mukesh Choudhary, M Theekshana</t>
  </si>
  <si>
    <t>Q de Kock, KL Rahul, MK Pandey, MP Stoinis, KH Pandya, DJ Hooda, A Badoni, JO Holder, PVD Chameera, Ravi Bishnoi, Mohsin Khan</t>
  </si>
  <si>
    <t>Ishan Kishan, RG Sharma, D Brevis, SA Yadav, Tilak Varma, KA Pollard, DR Sams, JD Unadkat, HR Shokeen, JJ Bumrah, RP Meredith</t>
  </si>
  <si>
    <t>WP Saha, Shubman Gill, HH Pandya, DA Miller, R Tewatia, Rashid Khan, A Manohar, LH Ferguson, AS Joseph, Yash Dayal, Mohammed Shami</t>
  </si>
  <si>
    <t>SW Billings, SP Narine, SS Iyer, N Rana, RK Singh, VR Iyer, AD Russell, Shivam Mavi, UT Yadav, TG Southee, CV Varun</t>
  </si>
  <si>
    <t>M Jansen</t>
  </si>
  <si>
    <t>F du Plessis, Anuj Rawat, V Kohli, GJ Maxwell, SS Prabhudessai, Shahbaz Ahmed, KD Karthik, HV Patel, PWH de Silva, JR Hazlewood, Mohammed Siraj</t>
  </si>
  <si>
    <t>Abhishek Sharma, KS Williamson, RA Tripathi, AK Markram, N Pooran, Shashank Singh, J Suchith, B Kumar, M Jansen, T Natarajan, Umran Malik</t>
  </si>
  <si>
    <t>JC Buttler, D Padikkal, SV Samson, SO Hetmyer, R Parag, KK Nair, R Ashwin, TA Boult, OC McCoy, M Prasidh Krishna, YS Chahal</t>
  </si>
  <si>
    <t>PP Shaw, DA Warner, SN Khan, RR Pant, Lalit Yadav, AR Patel, SN Thakur, R Powell, Kuldeep Yadav, Mustafizur Rahman, KK Ahmed</t>
  </si>
  <si>
    <t>Mukesh Choudhary</t>
  </si>
  <si>
    <t>RG Sharma, Ishan Kishan, D Brevis, SA Yadav, Tilak Varma, HR Shokeen, KA Pollard, DR Sams, JD Unadkat, RP Meredith, JJ Bumrah</t>
  </si>
  <si>
    <t>RD Gaikwad, RV Uthappa, MJ Santner, AT Rayudu, S Dube, RA Jadeja, MS Dhoni, D Pretorius, DJ Bravo, Mukesh Choudhary, M Theekshana</t>
  </si>
  <si>
    <t>MA Agarwal, S Dhawan, JM Bairstow, LS Livingstone, JM Sharma, M Shahrukh Khan, K Rabada, NT Ellis, RD Chahar, Arshdeep Singh, VG Arora</t>
  </si>
  <si>
    <t>PP Shaw, DA Warner, SN Khan, RR Pant, R Powell, Lalit Yadav, SN Thakur, AR Patel, Kuldeep Yadav, Mustafizur Rahman, KK Ahmed</t>
  </si>
  <si>
    <t>Anuj Rawat, F du Plessis, V Kohli, GJ Maxwell, SS Prabhudessai, Shahbaz Ahmed, KD Karthik, HV Patel, PWH de Silva, JR Hazlewood, Mohammed Siraj</t>
  </si>
  <si>
    <t>Q de Kock, KL Rahul, MK Pandey, KH Pandya, DJ Hooda, A Badoni, MP Stoinis, JO Holder, PVD Chameera, Ravi Bishnoi, Avesh Khan</t>
  </si>
  <si>
    <t>AJ Finch, SP Narine, SS Iyer, N Rana, AD Russell, VR Iyer, SP Jackson, Shivam Mavi, PJ Cummins, UT Yadav, CV Varun</t>
  </si>
  <si>
    <t>S Dhawan, P Simran Singh, JM Bairstow, LS Livingstone, JM Sharma, M Shahrukh Khan, OF Smith, K Rabada, RD Chahar, VG Arora, Arshdeep Singh</t>
  </si>
  <si>
    <t>RD Gaikwad, RV Uthappa, MM Ali, AT Rayudu, S Dube, RA Jadeja, MS Dhoni, DJ Bravo, CJ Jordan, M Theekshana, Mukesh Choudhary</t>
  </si>
  <si>
    <t>WP Saha, Shubman Gill, V Shankar, A Manohar, DA Miller, R Tewatia, Rashid Khan, AS Joseph, LH Ferguson, Mohammed Shami, Yash Dayal</t>
  </si>
  <si>
    <t>KD Karthik</t>
  </si>
  <si>
    <t>F du Plessis, Anuj Rawat, V Kohli, GJ Maxwell, SS Prabhudessai, Shahbaz Ahmed, KD Karthik, PWH de Silva, Mohammed Siraj, HV Patel, JR Hazlewood</t>
  </si>
  <si>
    <t>PP Shaw, DA Warner, MR Marsh, RR Pant, R Powell, Lalit Yadav, SN Thakur, AR Patel, Kuldeep Yadav, Mustafizur Rahman, KK Ahmed</t>
  </si>
  <si>
    <t>KL Rahul, Q de Kock, MK Pandey, MP Stoinis, DJ Hooda, KH Pandya, A Badoni, JO Holder, PVD Chameera, Avesh Khan, Ravi Bishnoi</t>
  </si>
  <si>
    <t>Ishan Kishan, RG Sharma, D Brevis, SA Yadav, Tilak Varma, KA Pollard, FA Allen, JD Unadkat, M Ashwin, JJ Bumrah, TS Mills</t>
  </si>
  <si>
    <t>VR Iyer, AJ Finch, SS Iyer, SP Narine, N Rana, SP Jackson, AD Russell, PJ Cummins, Aman Hakim Khan, UT Yadav, CV Varun</t>
  </si>
  <si>
    <t>Abhishek Sharma, KS Williamson, RA Tripathi, AK Markram, N Pooran, Shashank Singh, J Suchith, M Jansen, B Kumar, T Natarajan, Umran Malik</t>
  </si>
  <si>
    <t>MS Wade, Shubman Gill, V Shankar, HH Pandya, A Manohar, DA Miller, R Tewatia, Rashid Khan, Mohammed Shami, LH Ferguson, Yash Dayal</t>
  </si>
  <si>
    <t>JC Buttler, D Padikkal, R Ashwin, SV Samson, HE van der Dussen, SO Hetmyer, R Parag, JDS Neesham, M Prasidh Krishna, YS Chahal, KR Sen</t>
  </si>
  <si>
    <t>MA Agarwal</t>
  </si>
  <si>
    <t>MA Agarwal, S Dhawan, JM Bairstow, LS Livingstone, JM Sharma, M Shahrukh Khan, OF Smith, K Rabada, RD Chahar, VG Arora, Arshdeep Singh</t>
  </si>
  <si>
    <t>RG Sharma, Ishan Kishan, D Brevis, Tilak Varma, SA Yadav, KA Pollard, JD Unadkat, M Ashwin, JJ Bumrah, TS Mills, Basil Thampi</t>
  </si>
  <si>
    <t>RD Gaikwad, RV Uthappa, MM Ali, S Dube, RA Jadeja, MS Dhoni, AT Rayudu, DJ Bravo, CJ Jordan, M Theekshana, Mukesh Choudhary</t>
  </si>
  <si>
    <t>F du Plessis, Anuj Rawat, V Kohli, GJ Maxwell, Shahbaz Ahmed, SS Prabhudessai, KD Karthik, PWH de Silva, Akash Deep, Mohammed Siraj, JR Hazlewood</t>
  </si>
  <si>
    <t>KS Williamson</t>
  </si>
  <si>
    <t>MS Wade, Shubman Gill, B Sai Sudharsan, HH Pandya, DA Miller, A Manohar, R Tewatia, Rashid Khan, DG Nalkande, Mohammed Shami, LH Ferguson</t>
  </si>
  <si>
    <t>Abhishek Sharma, KS Williamson, RA Tripathi, N Pooran, AK Markram, Shashank Singh, Washington Sundar, M Jansen, B Kumar, T Natarajan, Umran Malik</t>
  </si>
  <si>
    <t>PP Shaw, DA Warner, RR Pant, Lalit Yadav, R Powell, AR Patel, SN Thakur, SN Khan, Kuldeep Yadav, Mustafizur Rahman, KK Ahmed</t>
  </si>
  <si>
    <t>AM Rahane, VR Iyer, SS Iyer, N Rana, AD Russell, SW Billings, PJ Cummins, SP Narine, UT Yadav, Rasikh Salam, CV Varun</t>
  </si>
  <si>
    <t>JC Buttler, D Padikkal, SV Samson, HE van der Dussen, SO Hetmyer, R Ashwin, R Parag, TA Boult, YS Chahal, KR Sen, M Prasidh Krishna</t>
  </si>
  <si>
    <t>KL Rahul, Q de Kock, K Gowtham, JO Holder, DJ Hooda, A Badoni, KH Pandya, MP Stoinis, PVD Chameera, Avesh Khan, Ravi Bishnoi</t>
  </si>
  <si>
    <t>Anuj Rawat</t>
  </si>
  <si>
    <t>Ishan Kishan, RG Sharma, D Brevis, SA Yadav, Tilak Varma, KA Pollard, Ramandeep Singh, JD Unadkat, M Ashwin, JJ Bumrah, Basil Thampi</t>
  </si>
  <si>
    <t>F du Plessis, Anuj Rawat, V Kohli, KD Karthik, GJ Maxwell, DJ Willey, Shahbaz Ahmed, PWH de Silva, HV Patel, Mohammed Siraj, Akash Deep</t>
  </si>
  <si>
    <t>RV Uthappa, RD Gaikwad, MM Ali, AT Rayudu, S Dube, RA Jadeja, MS Dhoni, DJ Bravo, CJ Jordan, M Theekshana, Mukesh Choudhary</t>
  </si>
  <si>
    <t>Abhishek Sharma, KS Williamson, RA Tripathi, N Pooran, AK Markram, Shashank Singh, Washington Sundar, B Kumar, M Jansen, Umran Malik, T Natarajan</t>
  </si>
  <si>
    <t>MA Agarwal, S Dhawan, JM Bairstow, LS Livingstone, JM Sharma, OF Smith, M Shahrukh Khan, K Rabada, RD Chahar, VG Arora, Arshdeep Singh</t>
  </si>
  <si>
    <t>MS Wade, Shubman Gill, B Sai Sudharsan, HH Pandya, DA Miller, R Tewatia, A Manohar, Rashid Khan, DG Nalkande, Mohammed Shami, LH Ferguson</t>
  </si>
  <si>
    <t>PP Shaw, DA Warner, R Powell, RR Pant, SN Khan, Lalit Yadav, AR Patel, SN Thakur, Kuldeep Yadav, Mustafizur Rahman, A Nortje</t>
  </si>
  <si>
    <t>KL Rahul, Q de Kock, E Lewis, DJ Hooda, KH Pandya, A Badoni, K Gowtham, JO Holder, Avesh Khan, AJ Tye, Ravi Bishnoi</t>
  </si>
  <si>
    <t>PJ Cummins</t>
  </si>
  <si>
    <t>RG Sharma, Ishan Kishan, D Brevis, SA Yadav, Tilak Varma, KA Pollard, DR Sams, M Ashwin, TS Mills, JJ Bumrah, Basil Thampi</t>
  </si>
  <si>
    <t>AM Rahane, VR Iyer, SS Iyer, SW Billings, N Rana, AD Russell, PJ Cummins, SP Narine, Rasikh Salam, UT Yadav, CV Varun</t>
  </si>
  <si>
    <t>JC Buttler, YBK Jaiswal, D Padikkal, SV Samson, SO Hetmyer, R Parag, R Ashwin, Navdeep Saini, TA Boult, YS Chahal, M Prasidh Krishna</t>
  </si>
  <si>
    <t>F du Plessis, Anuj Rawat, V Kohli, DJ Willey, SE Rutherford, Shahbaz Ahmed, KD Karthik, HV Patel, PWH de Silva, Mohammed Siraj, Akash Deep</t>
  </si>
  <si>
    <t>KL Rahul, Q de Kock, E Lewis, MK Pandey, DJ Hooda, A Badoni, KH Pandya, JO Holder, AJ Tye, Ravi Bishnoi, Avesh Khan</t>
  </si>
  <si>
    <t>Abhishek Sharma, KS Williamson, RA Tripathi, AK Markram, N Pooran, Washington Sundar, Abdul Samad, R Shepherd, B Kumar, Umran Malik, T Natarajan</t>
  </si>
  <si>
    <t>LS Livingstone</t>
  </si>
  <si>
    <t>MA Agarwal, S Dhawan, PBB Rajapaksa, LS Livingstone, JM Sharma, M Shahrukh Khan, OF Smith, K Rabada, RD Chahar, VG Arora, Arshdeep Singh</t>
  </si>
  <si>
    <t>RV Uthappa, RD Gaikwad, MM Ali, AT Rayudu, RA Jadeja, S Dube, MS Dhoni, DJ Bravo, D Pretorius, CJ Jordan, Mukesh Choudhary</t>
  </si>
  <si>
    <t>LH Ferguson</t>
  </si>
  <si>
    <t>MS Wade, Shubman Gill, V Shankar, HH Pandya, DA Miller, R Tewatia, A Manohar, Rashid Khan, VR Aaron, LH Ferguson, Mohammed Shami</t>
  </si>
  <si>
    <t>PP Shaw, TL Seifert, Mandeep Singh, RR Pant, Lalit Yadav, R Powell, AR Patel, SN Thakur, Kuldeep Yadav, KK Ahmed, Mustafizur Rahman</t>
  </si>
  <si>
    <t>Ishan Kishan, RG Sharma, Anmolpreet Singh, Tilak Varma, KA Pollard, TH David, DR Sams, M Ashwin, JJ Bumrah, TS Mills, Basil Thampi</t>
  </si>
  <si>
    <t>UT Yadav</t>
  </si>
  <si>
    <t>MA Agarwal, S Dhawan, PBB Rajapaksa, LS Livingstone, RA Bawa, M Shahrukh Khan, Harpreet Brar, OF Smith, RD Chahar, K Rabada, Arshdeep Singh</t>
  </si>
  <si>
    <t>AM Rahane, VR Iyer, SS Iyer, SW Billings, N Rana, AD Russell, SP Narine, TG Southee, UT Yadav, CV Varun, Shivam Mavi</t>
  </si>
  <si>
    <t>E Lewis</t>
  </si>
  <si>
    <t>RV Uthappa, RD Gaikwad, MM Ali, S Dube, AT Rayudu, RA Jadeja, MS Dhoni, D Pretorius, DJ Bravo, TU Deshpande, Mukesh Choudhary</t>
  </si>
  <si>
    <t>KL Rahul, Q de Kock, MK Pandey, E Lewis, DJ Hooda, A Badoni, KH Pandya, PVD Chameera, AJ Tye, Ravi Bishnoi, Avesh Khan</t>
  </si>
  <si>
    <t>AM Rahane, VR Iyer, SS Iyer, N Rana, SP Narine, SW Billings, SP Jackson, AD Russell, TG Southee, UT Yadav, CV Varun</t>
  </si>
  <si>
    <t>F du Plessis, Anuj Rawat, V Kohli, DJ Willey, SE Rutherford, Shahbaz Ahmed, KD Karthik, PWH de Silva, HV Patel, Mohammed Siraj, Akash Deep</t>
  </si>
  <si>
    <t>JC Buttler, YBK Jaiswal, SV Samson, D Padikkal, SO Hetmyer, R Parag, NM Coulter-Nile, R Ashwin, YS Chahal, TA Boult, M Prasidh Krishna</t>
  </si>
  <si>
    <t>KS Williamson, Abhishek Sharma, RA Tripathi, N Pooran, AK Markram, Abdul Samad, R Shepherd, Washington Sundar, B Kumar, Umran Malik, T Natarajan</t>
  </si>
  <si>
    <t>KL Rahul, Q de Kock, E Lewis, MK Pandey, DJ Hooda, A Badoni, KH Pandya, PVD Chameera, Mohsin Khan, Ravi Bishnoi, Avesh Khan</t>
  </si>
  <si>
    <t>Shubman Gill, MS Wade, V Shankar, HH Pandya, DA Miller, R Tewatia, A Manohar, Rashid Khan, LH Ferguson, Mohammed Shami, VR Aaron</t>
  </si>
  <si>
    <t>OF Smith</t>
  </si>
  <si>
    <t>F du Plessis, Anuj Rawat, V Kohli, KD Karthik, SE Rutherford, DJ Willey, Shahbaz Ahmed, PWH de Silva, HV Patel, Mohammed Siraj, Akash Deep</t>
  </si>
  <si>
    <t>MA Agarwal, S Dhawan, PBB Rajapaksa, LS Livingstone, RA Bawa, M Shahrukh Khan, OF Smith, Harpreet Brar, Arshdeep Singh, Sandeep Sharma, RD Chahar</t>
  </si>
  <si>
    <t>RG Sharma, Ishan Kishan, Anmolpreet Singh, Tilak Varma, KA Pollard, TH David, DR Sams, M Ashwin, TS Mills, JJ Bumrah, Basil Thampi</t>
  </si>
  <si>
    <t>PP Shaw, TL Seifert, Mandeep Singh, RR Pant, Lalit Yadav, R Powell, SN Thakur, AR Patel, Kuldeep Yadav, KK Ahmed, KL Nagarkoti</t>
  </si>
  <si>
    <t>RD Gaikwad, DP Conway, RV Uthappa, AT Rayudu, RA Jadeja, S Dube, MS Dhoni, DJ Bravo, MJ Santner, AF Milne, TU Deshpande</t>
  </si>
  <si>
    <t>AM Rahane, VR Iyer, N Rana, SS Iyer, SW Billings, SP Jackson, AD Russell, SP Narine, UT Yadav, Shivam Mavi, CV Varun</t>
  </si>
  <si>
    <t>Dubai International Cricket Stadium</t>
  </si>
  <si>
    <t>Dubai</t>
  </si>
  <si>
    <t>RD Gaikwad, F du Plessis, RV Uthappa, MM Ali, AT Rayudu, MS Dhoni, RA Jadeja, DJ Bravo, SN Thakur, DL Chahar, JR Hazlewood</t>
  </si>
  <si>
    <t>Shubman Gill, VR Iyer, N Rana, SP Narine, EJG Morgan, KD Karthik, Shakib Al Hasan, RA Tripathi, LH Ferguson, Shivam Mavi, CV Varun</t>
  </si>
  <si>
    <t>Sharjah Cricket Stadium</t>
  </si>
  <si>
    <t>Sharjah</t>
  </si>
  <si>
    <t>PP Shaw, S Dhawan, MP Stoinis, SS Iyer, RR Pant, SO Hetmyer, AR Patel, R Ashwin, K Rabada, Avesh Khan, A Nortje</t>
  </si>
  <si>
    <t>Shubman Gill, VR Iyer, N Rana, RA Tripathi, KD Karthik, EJG Morgan, Shakib Al Hasan, SP Narine, LH Ferguson, Shivam Mavi, CV Varun</t>
  </si>
  <si>
    <t>D Padikkal, V Kohli, KS Bharat, GJ Maxwell, AB de Villiers, Shahbaz Ahmed, DT Christian, HV Patel, GHS Garton, Mohammed Siraj, YS Chahal</t>
  </si>
  <si>
    <t>Shubman Gill, VR Iyer, RA Tripathi, N Rana, SP Narine, KD Karthik, EJG Morgan, Shakib Al Hasan, LH Ferguson, Shivam Mavi, CV Varun</t>
  </si>
  <si>
    <t>PP Shaw, S Dhawan, SS Iyer, AR Patel, RR Pant, SO Hetmyer, TK Curran, R Ashwin, K Rabada, Avesh Khan, A Nortje</t>
  </si>
  <si>
    <t>RD Gaikwad, F du Plessis, RV Uthappa, SN Thakur, AT Rayudu, MM Ali, MS Dhoni, RA Jadeja, DJ Bravo, DL Chahar, JR Hazlewood</t>
  </si>
  <si>
    <t>KS Bharat</t>
  </si>
  <si>
    <t>PP Shaw, S Dhawan, RR Pant, SS Iyer, SO Hetmyer, RV Patel, AR Patel, R Ashwin, K Rabada, Avesh Khan, A Nortje</t>
  </si>
  <si>
    <t>V Kohli, D Padikkal, KS Bharat, AB de Villiers, GJ Maxwell, DT Christian, Shahbaz Ahmed, GHS Garton, HV Patel, Mohammed Siraj, YS Chahal</t>
  </si>
  <si>
    <t>Zayed Cricket Stadium, Abu Dhabi</t>
  </si>
  <si>
    <t>Abu Dhabi</t>
  </si>
  <si>
    <t>RG Sharma, Ishan Kishan, HH Pandya, KA Pollard, SA Yadav, JDS Neesham, KH Pandya, NM Coulter-Nile, PP Chawla, JJ Bumrah, TA Boult</t>
  </si>
  <si>
    <t>JJ Roy, Abhishek Sharma, MK Pandey, Mohammad Nabi, Abdul Samad, PK Garg, JO Holder, Rashid Khan, WP Saha, S Kaul, Umran Malik</t>
  </si>
  <si>
    <t>Shivam Mavi</t>
  </si>
  <si>
    <t>Shubman Gill, VR Iyer, N Rana, RA Tripathi, KD Karthik, EJG Morgan, Shakib Al Hasan, SP Narine, LH Ferguson, CV Varun, Shivam Mavi</t>
  </si>
  <si>
    <t>YBK Jaiswal, LS Livingstone, SV Samson, S Dube, Anuj Rawat, GD Phillips, R Tewatia, CH Morris, JD Unadkat, C Sakariya, Mustafizur Rahman</t>
  </si>
  <si>
    <t>RD Gaikwad, F du Plessis, MM Ali, RV Uthappa, AT Rayudu, MS Dhoni, RA Jadeja, DJ Bravo, DL Chahar, SN Thakur, JR Hazlewood</t>
  </si>
  <si>
    <t>KL Rahul, MA Agarwal, SN Khan, M Shahrukh Khan, AK Markram, MC Henriques, CJ Jordan, Harpreet Brar, Ravi Bishnoi, Mohammed Shami, Arshdeep Singh</t>
  </si>
  <si>
    <t>JJ Roy, Abhishek Sharma, KS Williamson, PK Garg, Abdul Samad, WP Saha, JO Holder, Rashid Khan, B Kumar, S Kaul, Umran Malik</t>
  </si>
  <si>
    <t>V Kohli, D Padikkal, DT Christian, KS Bharat, GJ Maxwell, AB de Villiers, Shahbaz Ahmed, GHS Garton, HV Patel, Mohammed Siraj, YS Chahal</t>
  </si>
  <si>
    <t>NM Coulter-Nile</t>
  </si>
  <si>
    <t>E Lewis, YBK Jaiswal, SV Samson, S Dube, GD Phillips, DA Miller, R Tewatia, S Gopal, C Sakariya, K Yadav, Mustafizur Rahman</t>
  </si>
  <si>
    <t>RG Sharma, Ishan Kishan, SA Yadav, HH Pandya, SS Tiwary, KA Pollard, JDS Neesham, NM Coulter-Nile, J Yadav, JJ Bumrah, TA Boult</t>
  </si>
  <si>
    <t>RD Gaikwad, F du Plessis, RV Uthappa, MM Ali, AT Rayudu, MS Dhoni, RA Jadeja, DJ Bravo, DL Chahar, SN Thakur, JR Hazlewood</t>
  </si>
  <si>
    <t>PP Shaw, S Dhawan, SS Iyer, RR Pant, RV Patel, R Ashwin, SO Hetmyer, AR Patel, K Rabada, Avesh Khan, A Nortje</t>
  </si>
  <si>
    <t>JJ Roy, WP Saha, KS Williamson, PK Garg, Abhishek Sharma, Abdul Samad, JO Holder, Rashid Khan, B Kumar, S Kaul, Umran Malik</t>
  </si>
  <si>
    <t>Shubman Gill, VR Iyer, RA Tripathi, N Rana, KD Karthik, EJG Morgan, Shakib Al Hasan, SP Narine, TG Southee, CV Varun, Shivam Mavi</t>
  </si>
  <si>
    <t>V Kohli, D Padikkal, DT Christian, GJ Maxwell, AB de Villiers, Shahbaz Ahmed, KS Bharat, GHS Garton, HV Patel, Mohammed Siraj, YS Chahal</t>
  </si>
  <si>
    <t>KL Rahul, MA Agarwal, N Pooran, AK Markram, SN Khan, M Shahrukh Khan, MC Henriques, Harpreet Brar, Ravi Bishnoi, Mohammed Shami, Arshdeep Singh</t>
  </si>
  <si>
    <t>RG Sharma, Q de Kock, SA Yadav, SS Tiwary, KA Pollard, HH Pandya, KH Pandya, NM Coulter-Nile, J Yadav, JJ Bumrah, TA Boult</t>
  </si>
  <si>
    <t>PP Shaw, S Dhawan, SPD Smith, RR Pant, SS Iyer, AR Patel, SO Hetmyer, R Ashwin, K Rabada, Avesh Khan, A Nortje</t>
  </si>
  <si>
    <t>RD Gaikwad, F du Plessis, SK Raina, MM Ali, AT Rayudu, RA Jadeja, MS Dhoni, SM Curran, SN Thakur, JR Hazlewood, KM Asif</t>
  </si>
  <si>
    <t>E Lewis, YBK Jaiswal, SV Samson, S Dube, GD Phillips, DA Miller, R Tewatia, Akash Singh, M Markande, C Sakariya, Mustafizur Rahman</t>
  </si>
  <si>
    <t>VR Iyer, Shubman Gill, RA Tripathi, N Rana, EJG Morgan, KD Karthik, TL Seifert, SP Narine, TG Southee, CV Varun, Shivam Mavi</t>
  </si>
  <si>
    <t>KL Rahul, MA Agarwal, N Pooran, AK Markram, DJ Hooda, M Shahrukh Khan, FA Allen, NT Ellis, Ravi Bishnoi, Mohammed Shami, Arshdeep Singh</t>
  </si>
  <si>
    <t>JJ Roy, WP Saha, KS Williamson, PK Garg, Abhishek Sharma, Abdul Samad, JO Holder, Rashid Khan, B Kumar, Sandeep Sharma, S Kaul</t>
  </si>
  <si>
    <t>RD Gaikwad, F du Plessis, MM Ali, SK Raina, AT Rayudu, MS Dhoni, RA Jadeja, DJ Bravo, SN Thakur, DL Chahar, JR Hazlewood</t>
  </si>
  <si>
    <t>E Lewis, YBK Jaiswal, SV Samson, MK Lomror, LS Livingstone, R Tewatia, R Parag, CH Morris, C Sakariya, Kartik Tyagi, Mustafizur Rahman</t>
  </si>
  <si>
    <t>V Kohli, D Padikkal, KS Bharat, GJ Maxwell, AB de Villiers, DT Christian, Shahbaz Ahmed, GHS Garton, HV Patel, Mohammed Siraj, YS Chahal</t>
  </si>
  <si>
    <t>SPD Smith, S Dhawan, SS Iyer, RR Pant, SO Hetmyer, Lalit Yadav, AR Patel, R Ashwin, K Rabada, Avesh Khan, A Nortje</t>
  </si>
  <si>
    <t>Shubman Gill, VR Iyer, RA Tripathi, N Rana, EJG Morgan, KD Karthik, SP Narine, TG Southee, LH Ferguson, S Sandeep Warrier, CV Varun</t>
  </si>
  <si>
    <t>KA Pollard</t>
  </si>
  <si>
    <t>KL Rahul, Mandeep Singh, CH Gayle, AK Markram, N Pooran, DJ Hooda, Harpreet Brar, NT Ellis, Ravi Bishnoi, Mohammed Shami, Arshdeep Singh</t>
  </si>
  <si>
    <t>RG Sharma, Q de Kock, SA Yadav, SS Tiwary, HH Pandya, KA Pollard, KH Pandya, NM Coulter-Nile, RD Chahar, TA Boult, JJ Bumrah</t>
  </si>
  <si>
    <t>JJ Roy</t>
  </si>
  <si>
    <t>E Lewis, YBK Jaiswal, SV Samson, LS Livingstone, MK Lomror, R Parag, R Tewatia, CH Morris, JD Unadkat, C Sakariya, Mustafizur Rahman</t>
  </si>
  <si>
    <t>JJ Roy, WP Saha, KS Williamson, PK Garg, Abhishek Sharma, JO Holder, Abdul Samad, Rashid Khan, B Kumar, Sandeep Sharma, S Kaul</t>
  </si>
  <si>
    <t>V Kohli, D Padikkal, KS Bharat, GJ Maxwell, AB de Villiers, DT Christian, Shahbaz Ahmed, KA Jamieson, HV Patel, Mohammed Siraj, YS Chahal</t>
  </si>
  <si>
    <t>RG Sharma, Q de Kock, Ishan Kishan, SA Yadav, KH Pandya, KA Pollard, HH Pandya, AF Milne, RD Chahar, JJ Bumrah, TA Boult</t>
  </si>
  <si>
    <t>Shubman Gill, VR Iyer, RA Tripathi, EJG Morgan, N Rana, AD Russell, KD Karthik, SP Narine, LH Ferguson, M Prasidh Krishna, CV Varun</t>
  </si>
  <si>
    <t>RD Gaikwad, F du Plessis, MM Ali, AT Rayudu, SK Raina, MS Dhoni, RA Jadeja, SM Curran, SN Thakur, DL Chahar, JR Hazlewood</t>
  </si>
  <si>
    <t>PP Shaw, S Dhawan, SS Iyer, RR Pant, SO Hetmyer, Lalit Yadav, AR Patel, R Ashwin, K Rabada, A Nortje, Avesh Khan</t>
  </si>
  <si>
    <t>LS Livingstone, YBK Jaiswal, SV Samson, DA Miller, MK Lomror, R Parag, R Tewatia, T Shamsi, Kartik Tyagi, C Sakariya, Mustafizur Rahman</t>
  </si>
  <si>
    <t>JO Holder</t>
  </si>
  <si>
    <t>KL Rahul, MA Agarwal, CH Gayle, AK Markram, N Pooran, DJ Hooda, Harpreet Brar, NT Ellis, Mohammed Shami, Ravi Bishnoi, Arshdeep Singh</t>
  </si>
  <si>
    <t>DA Warner, WP Saha, KS Williamson, MK Pandey, KM Jadhav, Abdul Samad, JO Holder, Rashid Khan, B Kumar, Sandeep Sharma, KK Ahmed</t>
  </si>
  <si>
    <t>DJ Bravo</t>
  </si>
  <si>
    <t>V Kohli, D Padikkal, AB de Villiers, GJ Maxwell, TH David, HV Patel, PWH de Silva, KS Bharat, Navdeep Saini, Mohammed Siraj, YS Chahal</t>
  </si>
  <si>
    <t>RD Gaikwad, F du Plessis, MM Ali, AT Rayudu, SK Raina, MS Dhoni, RA Jadeja, DJ Bravo, SN Thakur, DL Chahar, JR Hazlewood</t>
  </si>
  <si>
    <t>RG Sharma, Q de Kock, SA Yadav, Ishan Kishan, KA Pollard, KH Pandya, SS Tiwary, AF Milne, RD Chahar, JJ Bumrah, TA Boult</t>
  </si>
  <si>
    <t>A Nortje</t>
  </si>
  <si>
    <t>PP Shaw, S Dhawan, SS Iyer, RR Pant, MP Stoinis, SO Hetmyer, AR Patel, R Ashwin, K Rabada, A Nortje, Avesh Khan</t>
  </si>
  <si>
    <t>Kartik Tyagi</t>
  </si>
  <si>
    <t>E Lewis, YBK Jaiswal, SV Samson, LS Livingstone, MK Lomror, R Parag, R Tewatia, CH Morris, C Sakariya, Kartik Tyagi, Mustafizur Rahman</t>
  </si>
  <si>
    <t>KL Rahul, MA Agarwal, AK Markram, N Pooran, DJ Hooda, FA Allen, IC Porel, AU Rashid, Harpreet Brar, Arshdeep Singh, Mohammed Shami</t>
  </si>
  <si>
    <t>V Kohli, D Padikkal, KS Bharat, GJ Maxwell, AB de Villiers, Sachin Baby, PWH de Silva, KA Jamieson, HV Patel, Mohammed Siraj, YS Chahal</t>
  </si>
  <si>
    <t>Shubman Gill, VR Iyer, AD Russell, N Rana, RA Tripathi, EJG Morgan, KD Karthik, LH Ferguson, SP Narine, CV Varun, M Prasidh Krishna</t>
  </si>
  <si>
    <t>Q de Kock, Anmolpreet Singh, SA Yadav, Ishan Kishan, SS Tiwary, KA Pollard, KH Pandya, AF Milne, RD Chahar, JJ Bumrah, TA Boult</t>
  </si>
  <si>
    <t>P Simran Singh, MA Agarwal, CH Gayle, DJ Malan, DJ Hooda, M Shahrukh Khan, CJ Jordan, Harpreet Brar, RP Meredith, Ravi Bishnoi, Mohammed Shami</t>
  </si>
  <si>
    <t>PP Shaw, S Dhawan, SPD Smith, RR Pant, SO Hetmyer, MP Stoinis, AR Patel, Lalit Yadav, K Rabada, I Sharma, Avesh Khan</t>
  </si>
  <si>
    <t>JC Buttler, YBK Jaiswal, SV Samson, R Parag, DA Miller, Anuj Rawat, R Tewatia, CH Morris, Kartik Tyagi, C Sakariya, Mustafizur Rahman</t>
  </si>
  <si>
    <t>MK Pandey, JM Bairstow, KS Williamson, V Shankar, KM Jadhav, Mohammad Nabi, Abdul Samad, Rashid Khan, B Kumar, Sandeep Sharma, KK Ahmed</t>
  </si>
  <si>
    <t>RD Gaikwad, F du Plessis, MM Ali, SK Raina, AT Rayudu, RA Jadeja, MS Dhoni, SM Curran, SN Thakur, DL Chahar, L Ngidi</t>
  </si>
  <si>
    <t>Q de Kock, RG Sharma, SA Yadav, KH Pandya, KA Pollard, HH Pandya, JDS Neesham, DS Kulkarni, RD Chahar, JJ Bumrah, TA Boult</t>
  </si>
  <si>
    <t>KL Rahul, P Simran Singh, CH Gayle, N Pooran, DJ Hooda, M Shahrukh Khan, Harpreet Brar, RP Meredith, Ravi Bishnoi, Mohammed Shami, CJ Jordan</t>
  </si>
  <si>
    <t>V Kohli, D Padikkal, RM Patidar, GJ Maxwell, AB de Villiers, Shahbaz Ahmed, DR Sams, KA Jamieson, HV Patel, Mohammed Siraj, YS Chahal</t>
  </si>
  <si>
    <t>PP Shaw</t>
  </si>
  <si>
    <t>N Rana, Shubman Gill, RA Tripathi, EJG Morgan, SP Narine, AD Russell, KD Karthik, PJ Cummins, Shivam Mavi, CV Varun, M Prasidh Krishna</t>
  </si>
  <si>
    <t>PP Shaw, S Dhawan, RR Pant, MP Stoinis, SO Hetmyer, SPD Smith, Lalit Yadav, AR Patel, K Rabada, Avesh Khan, I Sharma</t>
  </si>
  <si>
    <t>JC Buttler, YBK Jaiswal, SV Samson, S Dube, DA Miller, R Parag, R Tewatia, CH Morris, JD Unadkat, C Sakariya, Mustafizur Rahman</t>
  </si>
  <si>
    <t>RG Sharma, Q de Kock, SA Yadav, KH Pandya, KA Pollard, HH Pandya, NM Coulter-Nile, J Yadav, RD Chahar, JJ Bumrah, TA Boult</t>
  </si>
  <si>
    <t>DA Warner, JM Bairstow, MK Pandey, KS Williamson, KM Jadhav, Rashid Khan, V Shankar, J Suchith, S Kaul, KK Ahmed, Sandeep Sharma</t>
  </si>
  <si>
    <t>RD Gaikwad, F du Plessis, MM Ali, RA Jadeja, SK Raina, AT Rayudu, MS Dhoni, SM Curran, SN Thakur, DL Chahar, L Ngidi</t>
  </si>
  <si>
    <t>AB de Villiers</t>
  </si>
  <si>
    <t>V Kohli, D Padikkal, RM Patidar, GJ Maxwell, AB de Villiers, Washington Sundar, DR Sams, KA Jamieson, HV Patel, Mohammed Siraj, YS Chahal</t>
  </si>
  <si>
    <t>PP Shaw, S Dhawan, SPD Smith, RR Pant, MP Stoinis, SO Hetmyer, AR Patel, K Rabada, Avesh Khan, A Mishra, I Sharma</t>
  </si>
  <si>
    <t>EJG Morgan</t>
  </si>
  <si>
    <t>KL Rahul, MA Agarwal, CH Gayle, DJ Hooda, N Pooran, MC Henriques, M Shahrukh Khan, CJ Jordan, Ravi Bishnoi, Mohammed Shami, Arshdeep Singh</t>
  </si>
  <si>
    <t>Shubman Gill, N Rana, RA Tripathi, SP Narine, EJG Morgan, AD Russell, KD Karthik, PJ Cummins, Shivam Mavi, CV Varun, M Prasidh Krishna</t>
  </si>
  <si>
    <t>PP Shaw, S Dhawan, RR Pant, SPD Smith, SO Hetmyer, MP Stoinis, AR Patel, R Ashwin, K Rabada, Avesh Khan, A Mishra</t>
  </si>
  <si>
    <t>DA Warner, JM Bairstow, KS Williamson, Virat Singh, KM Jadhav, Abhishek Sharma, Rashid Khan, V Shankar, J Suchith, S Kaul, KK Ahmed</t>
  </si>
  <si>
    <t>RD Gaikwad, F du Plessis, SK Raina, AT Rayudu, RA Jadeja, MS Dhoni, DJ Bravo, SM Curran, SN Thakur, DL Chahar, Imran Tahir</t>
  </si>
  <si>
    <t>V Kohli, D Padikkal, Washington Sundar, GJ Maxwell, AB de Villiers, DT Christian, KA Jamieson, HV Patel, Navdeep Saini, YS Chahal, Mohammed Siraj</t>
  </si>
  <si>
    <t>CH Morris</t>
  </si>
  <si>
    <t>N Rana, Shubman Gill, RA Tripathi, SP Narine, EJG Morgan, KD Karthik, AD Russell, PJ Cummins, Shivam Mavi, M Prasidh Krishna, CV Varun</t>
  </si>
  <si>
    <t>JC Buttler, YBK Jaiswal, SV Samson, S Dube, R Tewatia, DA Miller, R Parag, CH Morris, JD Unadkat, C Sakariya, Mustafizur Rahman</t>
  </si>
  <si>
    <t>Q de Kock, RG Sharma, Ishan Kishan, SA Yadav, KA Pollard, HH Pandya, KH Pandya, J Yadav, RD Chahar, JJ Bumrah, TA Boult</t>
  </si>
  <si>
    <t>KL Rahul, MA Agarwal, CH Gayle, DJ Hooda, N Pooran, MC Henriques, M Shahrukh Khan, FA Allen, Mohammed Shami, Ravi Bishnoi, Arshdeep Singh</t>
  </si>
  <si>
    <t>JC Buttler, M Vohra, SV Samson, DA Miller, S Dube, R Parag, R Tewatia, CH Morris, S Gopal, C Sakariya, Mustafizur Rahman</t>
  </si>
  <si>
    <t>V Kohli, D Padikkal, GJ Maxwell, AB de Villiers, Washington Sundar, KA Jamieson, Shahbaz Ahmed, HV Patel, Mohammed Siraj, KW Richardson, YS Chahal</t>
  </si>
  <si>
    <t>RD Gaikwad, F du Plessis, MM Ali, MS Dhoni, RA Jadeja, SK Raina, AT Rayudu, SM Curran, SN Thakur, DL Chahar, L Ngidi</t>
  </si>
  <si>
    <t>N Rana, Shubman Gill, RA Tripathi, EJG Morgan, SP Narine, KD Karthik, AD Russell, PJ Cummins, KL Nagarkoti, CV Varun, M Prasidh Krishna</t>
  </si>
  <si>
    <t>KL Rahul, MA Agarwal, CH Gayle, N Pooran, DJ Hooda, MC Henriques, M Shahrukh Khan, FA Allen, M Ashwin, Mohammed Shami, Arshdeep Singh</t>
  </si>
  <si>
    <t>DA Warner, JM Bairstow, KS Williamson, Virat Singh, KM Jadhav, V Shankar, Abhishek Sharma, Rashid Khan, B Kumar, S Kaul, KK Ahmed</t>
  </si>
  <si>
    <t>A Mishra</t>
  </si>
  <si>
    <t>RG Sharma, Q de Kock, SA Yadav, Ishan Kishan, HH Pandya, KH Pandya, KA Pollard, J Yadav, RD Chahar, JJ Bumrah, TA Boult</t>
  </si>
  <si>
    <t>PP Shaw, S Dhawan, SPD Smith, Lalit Yadav, RR Pant, SO Hetmyer, MP Stoinis, R Ashwin, K Rabada, Avesh Khan, A Mishra</t>
  </si>
  <si>
    <t>RD Gaikwad, F du Plessis, MM Ali, SK Raina, AT Rayudu, RA Jadeja, MS Dhoni, SM Curran, DJ Bravo, SN Thakur, DL Chahar</t>
  </si>
  <si>
    <t>JC Buttler, M Vohra, SV Samson, S Dube, DA Miller, R Parag, R Tewatia, CH Morris, JD Unadkat, C Sakariya, Mustafizur Rahman</t>
  </si>
  <si>
    <t>KL Rahul, MA Agarwal, CH Gayle, DJ Hooda, N Pooran, M Shahrukh Khan, Jalaj S Saxena, JA Richardson, Mohammed Shami, RP Meredith, Arshdeep Singh</t>
  </si>
  <si>
    <t>PP Shaw, S Dhawan, SPD Smith, RR Pant, MP Stoinis, Lalit Yadav, LI Meriwala, CR Woakes, R Ashwin, K Rabada, Avesh Khan</t>
  </si>
  <si>
    <t>V Kohli, D Padikkal, RM Patidar, GJ Maxwell, AB de Villiers, KA Jamieson, Washington Sundar, Shahbaz Ahmed, HV Patel, Mohammed Siraj, YS Chahal</t>
  </si>
  <si>
    <t>N Rana, Shubman Gill, RA Tripathi, EJG Morgan, KD Karthik, Shakib Al Hasan, AD Russell, PJ Cummins, Harbhajan Singh, CV Varun, M Prasidh Krishna</t>
  </si>
  <si>
    <t>Q de Kock, RG Sharma, SA Yadav, Ishan Kishan, KA Pollard, HH Pandya, KH Pandya, AF Milne, RD Chahar, JJ Bumrah, TA Boult</t>
  </si>
  <si>
    <t>DA Warner, JM Bairstow, MK Pandey, Virat Singh, V Shankar, Abhishek Sharma, Abdul Samad, Rashid Khan, B Kumar, Mujeeb Ur Rahman, KK Ahmed</t>
  </si>
  <si>
    <t>DL Chahar</t>
  </si>
  <si>
    <t>KL Rahul, MA Agarwal, CH Gayle, DJ Hooda, N Pooran, M Shahrukh Khan, JA Richardson, M Ashwin, Mohammed Shami, RP Meredith, Arshdeep Singh</t>
  </si>
  <si>
    <t>RD Gaikwad, F du Plessis, MM Ali, SK Raina, AT Rayudu, SM Curran, RA Jadeja, MS Dhoni, DJ Bravo, SN Thakur, DL Chahar</t>
  </si>
  <si>
    <t>JD Unadkat</t>
  </si>
  <si>
    <t>PP Shaw, S Dhawan, AM Rahane, RR Pant, MP Stoinis, Lalit Yadav, TK Curran, CR Woakes, R Ashwin, K Rabada, Avesh Khan</t>
  </si>
  <si>
    <t>V Kohli, D Padikkal, Shahbaz Ahmed, GJ Maxwell, AB de Villiers, Washington Sundar, DT Christian, KA Jamieson, HV Patel, Mohammed Siraj, YS Chahal</t>
  </si>
  <si>
    <t>WP Saha, DA Warner, MK Pandey, JM Bairstow, Abdul Samad, V Shankar, JO Holder, Rashid Khan, B Kumar, S Nadeem, T Natarajan</t>
  </si>
  <si>
    <t>RD Chahar</t>
  </si>
  <si>
    <t>RG Sharma, Q de Kock, SA Yadav, Ishan Kishan, HH Pandya, KA Pollard, KH Pandya, M Jansen, RD Chahar, JJ Bumrah, TA Boult</t>
  </si>
  <si>
    <t>N Rana, Shubman Gill, RA Tripathi, EJG Morgan, Shakib Al Hasan, KD Karthik, AD Russell, PJ Cummins, Harbhajan Singh, CV Varun, M Prasidh Krishna</t>
  </si>
  <si>
    <t>BA Stokes, M Vohra, SV Samson, JC Buttler, S Dube, R Parag, R Tewatia, CH Morris, S Gopal, C Sakariya, Mustafizur Rahman</t>
  </si>
  <si>
    <t>N Rana, Shubman Gill, RA Tripathi, AD Russell, EJG Morgan, KD Karthik, Shakib Al Hasan, PJ Cummins, Harbhajan Singh, CV Varun, M Prasidh Krishna</t>
  </si>
  <si>
    <t>WP Saha, DA Warner, MK Pandey, JM Bairstow, Mohammad Nabi, V Shankar, Abdul Samad, Rashid Khan, B Kumar, Sandeep Sharma, T Natarajan</t>
  </si>
  <si>
    <t>PP Shaw, S Dhawan, RR Pant, MP Stoinis, SO Hetmyer, AM Rahane, CR Woakes, TK Curran, R Ashwin, A Mishra, Avesh Khan</t>
  </si>
  <si>
    <t>RG Sharma, CA Lynn, SA Yadav, Ishan Kishan, HH Pandya, KA Pollard, KH Pandya, M Jansen, RD Chahar, JJ Bumrah, TA Boult</t>
  </si>
  <si>
    <t>Washington Sundar, V Kohli, RM Patidar, GJ Maxwell, AB de Villiers, Shahbaz Ahmed, DT Christian, KA Jamieson, HV Patel, Mohammed Siraj, YS Chahal</t>
  </si>
  <si>
    <t>MP Stoinis, S Dhawan, AM Rahane, SS Iyer, RR Pant, SO Hetmyer, AR Patel, K Rabada, P Dubey, R Ashwin, A Nortje</t>
  </si>
  <si>
    <t>RG Sharma, Q de Kock, SA Yadav, Ishan Kishan, KA Pollard, HH Pandya, KH Pandya, J Yadav, NM Coulter-Nile, TA Boult, JJ Bumrah</t>
  </si>
  <si>
    <t>Sheikh Zayed Stadium</t>
  </si>
  <si>
    <t>MP Stoinis, S Dhawan, SS Iyer, SO Hetmyer, RR Pant, AM Rahane, P Dubey, AR Patel, R Ashwin, K Rabada, A Nortje</t>
  </si>
  <si>
    <t>PK Garg, DA Warner, MK Pandey, KS Williamson, JO Holder, Abdul Samad, Rashid Khan, SP Goswami, S Nadeem, Sandeep Sharma, T Natarajan</t>
  </si>
  <si>
    <t>V Kohli, D Padikkal, AJ Finch, AB de Villiers, MM Ali, S Dube, Washington Sundar, Navdeep Saini, Mohammed Siraj, YS Chahal, A Zampa</t>
  </si>
  <si>
    <t>DA Warner, SP Goswami, MK Pandey, KS Williamson, PK Garg, JO Holder, Abdul Samad, Rashid Khan, S Nadeem, Sandeep Sharma, T Natarajan</t>
  </si>
  <si>
    <t>Q de Kock, RG Sharma, SA Yadav, Ishan Kishan, KA Pollard, KH Pandya, HH Pandya, NM Coulter-Nile, TA Boult, RD Chahar, JJ Bumrah</t>
  </si>
  <si>
    <t>PP Shaw, S Dhawan, AM Rahane, SS Iyer, MP Stoinis, RR Pant, AR Patel, DR Sams, K Rabada, A Nortje, R Ashwin</t>
  </si>
  <si>
    <t>S Nadeem</t>
  </si>
  <si>
    <t>RG Sharma, Q de Kock, SA Yadav, Ishan Kishan, KH Pandya, SS Tiwary, KA Pollard, NM Coulter-Nile, JL Pattinson, DS Kulkarni, RD Chahar</t>
  </si>
  <si>
    <t>DA Warner, WP Saha, MK Pandey, KS Williamson, PK Garg, JO Holder, Abdul Samad, Rashid Khan, S Nadeem, Sandeep Sharma, T Natarajan</t>
  </si>
  <si>
    <t>JR Philippe, D Padikkal, V Kohli, AB de Villiers, CH Morris, S Dube, Washington Sundar, I Udana, Shahbaz Ahmed, Mohammed Siraj, YS Chahal</t>
  </si>
  <si>
    <t>PP Shaw, S Dhawan, AM Rahane, SS Iyer, RR Pant, MP Stoinis, AR Patel, DR Sams, R Ashwin, K Rabada, A Nortje</t>
  </si>
  <si>
    <t>Shubman Gill, N Rana, RA Tripathi, SP Narine, EJG Morgan, KD Karthik, AD Russell, PJ Cummins, KL Nagarkoti, Shivam Mavi, CV Varun</t>
  </si>
  <si>
    <t>RV Uthappa, BA Stokes, SPD Smith, SV Samson, JC Buttler, R Parag, R Tewatia, S Gopal, JC Archer, Kartik Tyagi, VR Aaron</t>
  </si>
  <si>
    <t>Kings XI Punjab</t>
  </si>
  <si>
    <t>KL Rahul, MA Agarwal, CH Gayle, N Pooran, Mandeep Singh, DJ Hooda, JDS Neesham, CJ Jordan, M Ashwin, Ravi Bishnoi, Mohammed Shami</t>
  </si>
  <si>
    <t>RD Gaikwad, F du Plessis, AT Rayudu, MS Dhoni, N Jagadeesan, SM Curran, RA Jadeja, DL Chahar, SN Thakur, L Ngidi, Imran Tahir</t>
  </si>
  <si>
    <t>PP Shaw, S Dhawan, SS Iyer, RR Pant, MP Stoinis, SO Hetmyer, HV Patel, R Ashwin, P Dubey, K Rabada, A Nortje</t>
  </si>
  <si>
    <t>Ishan Kishan, Q de Kock, SA Yadav, SS Tiwary, KH Pandya, KA Pollard, NM Coulter-Nile, J Yadav, RD Chahar, TA Boult, JJ Bumrah</t>
  </si>
  <si>
    <t>JR Philippe, D Padikkal, V Kohli, AB de Villiers, Washington Sundar, Gurkeerat Singh, CH Morris, I Udana, Mohammed Siraj, Navdeep Saini, YS Chahal</t>
  </si>
  <si>
    <t>DA Warner, WP Saha, MK Pandey, KS Williamson, Abhishek Sharma, JO Holder, Abdul Samad, Rashid Khan, S Nadeem, Sandeep Sharma, T Natarajan</t>
  </si>
  <si>
    <t>BA Stokes</t>
  </si>
  <si>
    <t>KL Rahul, Mandeep Singh, CH Gayle, N Pooran, GJ Maxwell, DJ Hooda, CJ Jordan, M Ashwin, Ravi Bishnoi, Mohammed Shami, Arshdeep Singh</t>
  </si>
  <si>
    <t>RV Uthappa, BA Stokes, SV Samson, SPD Smith, JC Buttler, R Parag, R Tewatia, JC Archer, S Gopal, Kartik Tyagi, VR Aaron</t>
  </si>
  <si>
    <t>Shubman Gill, N Rana, SP Narine, RK Singh, EJG Morgan, KD Karthik, RA Tripathi, KL Nagarkoti, PJ Cummins, LH Ferguson, CV Varun</t>
  </si>
  <si>
    <t>SR Watson, RD Gaikwad, AT Rayudu, MS Dhoni, SM Curran, RA Jadeja, N Jagadeesan, MJ Santner, DL Chahar, KV Sharma, L Ngidi</t>
  </si>
  <si>
    <t>JR Philippe, D Padikkal, V Kohli, AB de Villiers, S Dube, CH Morris, Gurkeerat Singh, Washington Sundar, YS Chahal, Mohammed Siraj, DW Steyn</t>
  </si>
  <si>
    <t>Q de Kock, Ishan Kishan, SA Yadav, SS Tiwary, KH Pandya, HH Pandya, KA Pollard, JL Pattinson, RD Chahar, TA Boult, JJ Bumrah</t>
  </si>
  <si>
    <t>DA Warner, WP Saha, MK Pandey, KS Williamson, V Shankar, Abdul Samad, JO Holder, Rashid Khan, Sandeep Sharma, T Natarajan, S Nadeem</t>
  </si>
  <si>
    <t>AM Rahane, S Dhawan, MP Stoinis, SO Hetmyer, RR Pant, SS Iyer, AR Patel, K Rabada, R Ashwin, TU Deshpande, A Nortje</t>
  </si>
  <si>
    <t>CH Gayle</t>
  </si>
  <si>
    <t>Shubman Gill, N Rana, RA Tripathi, KD Karthik, EJG Morgan, SP Narine, KL Nagarkoti, PJ Cummins, LH Ferguson, CV Varun, M Prasidh Krishna</t>
  </si>
  <si>
    <t>D Padikkal, AJ Finch, V Kohli, AB de Villiers, MM Ali, CH Morris, Gurkeerat Singh, Washington Sundar, Navdeep Saini, YS Chahal, Mohammed Siraj</t>
  </si>
  <si>
    <t>RD Gaikwad, F du Plessis, AT Rayudu, MS Dhoni, N Jagadeesan, RA Jadeja, SM Curran, MJ Santner, DL Chahar, Imran Tahir, Monu Kumar</t>
  </si>
  <si>
    <t>Ishan Kishan, Q de Kock, SA Yadav, SS Tiwary, KA Pollard, HH Pandya, KH Pandya, JL Pattinson, RD Chahar, TA Boult, JJ Bumrah</t>
  </si>
  <si>
    <t>RV Uthappa, BA Stokes, SPD Smith, SV Samson, JC Buttler, R Parag, R Tewatia, JC Archer, S Gopal, AS Rajpoot, Kartik Tyagi</t>
  </si>
  <si>
    <t>Shubman Gill, N Rana, RA Tripathi, KD Karthik, SP Narine, EJG Morgan, PJ Cummins, LH Ferguson, KL Nagarkoti, M Prasidh Krishna, CV Varun</t>
  </si>
  <si>
    <t>AM Rahane, S Dhawan, SS Iyer, RR Pant, SO Hetmyer, MP Stoinis, AR Patel, K Rabada, R Ashwin, TU Deshpande, A Nortje</t>
  </si>
  <si>
    <t>CJ Jordan</t>
  </si>
  <si>
    <t>DA Warner, JM Bairstow, MK Pandey, Abdul Samad, V Shankar, JO Holder, PK Garg, Rashid Khan, Sandeep Sharma, T Natarajan, KK Ahmed</t>
  </si>
  <si>
    <t>RD Gaikwad, F du Plessis, AT Rayudu, N Jagadeesan, MS Dhoni, RA Jadeja, SM Curran, DL Chahar, SN Thakur, Imran Tahir, JR Hazlewood</t>
  </si>
  <si>
    <t>Q de Kock, Ishan Kishan, SA Yadav, SS Tiwary, KH Pandya, HH Pandya, KA Pollard, NM Coulter-Nile, RD Chahar, TA Boult, JJ Bumrah</t>
  </si>
  <si>
    <t>MK Pandey</t>
  </si>
  <si>
    <t>RV Uthappa, BA Stokes, SV Samson, JC Buttler, SPD Smith, R Parag, R Tewatia, JC Archer, S Gopal, AS Rajpoot, Kartik Tyagi</t>
  </si>
  <si>
    <t>DA Warner, JM Bairstow, MK Pandey, V Shankar, PK Garg, Abdul Samad, JO Holder, Rashid Khan, Sandeep Sharma, T Natarajan, S Nadeem</t>
  </si>
  <si>
    <t>Shubman Gill, RA Tripathi, N Rana, T Banton, KD Karthik, EJG Morgan, PJ Cummins, Kuldeep Yadav, LH Ferguson, M Prasidh Krishna, CV Varun</t>
  </si>
  <si>
    <t>D Padikkal, AJ Finch, Gurkeerat Singh, V Kohli, AB de Villiers, CH Morris, Washington Sundar, I Udana, Navdeep Saini, YS Chahal, Mohammed Siraj</t>
  </si>
  <si>
    <t>PP Shaw, S Dhawan, SS Iyer, RR Pant, MP Stoinis, SO Hetmyer, AR Patel, R Ashwin, K Rabada, DR Sams, TU Deshpande</t>
  </si>
  <si>
    <t>KL Rahul, MA Agarwal, CH Gayle, N Pooran, GJ Maxwell, DJ Hooda, JDS Neesham, M Ashwin, Ravi Bishnoi, Mohammed Shami, Arshdeep Singh</t>
  </si>
  <si>
    <t>SM Curran, F du Plessis, SR Watson, AT Rayudu, MS Dhoni, RA Jadeja, KM Jadhav, PP Chawla, DL Chahar, SN Thakur, JR Hazlewood</t>
  </si>
  <si>
    <t>BA Stokes, RV Uthappa, SV Samson, SPD Smith, JC Buttler, R Tewatia, R Parag, JC Archer, S Gopal, AS Rajpoot, Kartik Tyagi</t>
  </si>
  <si>
    <t>RG Sharma, Q de Kock, SA Yadav, Ishan Kishan, KH Pandya, HH Pandya, KA Pollard, NM Coulter-Nile, RD Chahar, TA Boult, JJ Bumrah</t>
  </si>
  <si>
    <t>KL Rahul, MA Agarwal, CH Gayle, N Pooran, GJ Maxwell, DJ Hooda, CJ Jordan, M Ashwin, Ravi Bishnoi, Mohammed Shami, Arshdeep Singh</t>
  </si>
  <si>
    <t>Shubman Gill, RA Tripathi, N Rana, AD Russell, EJG Morgan, KD Karthik, PJ Cummins, LH Ferguson, Kuldeep Yadav, Shivam Mavi, CV Varun</t>
  </si>
  <si>
    <t>JM Bairstow, KS Williamson, PK Garg, DA Warner, MK Pandey, V Shankar, Abdul Samad, Rashid Khan, Sandeep Sharma, Basil Thampi, T Natarajan</t>
  </si>
  <si>
    <t>RV Uthappa, BA Stokes, SV Samson, SPD Smith, JC Buttler, R Tewatia, JC Archer, R Parag, S Gopal, JD Unadkat, Kartik Tyagi</t>
  </si>
  <si>
    <t>D Padikkal, AJ Finch, V Kohli, AB de Villiers, Gurkeerat Singh, CH Morris, Washington Sundar, Shahbaz Ahmed, I Udana, Navdeep Saini, YS Chahal</t>
  </si>
  <si>
    <t>SM Curran, F du Plessis, SR Watson, AT Rayudu, MS Dhoni, RA Jadeja, KM Jadhav, DJ Bravo, DL Chahar, SN Thakur, KV Sharma</t>
  </si>
  <si>
    <t>PP Shaw, S Dhawan, AM Rahane, SS Iyer, MP Stoinis, AT Carey, AR Patel, R Ashwin, TU Deshpande, K Rabada, A Nortje</t>
  </si>
  <si>
    <t>RA Tripathi, Shubman Gill, N Rana, KD Karthik, EJG Morgan, AD Russell, PJ Cummins, CJ Green, M Prasidh Krishna, Shivam Mavi, CV Varun</t>
  </si>
  <si>
    <t>RG Sharma, Q de Kock, SA Yadav, HH Pandya, Ishan Kishan, KA Pollard, KH Pandya, RD Chahar, TA Boult, JJ Bumrah, NM Coulter-Nile</t>
  </si>
  <si>
    <t>AJ Finch, D Padikkal, V Kohli, Washington Sundar, S Dube, AB de Villiers, CH Morris, I Udana, Navdeep Saini, YS Chahal, Mohammed Siraj</t>
  </si>
  <si>
    <t>BA Stokes, JC Buttler, SPD Smith, SV Samson, RV Uthappa, R Parag, R Tewatia, JC Archer, S Gopal, JD Unadkat, Kartik Tyagi</t>
  </si>
  <si>
    <t>SM Curran, F du Plessis, SR Watson, AT Rayudu, MS Dhoni, RA Jadeja, DJ Bravo, DL Chahar, PP Chawla, SN Thakur, KV Sharma</t>
  </si>
  <si>
    <t>DA Warner, JM Bairstow, MK Pandey, KS Williamson, PK Garg, V Shankar, Rashid Khan, S Nadeem, Sandeep Sharma, T Natarajan, KK Ahmed</t>
  </si>
  <si>
    <t>AJ Finch, D Padikkal, V Kohli, AB de Villiers, CH Morris, Washington Sundar, S Dube, I Udana, Navdeep Saini, YS Chahal, Mohammed Siraj</t>
  </si>
  <si>
    <t>T Banton, Shubman Gill, N Rana, EJG Morgan, KD Karthik, AD Russell, RA Tripathi, PJ Cummins, KL Nagarkoti, CV Varun, M Prasidh Krishna</t>
  </si>
  <si>
    <t>PP Shaw, S Dhawan, AM Rahane, SS Iyer, MP Stoinis, AT Carey, AR Patel, R Ashwin, HV Patel, K Rabada, A Nortje</t>
  </si>
  <si>
    <t>RG Sharma, Q de Kock, SA Yadav, Ishan Kishan, HH Pandya, KA Pollard, KH Pandya, JL Pattinson, RD Chahar, TA Boult, JJ Bumrah</t>
  </si>
  <si>
    <t>DA Warner, JM Bairstow, MK Pandey, KS Williamson, PK Garg, V Shankar, Abhishek Sharma, Rashid Khan, Sandeep Sharma, KK Ahmed, T Natarajan</t>
  </si>
  <si>
    <t>RA Tripathi, Shubman Gill, N Rana, EJG Morgan, KD Karthik, AD Russell, PJ Cummins, SP Narine, KL Nagarkoti, M Prasidh Krishna, CV Varun</t>
  </si>
  <si>
    <t>KL Rahul, MA Agarwal, N Pooran, P Simran Singh, GJ Maxwell, Mandeep Singh, CJ Jordan, Ravi Bishnoi, Mohammed Shami, Arshdeep Singh, Mujeeb Ur Rahman</t>
  </si>
  <si>
    <t>D Padikkal, AJ Finch, V Kohli, AB de Villiers, Washington Sundar, S Dube, Gurkeerat Singh, CH Morris, I Udana, Navdeep Saini, YS Chahal</t>
  </si>
  <si>
    <t>SR Watson, F du Plessis, AT Rayudu, N Jagadeesan, MS Dhoni, SM Curran, RA Jadeja, DJ Bravo, DL Chahar, SN Thakur, KV Sharma</t>
  </si>
  <si>
    <t>PP Shaw, S Dhawan, SS Iyer, RR Pant, MP Stoinis, SO Hetmyer, HV Patel, AR Patel, K Rabada, R Ashwin, A Nortje</t>
  </si>
  <si>
    <t>YBK Jaiswal, JC Buttler, SPD Smith, SV Samson, MK Lomror, R Tewatia, AJ Tye, JC Archer, S Gopal, Kartik Tyagi, VR Aaron</t>
  </si>
  <si>
    <t>DA Warner, JM Bairstow, Abdul Samad, MK Pandey, KS Williamson, PK Garg, Abhishek Sharma, Rashid Khan, Sandeep Sharma, KK Ahmed, T Natarajan</t>
  </si>
  <si>
    <t>KL Rahul, MA Agarwal, P Simran Singh, N Pooran, GJ Maxwell, Mandeep Singh, Mujeeb Ur Rahman, Ravi Bishnoi, Mohammed Shami, SS Cottrell, Arshdeep Singh</t>
  </si>
  <si>
    <t>RA Tripathi, Shubman Gill, N Rana, SP Narine, EJG Morgan, AD Russell, KD Karthik, PJ Cummins, KL Nagarkoti, Shivam Mavi, CV Varun</t>
  </si>
  <si>
    <t>SR Watson, F du Plessis, AT Rayudu, MS Dhoni, SM Curran, KM Jadhav, RA Jadeja, DJ Bravo, SN Thakur, DL Chahar, KV Sharma</t>
  </si>
  <si>
    <t>Q de Kock, RG Sharma, SA Yadav, Ishan Kishan, KH Pandya, HH Pandya, KA Pollard, JL Pattinson, RD Chahar, TA Boult, JJ Bumrah</t>
  </si>
  <si>
    <t>YBK Jaiswal, JC Buttler, SPD Smith, SV Samson, MK Lomror, TK Curran, R Tewatia, JC Archer, S Gopal, AS Rajpoot, Kartik Tyagi</t>
  </si>
  <si>
    <t>PP Shaw, S Dhawan, SS Iyer, RR Pant, MP Stoinis, SO Hetmyer, AR Patel, R Ashwin, K Rabada, A Nortje, HV Patel</t>
  </si>
  <si>
    <t>D Padikkal, AJ Finch, V Kohli, AB de Villiers, MM Ali, Washington Sundar, S Dube, I Udana, Navdeep Saini, Mohammed Siraj, YS Chahal</t>
  </si>
  <si>
    <t>DA Warner, JM Bairstow, MK Pandey, KS Williamson, PK Garg, Abhishek Sharma, Abdul Samad, Rashid Khan, Sandeep Sharma, S Kaul, T Natarajan</t>
  </si>
  <si>
    <t>SR Watson</t>
  </si>
  <si>
    <t>KL Rahul, MA Agarwal, Mandeep Singh, N Pooran, GJ Maxwell, SN Khan, CJ Jordan, Harpreet Brar, Ravi Bishnoi, Mohammed Shami, SS Cottrell</t>
  </si>
  <si>
    <t>SR Watson, F du Plessis, AT Rayudu, KM Jadhav, MS Dhoni, RA Jadeja, SM Curran, DJ Bravo, PP Chawla, SN Thakur, DL Chahar</t>
  </si>
  <si>
    <t>PP Shaw, S Dhawan, SS Iyer, RR Pant, MP Stoinis, SO Hetmyer, R Ashwin, K Rabada, A Nortje, A Mishra, HV Patel</t>
  </si>
  <si>
    <t>Shubman Gill, SP Narine, N Rana, AD Russell, KD Karthik, EJG Morgan, PJ Cummins, RA Tripathi, KL Nagarkoti, Shivam Mavi, CV Varun</t>
  </si>
  <si>
    <t>JC Buttler, SPD Smith, SV Samson, RV Uthappa, MK Lomror, R Parag, R Tewatia, JC Archer, TK Curran, S Gopal, JD Unadkat</t>
  </si>
  <si>
    <t>D Padikkal, AJ Finch, V Kohli, AB de Villiers, S Dube, Gurkeerat Singh, Washington Sundar, I Udana, Navdeep Saini, YS Chahal, A Zampa</t>
  </si>
  <si>
    <t>PK Garg</t>
  </si>
  <si>
    <t>DA Warner, JM Bairstow, MK Pandey, KS Williamson, PK Garg, Abhishek Sharma, Abdul Samad, Rashid Khan, B Kumar, T Natarajan, KK Ahmed</t>
  </si>
  <si>
    <t>F du Plessis, SR Watson, AT Rayudu, KM Jadhav, MS Dhoni, RA Jadeja, SM Curran, DJ Bravo, SN Thakur, PP Chawla, DL Chahar</t>
  </si>
  <si>
    <t>Q de Kock, RG Sharma, SA Yadav, Ishan Kishan, KA Pollard, HH Pandya, KH Pandya, JL Pattinson, RD Chahar, TA Boult, JJ Bumrah</t>
  </si>
  <si>
    <t>KL Rahul, MA Agarwal, KK Nair, N Pooran, GJ Maxwell, JDS Neesham, SN Khan, K Gowtham, Ravi Bishnoi, Mohammed Shami, SS Cottrell</t>
  </si>
  <si>
    <t>Shubman Gill, SP Narine, N Rana, AD Russell, KD Karthik, EJG Morgan, PJ Cummins, KL Nagarkoti, Shivam Mavi, Kuldeep Yadav, CV Varun</t>
  </si>
  <si>
    <t>JC Buttler, SPD Smith, SV Samson, RV Uthappa, R Parag, R Tewatia, TK Curran, S Gopal, JC Archer, JD Unadkat, AS Rajpoot</t>
  </si>
  <si>
    <t>DA Warner, JM Bairstow, MK Pandey, KS Williamson, Abdul Samad, Abhishek Sharma, PK Garg, Rashid Khan, B Kumar, T Natarajan, KK Ahmed</t>
  </si>
  <si>
    <t>PP Shaw, S Dhawan, SS Iyer, RR Pant, SO Hetmyer, MP Stoinis, AR Patel, K Rabada, A Nortje, A Mishra, I Sharma</t>
  </si>
  <si>
    <t>KL Rahul, MA Agarwal, GJ Maxwell, N Pooran, KK Nair, JDS Neesham, SN Khan, Mohammed Shami, SS Cottrell, Ravi Bishnoi, M Ashwin</t>
  </si>
  <si>
    <t>JC Buttler, SPD Smith, SV Samson, R Tewatia, RV Uthappa, JC Archer, R Parag, TK Curran, S Gopal, AS Rajpoot, JD Unadkat</t>
  </si>
  <si>
    <t>DA Warner, JM Bairstow, MK Pandey, WP Saha, Mohammad Nabi, Abhishek Sharma, PK Garg, Rashid Khan, B Kumar, T Natarajan, KK Ahmed</t>
  </si>
  <si>
    <t>Shubman Gill, SP Narine, N Rana, KD Karthik, EJG Morgan, AD Russell, PJ Cummins, Shivam Mavi, Kuldeep Yadav, KL Nagarkoti, CV Varun</t>
  </si>
  <si>
    <t>PP Shaw, S Dhawan, RR Pant, SS Iyer, MP Stoinis, SO Hetmyer, AR Patel, A Mishra, K Rabada, A Nortje, Avesh Khan</t>
  </si>
  <si>
    <t>M Vijay, SR Watson, F du Plessis, RD Gaikwad, KM Jadhav, MS Dhoni, RA Jadeja, SM Curran, PP Chawla, DL Chahar, JR Hazlewood</t>
  </si>
  <si>
    <t>KL Rahul, MA Agarwal, N Pooran, GJ Maxwell, KK Nair, JDS Neesham, SN Khan, Mohammed Shami, SS Cottrell, Ravi Bishnoi, M Ashwin</t>
  </si>
  <si>
    <t>D Padikkal, AJ Finch, JR Philippe, V Kohli, AB de Villiers, Washington Sundar, S Dube, UT Yadav, Navdeep Saini, DW Steyn, YS Chahal</t>
  </si>
  <si>
    <t>Q de Kock, RG Sharma, SA Yadav, SS Tiwary, HH Pandya, KA Pollard, KH Pandya, JL Pattinson, RD Chahar, TA Boult, JJ Bumrah</t>
  </si>
  <si>
    <t>Shubman Gill, SP Narine, KD Karthik, N Rana, EJG Morgan, AD Russell, NS Naik, PJ Cummins, Shivam Mavi, Kuldeep Yadav, S Sandeep Warrier</t>
  </si>
  <si>
    <t>YBK Jaiswal, SPD Smith, SV Samson, DA Miller, RV Uthappa, R Tewatia, R Parag, TK Curran, JC Archer, S Gopal, JD Unadkat</t>
  </si>
  <si>
    <t>M Vijay, SR Watson, F du Plessis, SM Curran, RD Gaikwad, KM Jadhav, MS Dhoni, RA Jadeja, PP Chawla, DL Chahar, L Ngidi</t>
  </si>
  <si>
    <t>D Padikkal, AJ Finch, V Kohli, AB de Villiers, S Dube, JR Philippe, Washington Sundar, UT Yadav, Navdeep Saini, DW Steyn, YS Chahal</t>
  </si>
  <si>
    <t>DA Warner, JM Bairstow, MK Pandey, PK Garg, V Shankar, Abhishek Sharma, Rashid Khan, B Kumar, Sandeep Sharma, MR Marsh, T Natarajan</t>
  </si>
  <si>
    <t>PP Shaw, S Dhawan, SO Hetmyer, SS Iyer, RR Pant, MP Stoinis, AR Patel, R Ashwin, K Rabada, A Nortje, MM Sharma</t>
  </si>
  <si>
    <t>KL Rahul, MA Agarwal, KK Nair, N Pooran, GJ Maxwell, SN Khan, K Gowtham, CJ Jordan, Mohammed Shami, SS Cottrell, Ravi Bishnoi</t>
  </si>
  <si>
    <t>AT Rayudu</t>
  </si>
  <si>
    <t>RG Sharma, Q de Kock, SA Yadav, SS Tiwary, HH Pandya, KA Pollard, KH Pandya, JL Pattinson, RD Chahar, TA Boult, JJ Bumrah</t>
  </si>
  <si>
    <t>M Vijay, SR Watson, F du Plessis, AT Rayudu, RA Jadeja, SM Curran, MS Dhoni, KM Jadhav, PP Chawla, DL Chahar, L Ngidi</t>
  </si>
  <si>
    <t>Rajiv Gandhi International Stadium</t>
  </si>
  <si>
    <t>Q de Kock, RG Sharma, SA Yadav, Ishan Kishan, KH Pandya, KA Pollard, HH Pandya, RD Chahar, MJ McClenaghan, JJ Bumrah, SL Malinga</t>
  </si>
  <si>
    <t>F du Plessis, SR Watson, SK Raina, AT Rayudu, MS Dhoni, DJ Bravo, RA Jadeja, SN Thakur, DL Chahar, Harbhajan Singh, Imran Tahir</t>
  </si>
  <si>
    <t>Dr. Y.S. Rajasekhara Reddy ACA-VDCA Cricket Stadium</t>
  </si>
  <si>
    <t>PP Shaw, S Dhawan, C Munro, SS Iyer, RR Pant, AR Patel, SE Rutherford, KMA Paul, A Mishra, TA Boult, I Sharma</t>
  </si>
  <si>
    <t>F du Plessis, SR Watson, SK Raina, AT Rayudu, MS Dhoni, DJ Bravo, RA Jadeja, DL Chahar, Harbhajan Singh, Imran Tahir, SN Thakur</t>
  </si>
  <si>
    <t>WP Saha, MJ Guptill, MK Pandey, KS Williamson, V Shankar, Mohammad Nabi, DJ Hooda, Rashid Khan, B Kumar, Basil Thampi, KK Ahmed</t>
  </si>
  <si>
    <t>PP Shaw, S Dhawan, SS Iyer, RR Pant, C Munro, AR Patel, SE Rutherford, KMA Paul, A Mishra, TA Boult, I Sharma</t>
  </si>
  <si>
    <t>MA Chidambaram Stadium</t>
  </si>
  <si>
    <t>F du Plessis, SR Watson, SK Raina, M Vijay, AT Rayudu, MS Dhoni, RA Jadeja, DJ Bravo, DL Chahar, Harbhajan Singh, Imran Tahir</t>
  </si>
  <si>
    <t>RG Sharma, Q de Kock, SA Yadav, Ishan Kishan, KH Pandya, HH Pandya, KA Pollard, J Yadav, RD Chahar, SL Malinga, JJ Bumrah</t>
  </si>
  <si>
    <t>Punjab Cricket Association IS Bindra Stadium</t>
  </si>
  <si>
    <t>F du Plessis, SR Watson, SK Raina, MS Dhoni, AT Rayudu, KM Jadhav, DJ Bravo, RA Jadeja, DL Chahar, Harbhajan Singh, Imran Tahir</t>
  </si>
  <si>
    <t>KL Rahul, CH Gayle, N Pooran, MA Agarwal, Mandeep Singh, SM Curran, R Ashwin, AJ Tye, Mohammed Shami, M Ashwin, Harpreet Brar</t>
  </si>
  <si>
    <t>Wankhede Stadium</t>
  </si>
  <si>
    <t>Shubman Gill, CA Lynn, RV Uthappa, KD Karthik, AD Russell, N Rana, RK Singh, SP Narine, HF Gurney, M Prasidh Krishna, S Sandeep Warrier</t>
  </si>
  <si>
    <t>Q de Kock, RG Sharma, SA Yadav, Ishan Kishan, HH Pandya, KA Pollard, KH Pandya, RD Chahar, MJ McClenaghan, SL Malinga, JJ Bumrah</t>
  </si>
  <si>
    <t>M.Chinnaswamy Stadium</t>
  </si>
  <si>
    <t>WP Saha, MJ Guptill, MK Pandey, KS Williamson, V Shankar, YK Pathan, Mohammad Nabi, Rashid Khan, B Kumar, KK Ahmed, Basil Thampi</t>
  </si>
  <si>
    <t>PA Patel, V Kohli, AB de Villiers, SO Hetmyer, Gurkeerat Singh, C de Grandhomme, Washington Sundar, UT Yadav, K Khejroliya, YS Chahal, Navdeep Saini</t>
  </si>
  <si>
    <t>Arun Jaitley Stadium</t>
  </si>
  <si>
    <t>AM Rahane, LS Livingstone, SV Samson, MK Lomror, S Gopal, R Parag, STR Binny, K Gowtham, IS Sodhi, VR Aaron, O Thomas</t>
  </si>
  <si>
    <t>PP Shaw, S Dhawan, SS Iyer, RR Pant, CA Ingram, SE Rutherford, AR Patel, KMA Paul, A Mishra, TA Boult, I Sharma</t>
  </si>
  <si>
    <t>CH Gayle, KL Rahul, MA Agarwal, N Pooran, Mandeep Singh, SM Curran, R Ashwin, AJ Tye, Mohammed Shami, M Ashwin, Arshdeep Singh</t>
  </si>
  <si>
    <t>Shubman Gill, CA Lynn, RV Uthappa, AD Russell, KD Karthik, SP Narine, N Rana, RK Singh, PP Chawla, HF Gurney, S Sandeep Warrier</t>
  </si>
  <si>
    <t>RG Sharma, Q de Kock, SA Yadav, E Lewis, HH Pandya, KA Pollard, KH Pandya, BB Sran, RD Chahar, SL Malinga, JJ Bumrah</t>
  </si>
  <si>
    <t>WP Saha, MJ Guptill, MK Pandey, KS Williamson, V Shankar, Abhishek Sharma, Mohammad Nabi, Rashid Khan, B Kumar, KK Ahmed, Basil Thampi</t>
  </si>
  <si>
    <t>F du Plessis, SR Watson, SK Raina, MS Dhoni, RA Jadeja, AT Rayudu, KM Jadhav, DJ Bravo, DL Chahar, Harbhajan Singh, Imran Tahir</t>
  </si>
  <si>
    <t>PP Shaw, S Dhawan, SS Iyer, RR Pant, CA Ingram, AR Patel, SE Rutherford, CH Morris, J Suchith, A Mishra, TA Boult</t>
  </si>
  <si>
    <t>V Kohli, AB de Villiers, MP Stoinis, H Klaasen, Gurkeerat Singh, PA Patel, P Negi, UT Yadav, Navdeep Saini, K Khejroliya, YS Chahal</t>
  </si>
  <si>
    <t>SV Samson, LS Livingstone, AM Rahane, SPD Smith, R Parag, STR Binny, MK Lomror, S Gopal, JD Unadkat, VR Aaron, O Thomas</t>
  </si>
  <si>
    <t>DA Warner, WP Saha, MK Pandey, Mohammad Nabi, KS Williamson, Rashid Khan, V Shankar, Abhishek Sharma, B Kumar, KK Ahmed, Sandeep Sharma</t>
  </si>
  <si>
    <t>KL Rahul, CH Gayle, MA Agarwal, N Pooran, DA Miller, R Ashwin, P Simran Singh, M Ashwin, Mujeeb Ur Rahman, Mohammed Shami, Arshdeep Singh</t>
  </si>
  <si>
    <t>Eden Gardens</t>
  </si>
  <si>
    <t>Shubman Gill, CA Lynn, AD Russell, KD Karthik, SP Narine, RV Uthappa, N Rana, RK Singh, PP Chawla, HF Gurney, S Sandeep Warrier</t>
  </si>
  <si>
    <t>Q de Kock, RG Sharma, E Lewis, SA Yadav, KA Pollard, HH Pandya, KH Pandya, BB Sran, RD Chahar, SL Malinga, JJ Bumrah</t>
  </si>
  <si>
    <t>PP Shaw, S Dhawan, SS Iyer, RR Pant, CA Ingram, SE Rutherford, AR Patel, S Lamichhane, A Mishra, K Rabada, I Sharma</t>
  </si>
  <si>
    <t>PA Patel, V Kohli, AB de Villiers, S Dube, H Klaasen, Gurkeerat Singh, MP Stoinis, Washington Sundar, UT Yadav, YS Chahal, Navdeep Saini</t>
  </si>
  <si>
    <t>Sawai Mansingh Stadium</t>
  </si>
  <si>
    <t>DA Warner, KS Williamson, MK Pandey, V Shankar, Shakib Al Hasan, DJ Hooda, WP Saha, Rashid Khan, B Kumar, S Kaul, KK Ahmed</t>
  </si>
  <si>
    <t>AM Rahane, LS Livingstone, SV Samson, SPD Smith, AJ Turner, R Parag, STR Binny, S Gopal, JD Unadkat, VR Aaron, O Thomas</t>
  </si>
  <si>
    <t>RG Sharma, Q de Kock, E Lewis, KH Pandya, HH Pandya, KA Pollard, SA Yadav, AS Roy, RD Chahar, JJ Bumrah, SL Malinga</t>
  </si>
  <si>
    <t>M Vijay, SR Watson, SK Raina, AT Rayudu, KM Jadhav, DR Shorey, DJ Bravo, MJ Santner, DL Chahar, Harbhajan Singh, Imran Tahir</t>
  </si>
  <si>
    <t>VR Aaron</t>
  </si>
  <si>
    <t>CA Lynn, Shubman Gill, N Rana, KD Karthik, SP Narine, AD Russell, CR Brathwaite, RK Singh, PP Chawla, Y Prithvi Raj, M Prasidh Krishna</t>
  </si>
  <si>
    <t>AM Rahane, SV Samson, SPD Smith, BA Stokes, R Parag, STR Binny, S Gopal, JC Archer, JD Unadkat, VR Aaron, O Thomas</t>
  </si>
  <si>
    <t>PA Patel, V Kohli, AB de Villiers, MM Ali, AD Nath, MP Stoinis, Washington Sundar, UT Yadav, TG Southee, YS Chahal, Navdeep Saini</t>
  </si>
  <si>
    <t>KL Rahul, CH Gayle, MA Agarwal, DA Miller, N Pooran, Mandeep Singh, R Ashwin, GC Viljoen, M Ashwin, AS Rajpoot, Mohammed Shami</t>
  </si>
  <si>
    <t>DA Warner, JM Bairstow, MK Pandey, V Shankar, YK Pathan, Shakib Al Hasan, DJ Hooda, Rashid Khan, B Kumar, KK Ahmed, Sandeep Sharma</t>
  </si>
  <si>
    <t>SR Watson, F du Plessis, SK Raina, AT Rayudu, KM Jadhav, DJ Bravo, MS Dhoni, RA Jadeja, Harbhajan Singh, DL Chahar, Imran Tahir</t>
  </si>
  <si>
    <t>AM Rahane, SV Samson, SPD Smith, BA Stokes, AJ Turner, STR Binny, R Parag, JC Archer, S Gopal, JD Unadkat, DS Kulkarni</t>
  </si>
  <si>
    <t>PP Shaw, S Dhawan, SS Iyer, RR Pant, SE Rutherford, CA Ingram, AR Patel, CH Morris, A Mishra, K Rabada, I Sharma</t>
  </si>
  <si>
    <t>PA Patel</t>
  </si>
  <si>
    <t>PA Patel, V Kohli, AB de Villiers, AD Nath, MP Stoinis, MM Ali, P Negi, UT Yadav, DW Steyn, Navdeep Saini, YS Chahal</t>
  </si>
  <si>
    <t>SR Watson, F du Plessis, SK Raina, AT Rayudu, KM Jadhav, MS Dhoni, RA Jadeja, DJ Bravo, SN Thakur, DL Chahar, Imran Tahir</t>
  </si>
  <si>
    <t>CA Lynn, SP Narine, Shubman Gill, N Rana, KD Karthik, RK Singh, AD Russell, PP Chawla, Y Prithvi Raj, KC Cariappa, HF Gurney</t>
  </si>
  <si>
    <t>DA Warner, JM Bairstow, KS Williamson, V Shankar, YK Pathan, DJ Hooda, Rashid Khan, B Kumar, S Nadeem, KK Ahmed, Sandeep Sharma</t>
  </si>
  <si>
    <t>KL Rahul, CH Gayle, MA Agarwal, DA Miller, Mandeep Singh, SM Curran, R Ashwin, Harpreet Brar, GC Viljoen, M Ashwin, Mohammed Shami</t>
  </si>
  <si>
    <t>PP Shaw, S Dhawan, SS Iyer, RR Pant, CA Ingram, AR Patel, SE Rutherford, A Mishra, K Rabada, I Sharma, S Lamichhane</t>
  </si>
  <si>
    <t>SPD Smith</t>
  </si>
  <si>
    <t>Q de Kock, RG Sharma, SA Yadav, HH Pandya, KA Pollard, BCJ Cutting, KH Pandya, RD Chahar, JJ Bumrah, SL Malinga, M Markande</t>
  </si>
  <si>
    <t>AM Rahane, SV Samson, SPD Smith, BA Stokes, R Parag, AJ Turner, STR Binny, JC Archer, S Gopal, JD Unadkat, DS Kulkarni</t>
  </si>
  <si>
    <t>PA Patel, V Kohli, AD Nath, MM Ali, MP Stoinis, H Klaasen, P Negi, DW Steyn, Mohammed Siraj, YS Chahal, Navdeep Saini</t>
  </si>
  <si>
    <t>CA Lynn, SP Narine, Shubman Gill, RV Uthappa, N Rana, AD Russell, KD Karthik, PP Chawla, Kuldeep Yadav, HF Gurney, M Prasidh Krishna</t>
  </si>
  <si>
    <t>RG Sharma, Q de Kock, BCJ Cutting, SA Yadav, KH Pandya, HH Pandya, KA Pollard, RD Chahar, J Yadav, JJ Bumrah, SL Malinga</t>
  </si>
  <si>
    <t>PP Shaw, S Dhawan, C Munro, SS Iyer, RR Pant, AR Patel, CH Morris, KMA Paul, K Rabada, A Mishra, I Sharma</t>
  </si>
  <si>
    <t>SR Watson, F du Plessis, SK Raina, AT Rayudu, KM Jadhav, SW Billings, RA Jadeja, KV Sharma, Imran Tahir, SN Thakur, DL Chahar</t>
  </si>
  <si>
    <t>DA Warner, JM Bairstow, KS Williamson, V Shankar, DJ Hooda, YK Pathan, Rashid Khan, B Kumar, Sandeep Sharma, S Nadeem, KK Ahmed</t>
  </si>
  <si>
    <t>KL Rahul, CH Gayle, MA Agarwal, DA Miller, N Pooran, Mandeep Singh, R Ashwin, Mujeeb Ur Rahman, Mohammed Shami, M Ashwin, Arshdeep Singh</t>
  </si>
  <si>
    <t>RA Tripathi, JC Buttler, SV Samson, AM Rahane, AJ Turner, JC Archer, STR Binny, S Gopal, JD Unadkat, DS Kulkarni, IS Sodhi</t>
  </si>
  <si>
    <t>SL Malinga</t>
  </si>
  <si>
    <t>PA Patel, V Kohli, AB de Villiers, MM Ali, MP Stoinis, AD Nath, P Negi, UT Yadav, Mohammed Siraj, YS Chahal, Navdeep Saini</t>
  </si>
  <si>
    <t>Q de Kock, RG Sharma, SA Yadav, Ishan Kishan, KH Pandya, HH Pandya, KA Pollard, JP Behrendorff, RD Chahar, JJ Bumrah, SL Malinga</t>
  </si>
  <si>
    <t>KMA Paul</t>
  </si>
  <si>
    <t>PP Shaw, S Dhawan, C Munro, SS Iyer, RR Pant, CH Morris, AR Patel, KMA Paul, K Rabada, A Mishra, I Sharma</t>
  </si>
  <si>
    <t>DA Warner, JM Bairstow, KS Williamson, RK Bhui, V Shankar, DJ Hooda, Abhishek Sharma, Rashid Khan, B Kumar, Sandeep Sharma, KK Ahmed</t>
  </si>
  <si>
    <t>Imran Tahir</t>
  </si>
  <si>
    <t>CA Lynn, SP Narine, N Rana, RV Uthappa, KD Karthik, AD Russell, Shubman Gill, PP Chawla, Kuldeep Yadav, M Prasidh Krishna, HF Gurney</t>
  </si>
  <si>
    <t>SR Watson, F du Plessis, SK Raina, AT Rayudu, KM Jadhav, MS Dhoni, RA Jadeja, MJ Santner, Imran Tahir, SN Thakur, DL Chahar</t>
  </si>
  <si>
    <t>RG Sharma, Q de Kock, SA Yadav, KA Pollard, HH Pandya, Ishan Kishan, KH Pandya, AS Joseph, RD Chahar, JP Behrendorff, JJ Bumrah</t>
  </si>
  <si>
    <t>AM Rahane, JC Buttler, SV Samson, SPD Smith, RA Tripathi, LS Livingstone, S Gopal, K Gowtham, JC Archer, JD Unadkat, DS Kulkarni</t>
  </si>
  <si>
    <t>KL Rahul, CH Gayle, MA Agarwal, SN Khan, SM Curran, Mandeep Singh, N Pooran, AJ Tye, R Ashwin, Mohammed Shami, M Ashwin</t>
  </si>
  <si>
    <t>PA Patel, V Kohli, AB de Villiers, MP Stoinis, MM Ali, AD Nath, P Negi, UT Yadav, Mohammed Siraj, YS Chahal, Navdeep Saini</t>
  </si>
  <si>
    <t>JL Denly, Shubman Gill, RV Uthappa, N Rana, AD Russell, KD Karthik, CR Brathwaite, PP Chawla, Kuldeep Yadav, LH Ferguson, M Prasidh Krishna</t>
  </si>
  <si>
    <t>PP Shaw, S Dhawan, SS Iyer, RR Pant, CA Ingram, CH Morris, AR Patel, KMA Paul, R Tewatia, K Rabada, I Sharma</t>
  </si>
  <si>
    <t>AM Rahane, JC Buttler, SV Samson, SPD Smith, RA Tripathi, BA Stokes, R Parag, JC Archer, S Gopal, JD Unadkat, DS Kulkarni</t>
  </si>
  <si>
    <t>SR Watson, F du Plessis, SK Raina, AT Rayudu, KM Jadhav, MS Dhoni, RA Jadeja, MJ Santner, DL Chahar, SN Thakur, Imran Tahir</t>
  </si>
  <si>
    <t>KL Rahul, CH Gayle, DA Miller, KK Nair, SM Curran, Mandeep Singh, SN Khan, GC Viljoen, R Ashwin, Mohammed Shami, AS Rajpoot</t>
  </si>
  <si>
    <t>Q de Kock, SD Lad, SA Yadav, KA Pollard, Ishan Kishan, HH Pandya, KH Pandya, AS Joseph, RD Chahar, JP Behrendorff, JJ Bumrah</t>
  </si>
  <si>
    <t>CA Lynn, SP Narine, RV Uthappa, N Rana, KD Karthik, Shubman Gill, AD Russell, PP Chawla, Kuldeep Yadav, M Prasidh Krishna, HF Gurney</t>
  </si>
  <si>
    <t>SR Watson, F du Plessis, SK Raina, AT Rayudu, KM Jadhav, MS Dhoni, SC Kuggeleijn, RA Jadeja, Harbhajan Singh, DL Chahar, Imran Tahir</t>
  </si>
  <si>
    <t>DA Warner, JM Bairstow, V Shankar, Mohammad Nabi, MK Pandey, DJ Hooda, YK Pathan, Rashid Khan, B Kumar, S Kaul, Sandeep Sharma</t>
  </si>
  <si>
    <t>KL Rahul, CH Gayle, MA Agarwal, DA Miller, Mandeep Singh, SM Curran, SN Khan, R Ashwin, Mohammed Shami, Mujeeb Ur Rahman, AS Rajpoot</t>
  </si>
  <si>
    <t>PA Patel, V Kohli, AB de Villiers, MP Stoinis, MM Ali, AD Nath, P Negi, TG Southee, Mohammed Siraj, YS Chahal, Navdeep Saini</t>
  </si>
  <si>
    <t>PP Shaw, S Dhawan, SS Iyer, CA Ingram, RR Pant, CH Morris, AR Patel, R Tewatia, K Rabada, I Sharma, S Lamichhane</t>
  </si>
  <si>
    <t>HF Gurney</t>
  </si>
  <si>
    <t>AM Rahane, JC Buttler, SPD Smith, RA Tripathi, BA Stokes, P Chopra, K Gowtham, JC Archer, S Gopal, S Midhun, DS Kulkarni</t>
  </si>
  <si>
    <t>CA Lynn, SP Narine, RV Uthappa, Shubman Gill, N Rana, KD Karthik, AD Russell, PP Chawla, Kuldeep Yadav, HF Gurney, M Prasidh Krishna</t>
  </si>
  <si>
    <t>Harbhajan Singh</t>
  </si>
  <si>
    <t>SR Watson, F du Plessis, SK Raina, MS Dhoni, AT Rayudu, KM Jadhav, SC Kuggeleijn, RA Jadeja, Harbhajan Singh, DL Chahar, Imran Tahir</t>
  </si>
  <si>
    <t>KL Rahul, CH Gayle, MA Agarwal, SN Khan, DA Miller, Mandeep Singh, SM Curran, R Ashwin, Mohammed Shami, AJ Tye, M Ashwin</t>
  </si>
  <si>
    <t>AS Joseph</t>
  </si>
  <si>
    <t>RG Sharma, Q de Kock, SA Yadav, Ishan Kishan, KH Pandya, KA Pollard, HH Pandya, RD Chahar, AS Joseph, JP Behrendorff, JJ Bumrah</t>
  </si>
  <si>
    <t>DA Warner, JM Bairstow, V Shankar, MK Pandey, DJ Hooda, YK Pathan, Mohammad Nabi, Rashid Khan, B Kumar, S Kaul, Sandeep Sharma</t>
  </si>
  <si>
    <t>PA Patel, V Kohli, AB de Villiers, MP Stoinis, MM Ali, AD Nath, P Negi, Navdeep Saini, TG Southee, YS Chahal, Mohammed Siraj</t>
  </si>
  <si>
    <t>CA Lynn, SP Narine, RV Uthappa, N Rana, KD Karthik, AD Russell, Shubman Gill, PP Chawla, Kuldeep Yadav, M Prasidh Krishna, LH Ferguson</t>
  </si>
  <si>
    <t>PP Shaw, S Dhawan, SS Iyer, RR Pant, R Tewatia, CA Ingram, CH Morris, AR Patel, K Rabada, I Sharma, S Lamichhane</t>
  </si>
  <si>
    <t>DA Warner, JM Bairstow, V Shankar, MK Pandey, DJ Hooda, YK Pathan, Mohammad Nabi, Rashid Khan, B Kumar, Sandeep Sharma, S Kaul</t>
  </si>
  <si>
    <t>Q de Kock, RG Sharma, SA Yadav, Yuvraj Singh, KH Pandya, HH Pandya, KA Pollard, JP Behrendorff, RD Chahar, SL Malinga, JJ Bumrah</t>
  </si>
  <si>
    <t>SR Watson, AT Rayudu, SK Raina, KM Jadhav, MS Dhoni, RA Jadeja, DJ Bravo, DL Chahar, SN Thakur, MM Sharma, Imran Tahir</t>
  </si>
  <si>
    <t>S Gopal</t>
  </si>
  <si>
    <t>V Kohli, PA Patel, AB de Villiers, SO Hetmyer, MP Stoinis, MM Ali, AD Nath, UT Yadav, Navdeep Saini, YS Chahal, Mohammed Siraj</t>
  </si>
  <si>
    <t>AM Rahane, JC Buttler, SPD Smith, RA Tripathi, BA Stokes, STR Binny, K Gowtham, JC Archer, S Gopal, VR Aaron, DS Kulkarni</t>
  </si>
  <si>
    <t>KL Rahul, SM Curran, MA Agarwal, SN Khan, DA Miller, Mandeep Singh, GC Viljoen, R Ashwin, M Ashwin, Mohammed Shami, Mujeeb Ur Rahman</t>
  </si>
  <si>
    <t>PP Shaw, S Dhawan, SS Iyer, RR Pant, CA Ingram, CH Morris, GH Vihari, HV Patel, K Rabada, Avesh Khan, S Lamichhane</t>
  </si>
  <si>
    <t>AT Rayudu, SR Watson, SK Raina, KM Jadhav, MS Dhoni, DJ Bravo, RA Jadeja, DL Chahar, SN Thakur, MJ Santner, Imran Tahir</t>
  </si>
  <si>
    <t>AM Rahane, JC Buttler, SV Samson, RA Tripathi, SPD Smith, BA Stokes, K Gowtham, JC Archer, S Gopal, JD Unadkat, DS Kulkarni</t>
  </si>
  <si>
    <t>JM Bairstow, DA Warner, V Shankar, YK Pathan, MK Pandey, DJ Hooda, Mohammad Nabi, Rashid Khan, B Kumar, Sandeep Sharma, S Kaul</t>
  </si>
  <si>
    <t>PA Patel, SO Hetmyer, V Kohli, AB de Villiers, MM Ali, S Dube, C de Grandhomme, P Ray Barman, UT Yadav, Mohammed Siraj, YS Chahal</t>
  </si>
  <si>
    <t>NS Naik, CA Lynn, RV Uthappa, N Rana, KD Karthik, Shubman Gill, AD Russell, PP Chawla, Kuldeep Yadav, M Prasidh Krishna, LH Ferguson</t>
  </si>
  <si>
    <t>PP Shaw, S Dhawan, SS Iyer, RR Pant, CA Ingram, GH Vihari, HV Patel, CH Morris, A Mishra, S Lamichhane, K Rabada</t>
  </si>
  <si>
    <t>RG Sharma, Q de Kock, SA Yadav, Yuvraj Singh, KA Pollard, HH Pandya, KH Pandya, MJ McClenaghan, M Markande, SL Malinga, JJ Bumrah</t>
  </si>
  <si>
    <t>KL Rahul, CH Gayle, MA Agarwal, DA Miller, SN Khan, Mandeep Singh, R Ashwin, GC Viljoen, M Ashwin, Mohammed Shami, AJ Tye</t>
  </si>
  <si>
    <t>AM Rahane, JC Buttler, SV Samson, BA Stokes, SPD Smith, RA Tripathi, K Gowtham, JC Archer, JD Unadkat, S Gopal, DS Kulkarni</t>
  </si>
  <si>
    <t>DA Warner, JM Bairstow, KS Williamson, V Shankar, MK Pandey, YK Pathan, Rashid Khan, B Kumar, Sandeep Sharma, S Kaul, S Nadeem</t>
  </si>
  <si>
    <t>Q de Kock, RG Sharma, SA Yadav, Yuvraj Singh, KA Pollard, KH Pandya, HH Pandya, MJ McClenaghan, M Markande, JJ Bumrah, SL Malinga</t>
  </si>
  <si>
    <t>PA Patel, MM Ali, V Kohli, AB de Villiers, SO Hetmyer, C de Grandhomme, S Dube, Navdeep Saini, YS Chahal, UT Yadav, Mohammed Siraj</t>
  </si>
  <si>
    <t>CA Lynn, SP Narine, RV Uthappa, N Rana, AD Russell, KD Karthik, Shubman Gill, PP Chawla, Kuldeep Yadav, M Prasidh Krishna, LH Ferguson</t>
  </si>
  <si>
    <t>KL Rahul, CH Gayle, MA Agarwal, SN Khan, DA Miller, Mandeep Singh, R Ashwin, GC Viljoen, CV Varun, Mohammed Shami, AJ Tye</t>
  </si>
  <si>
    <t>PP Shaw, S Dhawan, SS Iyer, RR Pant, CA Ingram, KMA Paul, AR Patel, R Tewatia, K Rabada, I Sharma, A Mishra</t>
  </si>
  <si>
    <t>SR Watson, AT Rayudu, SK Raina, KM Jadhav, MS Dhoni, DJ Bravo, RA Jadeja, DL Chahar, SN Thakur, Harbhajan Singh, Imran Tahir</t>
  </si>
  <si>
    <t>KL Rahul, CH Gayle, MA Agarwal, SN Khan, N Pooran, Mandeep Singh, SM Curran, R Ashwin, Mohammed Shami, Mujeeb Ur Rahman, AS Rajpoot</t>
  </si>
  <si>
    <t>AM Rahane, JC Buttler, SV Samson, SPD Smith, BA Stokes, RA Tripathi, K Gowtham, JC Archer, JD Unadkat, S Gopal, DS Kulkarni</t>
  </si>
  <si>
    <t>PP Shaw, S Dhawan, SS Iyer, CA Ingram, RR Pant, KMA Paul, AR Patel, R Tewatia, K Rabada, TA Boult, I Sharma</t>
  </si>
  <si>
    <t>RG Sharma, Q de Kock, SA Yadav, Yuvraj Singh, KA Pollard, HH Pandya, KH Pandya, BCJ Cutting, MJ McClenaghan, Rasikh Salam, JJ Bumrah</t>
  </si>
  <si>
    <t>DA Warner, JM Bairstow, V Shankar, YK Pathan, MK Pandey, DJ Hooda, Shakib Al Hasan, Rashid Khan, B Kumar, Sandeep Sharma, S Kaul</t>
  </si>
  <si>
    <t>CA Lynn, N Rana, RV Uthappa, KD Karthik, AD Russell, Shubman Gill, SP Narine, PP Chawla, Kuldeep Yadav, LH Ferguson, M Prasidh Krishna</t>
  </si>
  <si>
    <t>V Kohli, PA Patel, MM Ali, AB de Villiers, SO Hetmyer, S Dube, C de Grandhomme, Navdeep Saini, YS Chahal, UT Yadav, Mohammed Siraj</t>
  </si>
  <si>
    <t>SR Watson, AT Rayudu, SK Raina, KM Jadhav, RA Jadeja, MS Dhoni, DJ Bravo, DL Chahar, SN Thakur, Harbhajan Singh, Imran Tahir</t>
  </si>
  <si>
    <t>SP Goswami, S Dhawan, KS Williamson, Shakib Al Hasan, YK Pathan, DJ Hooda, CR Brathwaite, Rashid Khan, B Kumar, S Kaul, Sandeep Sharma</t>
  </si>
  <si>
    <t>SR Watson, F du Plessis, SK Raina, AT Rayudu, MS Dhoni, DJ Bravo, RA Jadeja, DL Chahar, KV Sharma, SN Thakur, L Ngidi</t>
  </si>
  <si>
    <t>WP Saha, S Dhawan, KS Williamson, Shakib Al Hasan, DJ Hooda, YK Pathan, CR Brathwaite, Rashid Khan, B Kumar, S Kaul, KK Ahmed</t>
  </si>
  <si>
    <t>CA Lynn, SP Narine, N Rana, RV Uthappa, KD Karthik, Shubman Gill, AD Russell, PP Chawla, Shivam Mavi, Kuldeep Yadav, M Prasidh Krishna</t>
  </si>
  <si>
    <t>SP Narine, CA Lynn, RV Uthappa, N Rana, KD Karthik, Shubman Gill, AD Russell, JPR Scantlebury-Searles, PP Chawla, Kuldeep Yadav, M Prasidh Krishna</t>
  </si>
  <si>
    <t>AM Rahane, RA Tripathi, SV Samson, H Klaasen, STR Binny, K Gowtham, JC Archer, S Gopal, IS Sodhi, JD Unadkat, B Laughlin</t>
  </si>
  <si>
    <t>S Dhawan, SP Goswami, KS Williamson, MK Pandey, Shakib Al Hasan, YK Pathan, CR Brathwaite, B Kumar, Rashid Khan, S Kaul, Sandeep Sharma</t>
  </si>
  <si>
    <t>SR Watson, F du Plessis, SK Raina, AT Rayudu, MS Dhoni, DJ Bravo, RA Jadeja, DL Chahar, Harbhajan Singh, SN Thakur, L Ngidi</t>
  </si>
  <si>
    <t>L Ngidi</t>
  </si>
  <si>
    <t>Maharashtra Cricket Association Stadium</t>
  </si>
  <si>
    <t>KL Rahul, CH Gayle, AJ Finch, MK Tiwary, DA Miller, KK Nair, AR Patel, R Ashwin, AJ Tye, MM Sharma, AS Rajpoot</t>
  </si>
  <si>
    <t>AT Rayudu, F du Plessis, SK Raina, SW Billings, Harbhajan Singh, DL Chahar, MS Dhoni, DJ Bravo, RA Jadeja, SN Thakur, L Ngidi</t>
  </si>
  <si>
    <t>Delhi Daredevils</t>
  </si>
  <si>
    <t>PP Shaw, GJ Maxwell, SS Iyer, RR Pant, V Shankar, Abhishek Sharma, HV Patel, A Mishra, S Lamichhane, TA Boult, LE Plunkett</t>
  </si>
  <si>
    <t>SA Yadav, E Lewis, Ishan Kishan, KA Pollard, RG Sharma, KH Pandya, HH Pandya, BCJ Cutting, M Markande, JJ Bumrah, Mustafizur Rahman</t>
  </si>
  <si>
    <t>CA Lynn</t>
  </si>
  <si>
    <t>S Dhawan, SP Goswami, KS Williamson, MK Pandey, YK Pathan, CR Brathwaite, Shakib Al Hasan, Rashid Khan, B Kumar, S Kaul, Sandeep Sharma</t>
  </si>
  <si>
    <t>CA Lynn, SP Narine, RV Uthappa, KD Karthik, AD Russell, N Rana, Shubman Gill, PP Chawla, JPR Scantlebury-Searles, Kuldeep Yadav, M Prasidh Krishna</t>
  </si>
  <si>
    <t>RA Tripathi, JC Archer, AM Rahane, SV Samson, H Klaasen, K Gowtham, STR Binny, S Gopal, IS Sodhi, JD Unadkat, B Laughlin</t>
  </si>
  <si>
    <t>V Kohli, PA Patel, AB de Villiers, MM Ali, Mandeep Singh, C de Grandhomme, SN Khan, TG Southee, UT Yadav, Mohammed Siraj, YS Chahal</t>
  </si>
  <si>
    <t>PP Shaw, SS Iyer, RR Pant, GJ Maxwell, V Shankar, Abhishek Sharma, HV Patel, A Mishra, S Lamichhane, TA Boult, Avesh Khan</t>
  </si>
  <si>
    <t>SR Watson, AT Rayudu, SK Raina, MS Dhoni, SW Billings, RA Jadeja, DJ Bravo, DL Chahar, Harbhajan Singh, SN Thakur, L Ngidi</t>
  </si>
  <si>
    <t>PA Patel, V Kohli, AB de Villiers, MM Ali, C de Grandhomme, Mandeep Singh, SN Khan, TG Southee, UT Yadav, Mohammed Siraj, YS Chahal</t>
  </si>
  <si>
    <t>S Dhawan, AD Hales, KS Williamson, MK Pandey, DJ Hooda, Shakib Al Hasan, SP Goswami, Rashid Khan, S Kaul, Sandeep Sharma, Basil Thampi</t>
  </si>
  <si>
    <t>SA Yadav, E Lewis, Ishan Kishan, RG Sharma, KH Pandya, KA Pollard, HH Pandya, BCJ Cutting, MJ McClenaghan, M Markande, JJ Bumrah</t>
  </si>
  <si>
    <t>KL Rahul, CH Gayle, AJ Finch, MP Stoinis, AR Patel, Yuvraj Singh, MK Tiwary, R Ashwin, AJ Tye, MM Sharma, AS Rajpoot</t>
  </si>
  <si>
    <t>RA Tripathi, JC Buttler, AM Rahane, SV Samson, BA Stokes, STR Binny, K Gowtham, JD Unadkat, IS Sodhi, JC Archer, Anureet Singh</t>
  </si>
  <si>
    <t>SP Narine, CA Lynn, RV Uthappa, N Rana, KD Karthik, AD Russell, Shubman Gill, Shivam Mavi, JPR Scantlebury-Searles, Kuldeep Yadav, M Prasidh Krishna</t>
  </si>
  <si>
    <t>Holkar Cricket Stadium</t>
  </si>
  <si>
    <t>Indore</t>
  </si>
  <si>
    <t>KL Rahul, CH Gayle, KK Nair, AJ Finch, MP Stoinis, MA Agarwal, AR Patel, R Ashwin, AJ Tye, MM Sharma, AS Rajpoot</t>
  </si>
  <si>
    <t>V Kohli, PA Patel, MM Ali, AB de Villiers, Mandeep Singh, SN Khan, C de Grandhomme, TG Southee, UT Yadav, Mohammed Siraj, YS Chahal</t>
  </si>
  <si>
    <t>S Dhawan, AD Hales, KS Williamson, MK Pandey, DJ Hooda, Shakib Al Hasan, SP Goswami, Rashid Khan, B Kumar, S Kaul, Sandeep Sharma</t>
  </si>
  <si>
    <t>SR Watson, AT Rayudu, SK Raina, MS Dhoni, SW Billings, DJ Bravo, RA Jadeja, DJ Willey, Harbhajan Singh, DL Chahar, SN Thakur</t>
  </si>
  <si>
    <t>SA Yadav, E Lewis, RG Sharma, Ishan Kishan, HH Pandya, KH Pandya, BCJ Cutting, JP Duminy, MJ McClenaghan, M Markande, JJ Bumrah</t>
  </si>
  <si>
    <t>DJM Short, JC Buttler, AM Rahane, SV Samson, BA Stokes, STR Binny, JC Archer, K Gowtham, S Gopal, JD Unadkat, DS Kulkarni</t>
  </si>
  <si>
    <t>PP Shaw, JJ Roy, SS Iyer, RR Pant, V Shankar, Abhishek Sharma, HV Patel, A Mishra, S Lamichhane, CJ Dala, TA Boult</t>
  </si>
  <si>
    <t>PA Patel, MM Ali, V Kohli, AB de Villiers, Mandeep Singh, SN Khan, C de Grandhomme, TG Southee, UT Yadav, Mohammed Siraj, YS Chahal</t>
  </si>
  <si>
    <t>CA Lynn, SP Narine, RV Uthappa, AD Russell, KD Karthik, N Rana, Shubman Gill, JPR Scantlebury-Searles, PP Chawla, Kuldeep Yadav, M Prasidh Krishna</t>
  </si>
  <si>
    <t>KL Rahul, CH Gayle, MA Agarwal, KK Nair, AJ Finch, AR Patel, R Ashwin, AJ Tye, BB Sran, MM Sharma, Mujeeb Ur Rahman</t>
  </si>
  <si>
    <t>SR Watson, AT Rayudu, SK Raina, MS Dhoni, SW Billings, DJ Bravo, RA Jadeja, DJ Willey, Harbhajan Singh, SN Thakur, KV Sharma</t>
  </si>
  <si>
    <t>JC Buttler, BA Stokes, AM Rahane, SV Samson, P Chopra, STR Binny, K Gowtham, JC Archer, Ankit Sharma, JD Unadkat, IS Sodhi</t>
  </si>
  <si>
    <t>PP Shaw, JJ Roy, SS Iyer, RR Pant, HV Patel, GJ Maxwell, V Shankar, LE Plunkett, S Nadeem, A Mishra, TA Boult</t>
  </si>
  <si>
    <t>AD Hales, S Dhawan, KS Williamson, MK Pandey, Shakib Al Hasan, YK Pathan, SP Goswami, Rashid Khan, B Kumar, S Kaul, Sandeep Sharma</t>
  </si>
  <si>
    <t>SA Yadav, E Lewis, RG Sharma, Ishan Kishan, HH Pandya, BCJ Cutting, KH Pandya, JP Duminy, MJ McClenaghan, M Markande, JJ Bumrah</t>
  </si>
  <si>
    <t>SP Narine, CA Lynn, RV Uthappa, N Rana, AD Russell, KD Karthik, RK Singh, TK Curran, PP Chawla, Kuldeep Yadav, M Prasidh Krishna</t>
  </si>
  <si>
    <t>AM Rahane, JC Buttler, K Gowtham, SV Samson, BA Stokes, STR Binny, MK Lomror, JC Archer, JD Unadkat, IS Sodhi, Anureet Singh</t>
  </si>
  <si>
    <t>KL Rahul, CH Gayle, R Ashwin, KK Nair, AD Nath, MK Tiwary, AR Patel, MP Stoinis, AJ Tye, MM Sharma, Mujeeb Ur Rahman</t>
  </si>
  <si>
    <t>AD Hales, S Dhawan, KS Williamson, MK Pandey, Shakib Al Hasan, YK Pathan, WP Saha, Rashid Khan, B Kumar, S Kaul, Sandeep Sharma</t>
  </si>
  <si>
    <t>M Vohra, PA Patel, V Kohli, AB de Villiers, MM Ali, Mandeep Singh, C de Grandhomme, TG Southee, UT Yadav, Mohammed Siraj, YS Chahal</t>
  </si>
  <si>
    <t>SA Yadav, E Lewis, RG Sharma, HH Pandya, KH Pandya, JP Duminy, Ishan Kishan, BCJ Cutting, MJ McClenaghan, M Markande, JJ Bumrah</t>
  </si>
  <si>
    <t>CA Lynn, Shubman Gill, RV Uthappa, N Rana, KD Karthik, AD Russell, SP Narine, PP Chawla, MG Johnson, M Prasidh Krishna, Kuldeep Yadav</t>
  </si>
  <si>
    <t>Mujeeb Ur Rahman</t>
  </si>
  <si>
    <t>JC Buttler, DJM Short, AM Rahane, SV Samson, BA Stokes, RA Tripathi, JC Archer, K Gowtham, S Gopal, JD Unadkat, Anureet Singh</t>
  </si>
  <si>
    <t>KL Rahul, CH Gayle, MA Agarwal, KK Nair, AR Patel, MP Stoinis, MK Tiwary, R Ashwin, Mujeeb Ur Rahman, AS Rajpoot, AJ Tye</t>
  </si>
  <si>
    <t>PP Shaw, GJ Maxwell, SS Iyer, RR Pant, NV Ojha, V Shankar, DT Christian, LE Plunkett, A Mishra, Avesh Khan, TA Boult</t>
  </si>
  <si>
    <t>AD Hales, S Dhawan, KS Williamson, MK Pandey, YK Pathan, Shakib Al Hasan, WP Saha, B Kumar, Rashid Khan, S Kaul, Sandeep Sharma</t>
  </si>
  <si>
    <t>PA Patel, BB McCullum, V Kohli, AB de Villiers, Mandeep Singh, C de Grandhomme, M Ashwin, TG Southee, UT Yadav, Mohammed Siraj, YS Chahal</t>
  </si>
  <si>
    <t>SR Watson, AT Rayudu, SK Raina, DR Shorey, MS Dhoni, DJ Bravo, RA Jadeja, DJ Willey, Harbhajan Singh, L Ngidi, SN Thakur</t>
  </si>
  <si>
    <t>KL Rahul, CH Gayle, Yuvraj Singh, KK Nair, AR Patel, MP Stoinis, MA Agarwal, R Ashwin, AJ Tye, Mujeeb Ur Rahman, AS Rajpoot</t>
  </si>
  <si>
    <t>SA Yadav, E Lewis, Ishan Kishan, HH Pandya, RG Sharma, KH Pandya, JP Duminy, BCJ Cutting, MJ McClenaghan, M Markande, JJ Bumrah</t>
  </si>
  <si>
    <t>SR Watson, F du Plessis, SK Raina, AT Rayudu, MS Dhoni, RA Jadeja, KV Sharma, DJ Bravo, Harbhajan Singh, KM Asif, L Ngidi</t>
  </si>
  <si>
    <t>CA Lynn, SP Narine, RV Uthappa, Shubman Gill, RK Singh, KD Karthik, AD Russell, Shivam Mavi, PP Chawla, MG Johnson, Kuldeep Yadav</t>
  </si>
  <si>
    <t>PP Shaw, C Munro, SS Iyer, RR Pant, GJ Maxwell, V Shankar, LE Plunkett, A Mishra, S Nadeem, Avesh Khan, TA Boult</t>
  </si>
  <si>
    <t>DJM Short, JC Buttler, SV Samson, BA Stokes, RA Tripathi, K Gowtham, JC Archer, AM Rahane, JD Unadkat, DS Kulkarni, S Gopal</t>
  </si>
  <si>
    <t>TG Southee</t>
  </si>
  <si>
    <t>M Vohra, Q de Kock, BB McCullum, V Kohli, Mandeep Singh, C de Grandhomme, Washington Sundar, TG Southee, UT Yadav, YS Chahal, Mohammed Siraj</t>
  </si>
  <si>
    <t>SA Yadav, Ishan Kishan, JP Duminy, RG Sharma, KA Pollard, HH Pandya, KH Pandya, BCJ Cutting, MJ McClenaghan, M Markande, JJ Bumrah</t>
  </si>
  <si>
    <t>SR Watson, F du Plessis, SK Raina, AT Rayudu, MS Dhoni, RA Jadeja, DJ Bravo, KV Sharma, Harbhajan Singh, KM Asif, L Ngidi</t>
  </si>
  <si>
    <t>PP Shaw, C Munro, SS Iyer, RR Pant, GJ Maxwell, V Shankar, R Tewatia, LE Plunkett, A Mishra, Avesh Khan, TA Boult</t>
  </si>
  <si>
    <t>AD Hales, S Dhawan, KS Williamson, MK Pandey, Shakib Al Hasan, YK Pathan, WP Saha, Rashid Khan, Basil Thampi, Sandeep Sharma, S Kaul</t>
  </si>
  <si>
    <t>AM Rahane, RA Tripathi, SV Samson, BA Stokes, JC Buttler, MK Lomror, K Gowtham, JC Archer, DS Kulkarni, IS Sodhi, JD Unadkat</t>
  </si>
  <si>
    <t>Q de Kock, BB McCullum, V Kohli, M Vohra, Mandeep Singh, C de Grandhomme, M Ashwin, TG Southee, UT Yadav, YS Chahal, Mohammed Siraj</t>
  </si>
  <si>
    <t>CA Lynn, SP Narine, RV Uthappa, N Rana, AD Russell, KD Karthik, Shubman Gill, Shivam Mavi, PP Chawla, MG Johnson, Kuldeep Yadav</t>
  </si>
  <si>
    <t>SR Watson, AT Rayudu, SK Raina, MS Dhoni, DJ Bravo, SW Billings, RA Jadeja, Harbhajan Singh, DL Chahar, SN Thakur, Imran Tahir</t>
  </si>
  <si>
    <t>SA Yadav, E Lewis, RG Sharma, HH Pandya, Ishan Kishan, JP Duminy, KH Pandya, BCJ Cutting, MJ McClenaghan, M Markande, JJ Bumrah</t>
  </si>
  <si>
    <t>CA Lynn, SP Narine, RV Uthappa, N Rana, KD Karthik, Shubman Gill, AD Russell, Shivam Mavi, PP Chawla, MG Johnson, Kuldeep Yadav</t>
  </si>
  <si>
    <t>AS Rajpoot</t>
  </si>
  <si>
    <t>S Dhawan, KS Williamson, WP Saha, MK Pandey, Shakib Al Hasan, YK Pathan, Mohammad Nabi, Rashid Khan, Basil Thampi, S Kaul, Sandeep Sharma</t>
  </si>
  <si>
    <t>KL Rahul, CH Gayle, MA Agarwal, KK Nair, AJ Finch, MK Tiwary, R Ashwin, AJ Tye, BB Sran, AS Rajpoot, Mujeeb Ur Rahman</t>
  </si>
  <si>
    <t>Q de Kock, V Kohli, AB de Villiers, CJ Anderson, Mandeep Singh, C de Grandhomme, P Negi, Washington Sundar, UT Yadav, Mohammed Siraj, YS Chahal</t>
  </si>
  <si>
    <t>SR Watson, AT Rayudu, SK Raina, SW Billings, RA Jadeja, MS Dhoni, DJ Bravo, Harbhajan Singh, DL Chahar, SN Thakur, Imran Tahir</t>
  </si>
  <si>
    <t>SA Yadav, E Lewis, Ishan Kishan, RG Sharma, KH Pandya, KA Pollard, HH Pandya, MJ McClenaghan, M Markande, JJ Bumrah, Mustafizur Rahman</t>
  </si>
  <si>
    <t>KL Rahul, AJ Finch, MA Agarwal, KK Nair, Yuvraj Singh, DA Miller, R Ashwin, AJ Tye, BB Sran, AS Rajpoot, Mujeeb Ur Rahman</t>
  </si>
  <si>
    <t>PP Shaw, G Gambhir, GJ Maxwell, SS Iyer, RR Pant, DT Christian, R Tewatia, LE Plunkett, A Mishra, Avesh Khan, TA Boult</t>
  </si>
  <si>
    <t>SA Yadav, E Lewis, Ishan Kishan, KA Pollard, RG Sharma, KH Pandya, HH Pandya, MJ McClenaghan, M Markande, JJ Bumrah, Mustafizur Rahman</t>
  </si>
  <si>
    <t>AM Rahane, RA Tripathi, SV Samson, BA Stokes, JC Buttler, H Klaasen, JC Archer, K Gowtham, JD Unadkat, DS Kulkarni, S Gopal</t>
  </si>
  <si>
    <t>SR Watson, F du Plessis, SK Raina, AT Rayudu, MS Dhoni, SW Billings, DJ Bravo, RA Jadeja, DL Chahar, KV Sharma, SN Thakur</t>
  </si>
  <si>
    <t>RK Bhui, KS Williamson, MK Pandey, DJ Hooda, Shakib Al Hasan, YK Pathan, WP Saha, Rashid Khan, B Kumar, B Stanlake, S Kaul</t>
  </si>
  <si>
    <t>CA Lynn, SP Narine, RV Uthappa, N Rana, KD Karthik, AD Russell, Shubman Gill, TK Curran, PP Chawla, Shivam Mavi, Kuldeep Yadav</t>
  </si>
  <si>
    <t>KL Rahul, CH Gayle, MA Agarwal, KK Nair, AJ Finch, Yuvraj Singh, R Ashwin, AJ Tye, BB Sran, Mujeeb Ur Rahman, AS Rajpoot</t>
  </si>
  <si>
    <t>JJ Roy, G Gambhir, SS Iyer, RR Pant, GJ Maxwell, R Tewatia, CH Morris, V Shankar, S Nadeem, HV Patel, TA Boult</t>
  </si>
  <si>
    <t>Q de Kock, M Vohra, V Kohli, AB de Villiers, CJ Anderson, Mandeep Singh, Washington Sundar, CR Woakes, UT Yadav, Mohammed Siraj, YS Chahal</t>
  </si>
  <si>
    <t>SR Watson, AT Rayudu, SK Raina, MS Dhoni, SW Billings, DJ Bravo, RA Jadeja, DL Chahar, KV Sharma, SN Thakur, Imran Tahir</t>
  </si>
  <si>
    <t>AM Rahane, H Klaasen, SV Samson, BA Stokes, JC Buttler, RA Tripathi, STR Binny, K Gowtham, S Gopal, JD Unadkat, B Laughlin</t>
  </si>
  <si>
    <t>KL Rahul, CH Gayle, MA Agarwal, KK Nair, AJ Finch, Yuvraj Singh, R Ashwin, AJ Tye, BB Sran, MM Sharma, Mujeeb Ur Rahman</t>
  </si>
  <si>
    <t>WP Saha, S Dhawan, KS Williamson, YK Pathan, MK Pandey, DJ Hooda, Shakib Al Hasan, CJ Jordan, B Kumar, Rashid Khan, S Kaul</t>
  </si>
  <si>
    <t>AM Rahane, DJM Short, SV Samson, RA Tripathi, BA Stokes, JC Buttler, K Gowtham, S Gopal, DS Kulkarni, JD Unadkat, B Laughlin</t>
  </si>
  <si>
    <t>SP Narine, CA Lynn, RV Uthappa, N Rana, KD Karthik, AD Russell, Shubman Gill, TK Curran, PP Chawla, Shivam Mavi, Kuldeep Yadav</t>
  </si>
  <si>
    <t>V Kohli, Q de Kock, AB de Villiers, Mandeep Singh, CJ Anderson, Washington Sundar, SN Khan, CR Woakes, UT Yadav, Mohammed Siraj, YS Chahal</t>
  </si>
  <si>
    <t>G Gambhir, JJ Roy, SS Iyer, RR Pant, GJ Maxwell, R Tewatia, V Shankar, CH Morris, Mohammed Shami, S Nadeem, TA Boult</t>
  </si>
  <si>
    <t>AM Rahane, DJM Short, SV Samson, BA Stokes, JC Buttler, RA Tripathi, K Gowtham, S Gopal, DS Kulkarni, JD Unadkat, B Laughlin</t>
  </si>
  <si>
    <t>BB McCullum, Q de Kock, V Kohli, AB de Villiers, Mandeep Singh, P Negi, Washington Sundar, CR Woakes, UT Yadav, K Khejroliya, YS Chahal</t>
  </si>
  <si>
    <t>KL Rahul, CH Gayle, MA Agarwal, Yuvraj Singh, AJ Finch, KK Nair, R Ashwin, AJ Tye, BB Sran, MM Sharma, Mujeeb Ur Rahman</t>
  </si>
  <si>
    <t>SR Watson, M Vijay, AT Rayudu, SW Billings, MS Dhoni, RA Jadeja, DJ Bravo, DL Chahar, Harbhajan Singh, SN Thakur, Imran Tahir</t>
  </si>
  <si>
    <t>SA Yadav, E Lewis, Ishan Kishan, RG Sharma, KA Pollard, KH Pandya, HH Pandya, A Dananjaya, M Markande, JJ Bumrah, Mustafizur Rahman</t>
  </si>
  <si>
    <t>JJ Roy, G Gambhir, RR Pant, GJ Maxwell, SS Iyer, V Shankar, DT Christian, R Tewatia, S Nadeem, Mohammed Shami, TA Boult</t>
  </si>
  <si>
    <t>B Stanlake</t>
  </si>
  <si>
    <t>RV Uthappa, CA Lynn, N Rana, SP Narine, KD Karthik, AD Russell, Shubman Gill, Shivam Mavi, MG Johnson, PP Chawla, Kuldeep Yadav</t>
  </si>
  <si>
    <t>WP Saha, S Dhawan, KS Williamson, MK Pandey, Shakib Al Hasan, DJ Hooda, YK Pathan, B Kumar, Rashid Khan, S Kaul, B Stanlake</t>
  </si>
  <si>
    <t>KL Rahul, MA Agarwal, AJ Finch, Yuvraj Singh, KK Nair, MP Stoinis, AR Patel, R Ashwin, AJ Tye, MM Sharma, Mujeeb Ur Rahman</t>
  </si>
  <si>
    <t>Q de Kock, BB McCullum, V Kohli, AB de Villiers, SN Khan, Mandeep Singh, CR Woakes, Washington Sundar, UT Yadav, K Khejroliya, YS Chahal</t>
  </si>
  <si>
    <t>RG Sharma, E Lewis, Ishan Kishan, SA Yadav, KH Pandya, KA Pollard, BCJ Cutting, PJ Sangwan, M Markande, JJ Bumrah, Mustafizur Rahman</t>
  </si>
  <si>
    <t>WP Saha, S Dhawan, KS Williamson, MK Pandey, Shakib Al Hasan, DJ Hooda, YK Pathan, Rashid Khan, S Kaul, Sandeep Sharma, B Stanlake</t>
  </si>
  <si>
    <t>AM Rahane, DJM Short, BA Stokes, SV Samson, JC Buttler, RA Tripathi, K Gowtham, S Gopal, DS Kulkarni, JD Unadkat, B Laughlin</t>
  </si>
  <si>
    <t>GJ Maxwell, C Munro, RR Pant, CH Morris, V Shankar, SS Iyer, G Gambhir, R Tewatia, S Nadeem, TA Boult, Mohammed Shami</t>
  </si>
  <si>
    <t>SW Billings</t>
  </si>
  <si>
    <t>CA Lynn, SP Narine, RV Uthappa, N Rana, KD Karthik, RK Singh, AD Russell, TK Curran, R Vinay Kumar, Kuldeep Yadav, PP Chawla</t>
  </si>
  <si>
    <t>SR Watson, AT Rayudu, SK Raina, MS Dhoni, SW Billings, RA Jadeja, DJ Bravo, DL Chahar, Harbhajan Singh, SN Thakur, Imran Tahir</t>
  </si>
  <si>
    <t>AM Rahane, DJM Short, SV Samson, BA Stokes, RA Tripathi, JC Buttler, K Gowtham, S Gopal, DS Kulkarni, JD Unadkat, B Laughlin</t>
  </si>
  <si>
    <t>WP Saha, S Dhawan, KS Williamson, MK Pandey, DJ Hooda, YK Pathan, Shakib Al Hasan, Rashid Khan, B Kumar, B Stanlake, S Kaul</t>
  </si>
  <si>
    <t>BB McCullum, Q de Kock, V Kohli, AB de Villiers, SN Khan, Mandeep Singh, CR Woakes, Washington Sundar, UT Yadav, K Khejroliya, YS Chahal</t>
  </si>
  <si>
    <t>SP Narine, CA Lynn, RV Uthappa, N Rana, KD Karthik, RK Singh, AD Russell, R Vinay Kumar, PP Chawla, MG Johnson, Kuldeep Yadav</t>
  </si>
  <si>
    <t>C Munro, G Gambhir, SS Iyer, V Shankar, RR Pant, R Tewatia, CH Morris, DT Christian, A Mishra, TA Boult, Mohammed Shami</t>
  </si>
  <si>
    <t>KL Rahul, MA Agarwal, Yuvraj Singh, KK Nair, DA Miller, MP Stoinis, AR Patel, R Ashwin, AJ Tye, MM Sharma, Mujeeb Ur Rahman</t>
  </si>
  <si>
    <t>RG Sharma, E Lewis, Ishan Kishan, SA Yadav, HH Pandya, KH Pandya, KA Pollard, JJ Bumrah, MJ McClenaghan, Mustafizur Rahman, M Markande</t>
  </si>
  <si>
    <t>SR Watson, AT Rayudu, SK Raina, KM Jadhav, MS Dhoni, RA Jadeja, DJ Bravo, DL Chahar, Harbhajan Singh, MA Wood, Imran Tahir</t>
  </si>
  <si>
    <t>Rising Pune Supergiant</t>
  </si>
  <si>
    <t>Rajiv Gandhi International Stadium, Uppal</t>
  </si>
  <si>
    <t>LMP Simmons, PA Patel, AT Rayudu, RG Sharma, KH Pandya, KA Pollard, HH Pandya, KV Sharma, MG Johnson, JJ Bumrah, SL Malinga</t>
  </si>
  <si>
    <t>AM Rahane, RA Tripathi, SPD Smith, MS Dhoni, MK Tiwary, DT Christian, Washington Sundar, LH Ferguson, A Zampa, SN Thakur, JD Unadkat</t>
  </si>
  <si>
    <t>M Chinnaswamy Stadium</t>
  </si>
  <si>
    <t>Bangalore</t>
  </si>
  <si>
    <t>LMP Simmons, PA Patel, AT Rayudu, RG Sharma, KH Pandya, KA Pollard, HH Pandya, MG Johnson, KV Sharma, JJ Bumrah, SL Malinga</t>
  </si>
  <si>
    <t>CA Lynn, SP Narine, G Gambhir, RV Uthappa, IR Jaggi, C de Grandhomme, SA Yadav, PP Chawla, NM Coulter-Nile, UT Yadav, AS Rajpoot</t>
  </si>
  <si>
    <t>DA Warner, S Dhawan, KS Williamson, Yuvraj Singh, V Shankar, NV Ojha, CJ Jordan, Bipul Sharma, B Kumar, Rashid Khan, S Kaul</t>
  </si>
  <si>
    <t>RV Uthappa, CA Lynn, YK Pathan, G Gambhir, IR Jaggi, SA Yadav, SP Narine, PP Chawla, UT Yadav, NM Coulter-Nile, TA Boult</t>
  </si>
  <si>
    <t>Washington Sundar</t>
  </si>
  <si>
    <t>LMP Simmons, PA Patel, RG Sharma, AT Rayudu, KA Pollard, HH Pandya, KH Pandya, MJ McClenaghan, KV Sharma, JJ Bumrah, SL Malinga</t>
  </si>
  <si>
    <t>AM Rahane, RA Tripathi, SPD Smith, MK Tiwary, MS Dhoni, DT Christian, Washington Sundar, LH Ferguson, A Zampa, SN Thakur, JD Unadkat</t>
  </si>
  <si>
    <t>Feroz Shah Kotla</t>
  </si>
  <si>
    <t>SV Samson, KK Nair, SS Iyer, RR Pant, MN Samuels, CJ Anderson, PJ Cummins, A Mishra, Mohammed Shami, S Nadeem, Z Khan</t>
  </si>
  <si>
    <t>CH Gayle, Vishnu Vinod, V Kohli, TM Head, KM Jadhav, Sachin Baby, SR Watson, P Negi, HV Patel, Avesh Khan, YS Chahal</t>
  </si>
  <si>
    <t>AM Rahane, RA Tripathi, SPD Smith, BA Stokes, MK Tiwary, MS Dhoni, DT Christian, Washington Sundar, SN Thakur, JD Unadkat, A Zampa</t>
  </si>
  <si>
    <t>MJ Guptill, WP Saha, SE Marsh, EJG Morgan, R Tewatia, GJ Maxwell, AR Patel, Swapnil Singh, MM Sharma, I Sharma, Sandeep Sharma</t>
  </si>
  <si>
    <t>Gujarat Lions</t>
  </si>
  <si>
    <t>Green Park</t>
  </si>
  <si>
    <t>Kanpur</t>
  </si>
  <si>
    <t>DR Smith, Ishan Kishan, SK Raina, KD Karthik, AJ Finch, RA Jadeja, JP Faulkner, PJ Sangwan, Ankit Soni, P Kumar, MM Patel</t>
  </si>
  <si>
    <t>DA Warner, S Dhawan, MC Henriques, V Shankar, DJ Hooda, Mohammad Nabi, NV Ojha, B Kumar, Rashid Khan, S Kaul, Mohammed Siraj</t>
  </si>
  <si>
    <t>SP Narine, CA Lynn, G Gambhir, RV Uthappa, MK Pandey, YK Pathan, C de Grandhomme, Kuldeep Yadav, UT Yadav, TA Boult, AS Rajpoot</t>
  </si>
  <si>
    <t>SS Tiwary, LMP Simmons, RG Sharma, AT Rayudu, KA Pollard, HH Pandya, KH Pandya, KV Sharma, MG Johnson, R Vinay Kumar, TG Southee</t>
  </si>
  <si>
    <t>KK Nair</t>
  </si>
  <si>
    <t>AM Rahane, RA Tripathi, SPD Smith, MK Tiwary, BA Stokes, MS Dhoni, DT Christian, Washington Sundar, SN Thakur, JD Unadkat, A Zampa</t>
  </si>
  <si>
    <t>LMP Simmons, PA Patel, N Rana, RG Sharma, KA Pollard, HH Pandya, KV Sharma, Harbhajan Singh, MJ McClenaghan, JJ Bumrah, SL Malinga</t>
  </si>
  <si>
    <t>MJ Guptill, WP Saha, GJ Maxwell, SE Marsh, AR Patel, M Vohra, R Tewatia, MM Sharma, Sandeep Sharma, I Sharma, MJ Henry</t>
  </si>
  <si>
    <t>DR Smith, Ishan Kishan, SK Raina, KD Karthik, AJ Finch, RA Jadeja, JP Faulkner, DS Kulkarni, PJ Sangwan, Basil Thampi, Ankit Soni</t>
  </si>
  <si>
    <t>SV Samson, KK Nair, RR Pant, SS Iyer, MN Samuels, CJ Anderson, CR Brathwaite, PJ Cummins, Mohammed Shami, A Mishra, Z Khan</t>
  </si>
  <si>
    <t>Punjab Cricket Association IS Bindra Stadium, Mohali</t>
  </si>
  <si>
    <t>MJ Guptill, M Vohra, SE Marsh, WP Saha, GJ Maxwell, AR Patel, Swapnil Singh, R Tewatia, MJ Henry, MM Sharma, Sandeep Sharma</t>
  </si>
  <si>
    <t>SP Narine, CA Lynn, G Gambhir, RV Uthappa, MK Pandey, C de Grandhomme, YK Pathan, CR Woakes, UT Yadav, Kuldeep Yadav, AS Rajpoot</t>
  </si>
  <si>
    <t>DA Warner, S Dhawan, MC Henriques, Yuvraj Singh, V Shankar, Mohammad Nabi, NV Ojha, B Kumar, Rashid Khan, S Kaul, Mohammed Siraj</t>
  </si>
  <si>
    <t>LMP Simmons, PA Patel, N Rana, RG Sharma, HH Pandya, KA Pollard, KV Sharma, Harbhajan Singh, MJ McClenaghan, JJ Bumrah, SL Malinga</t>
  </si>
  <si>
    <t>DR Smith</t>
  </si>
  <si>
    <t>MJ Guptill, HM Amla, SE Marsh, GJ Maxwell, AR Patel, WP Saha, Gurkeerat Singh, MM Sharma, Sandeep Sharma, VR Aaron, T Natarajan</t>
  </si>
  <si>
    <t>CH Gayle, Mandeep Singh, V Kohli, AB de Villiers, TM Head, KM Jadhav, P Negi, S Aravind, S Badree, A Choudhary, YS Chahal</t>
  </si>
  <si>
    <t>CA Lynn, SP Narine, C de Grandhomme, G Gambhir, MK Pandey, YK Pathan, SP Jackson, CR Woakes, UT Yadav, PP Chawla, AS Rajpoot</t>
  </si>
  <si>
    <t>DA Warner, S Dhawan, KS Williamson, Yuvraj Singh, MC Henriques, NV Ojha, Bipul Sharma, Rashid Khan, B Kumar, S Kaul, A Nehra</t>
  </si>
  <si>
    <t>AM Rahane, RA Tripathi, SPD Smith, BA Stokes, MS Dhoni, DT Christian, MK Tiwary, Washington Sundar, SN Thakur, JD Unadkat, Imran Tahir</t>
  </si>
  <si>
    <t>LMP Simmons</t>
  </si>
  <si>
    <t>SV Samson, KK Nair, SS Iyer, RR Pant, CJ Anderson, MN Samuels, PJ Cummins, K Rabada, A Mishra, Mohammed Shami, Z Khan</t>
  </si>
  <si>
    <t>LMP Simmons, PA Patel, KA Pollard, RG Sharma, HH Pandya, N Rana, KV Sharma, Harbhajan Singh, MJ McClenaghan, SL Malinga, JJ Bumrah</t>
  </si>
  <si>
    <t>Mandeep Singh, CH Gayle, V Kohli, AB de Villiers, KM Jadhav, SR Watson, P Negi, S Aravind, S Badree, A Choudhary, YS Chahal</t>
  </si>
  <si>
    <t>HM Amla, MJ Guptill, SE Marsh, M Vohra, WP Saha, GJ Maxwell, AR Patel, MM Sharma, VR Aaron, Sandeep Sharma, T Natarajan</t>
  </si>
  <si>
    <t>SV Samson, KK Nair, RR Pant, SS Iyer, CJ Anderson, MN Samuels, PJ Cummins, K Rabada, S Nadeem, A Mishra, Mohammed Shami</t>
  </si>
  <si>
    <t>DR Smith, BB McCullum, SK Raina, KD Karthik, AJ Finch, Ishan Kishan, RA Jadeja, JP Faulkner, PJ Sangwan, Basil Thampi, Ankit Soni</t>
  </si>
  <si>
    <t>SP Narine, G Gambhir, SP Jackson, MK Pandey, YK Pathan, C de Grandhomme, SA Yadav, CR Woakes, NM Coulter-Nile, UT Yadav, Kuldeep Yadav</t>
  </si>
  <si>
    <t>AM Rahane, RA Tripathi, SPD Smith, MK Tiwary, BA Stokes, MS Dhoni, DT Christian, Washington Sundar, SN Thakur, JD Unadkat, Imran Tahir</t>
  </si>
  <si>
    <t>SV Samson, KK Nair, RR Pant, SS Iyer, CJ Anderson, CH Morris, AD Mathews, J Yadav, K Rabada, A Mishra, Mohammed Shami</t>
  </si>
  <si>
    <t>DA Warner, S Dhawan, KS Williamson, Yuvraj Singh, MC Henriques, DJ Hooda, NV Ojha, B Kumar, Rashid Khan, S Kaul, Mohammed Siraj</t>
  </si>
  <si>
    <t>AM Rahane, RA Tripathi, SPD Smith, MK Tiwary, BA Stokes, MS Dhoni, DT Christian, Washington Sundar, JD Unadkat, SN Thakur, Imran Tahir</t>
  </si>
  <si>
    <t>Ishan Kishan, BB McCullum, SK Raina, AJ Finch, DR Smith, KD Karthik, RA Jadeja, JP Faulkner, PJ Sangwan, Basil Thampi, Ankit Soni</t>
  </si>
  <si>
    <t>PA Patel, JC Buttler, N Rana, RG Sharma, KA Pollard, KH Pandya, KV Sharma, HH Pandya, MJ McClenaghan, SL Malinga, JJ Bumrah</t>
  </si>
  <si>
    <t>V Kohli, Mandeep Singh, TM Head, AB de Villiers, KM Jadhav, SR Watson, P Negi, AF Milne, S Aravind, A Choudhary, YS Chahal</t>
  </si>
  <si>
    <t>MJ Guptill, HM Amla, M Vohra, SE Marsh, GJ Maxwell, WP Saha, AR Patel, MM Sharma, VR Aaron, Sandeep Sharma, T Natarajan</t>
  </si>
  <si>
    <t>SV Samson, SW Billings, KK Nair, SS Iyer, RR Pant, CJ Anderson, CH Morris, K Rabada, A Mishra, Mohammed Shami, S Nadeem</t>
  </si>
  <si>
    <t>DA Warner, S Dhawan, KS Williamson, Yuvraj Singh, MC Henriques, NV Ojha, Bipul Sharma, B Kumar, Rashid Khan, S Kaul, Mohammed Siraj</t>
  </si>
  <si>
    <t>SP Narine, G Gambhir, RV Uthappa, MK Pandey, YK Pathan, SP Jackson, C de Grandhomme, CR Woakes, NM Coulter-Nile, UT Yadav, Kuldeep Yadav</t>
  </si>
  <si>
    <t>Saurashtra Cricket Association Stadium</t>
  </si>
  <si>
    <t>Rajkot</t>
  </si>
  <si>
    <t>Ishan Kishan, BB McCullum, SK Raina, AJ Finch, KD Karthik, RA Jadeja, JP Faulkner, IK Pathan, AJ Tye, Basil Thampi, Ankit Soni</t>
  </si>
  <si>
    <t>PA Patel, JC Buttler, N Rana, RG Sharma, KA Pollard, KH Pandya, HH Pandya, Harbhajan Singh, MJ McClenaghan, JJ Bumrah, SL Malinga</t>
  </si>
  <si>
    <t>AM Rahane, RA Tripathi, SPD Smith, MK Tiwary, MS Dhoni, DT Christian, Washington Sundar, LH Ferguson, JD Unadkat, DL Chahar, Imran Tahir</t>
  </si>
  <si>
    <t>TM Head, V Kohli, AB de Villiers, KM Jadhav, Sachin Baby, STR Binny, P Negi, AF Milne, S Badree, S Aravind, YS Chahal</t>
  </si>
  <si>
    <t>G Gambhir</t>
  </si>
  <si>
    <t>SP Narine, G Gambhir, RV Uthappa, MK Pandey, SP Jackson, YK Pathan, C de Grandhomme, CR Woakes, NM Coulter-Nile, UT Yadav, Kuldeep Yadav</t>
  </si>
  <si>
    <t>SV Samson, KK Nair, SS Iyer, RR Pant, CH Morris, CJ Anderson, AR Bawne, PJ Cummins, K Rabada, A Mishra, Z Khan</t>
  </si>
  <si>
    <t>MJ Guptill, M Vohra, SE Marsh, GJ Maxwell, EJG Morgan, WP Saha, AR Patel, Anureet Singh, MM Sharma, I Sharma, KC Cariappa</t>
  </si>
  <si>
    <t>DA Warner, S Dhawan, KS Williamson, Yuvraj Singh, MC Henriques, DJ Hooda, NV Ojha, B Kumar, A Nehra, S Kaul, Rashid Khan</t>
  </si>
  <si>
    <t>AJ Tye</t>
  </si>
  <si>
    <t>CH Gayle, V Kohli, AB de Villiers, TM Head, KM Jadhav, Mandeep Singh, P Negi, S Badree, S Aravind, A Choudhary, YS Chahal</t>
  </si>
  <si>
    <t>Ishan Kishan, BB McCullum, SK Raina, AJ Finch, RA Jadeja, KD Karthik, JP Faulkner, AJ Tye, Basil Thampi, NB Singh, Ankit Soni</t>
  </si>
  <si>
    <t>RV Uthappa</t>
  </si>
  <si>
    <t>AM Rahane, RA Tripathi, SPD Smith, MS Dhoni, MK Tiwary, DT Christian, F du Plessis, Washington Sundar, SN Thakur, JD Unadkat, Imran Tahir</t>
  </si>
  <si>
    <t>SP Narine, G Gambhir, RV Uthappa, DM Bravo, MK Pandey, YK Pathan, C de Grandhomme, CR Woakes, PP Chawla, Kuldeep Yadav, UT Yadav</t>
  </si>
  <si>
    <t>PA Patel, JC Buttler, N Rana, RG Sharma, KV Sharma, KA Pollard, HH Pandya, Harbhajan Singh, MJ McClenaghan, MG Johnson, JJ Bumrah</t>
  </si>
  <si>
    <t>AM Rahane, RA Tripathi, SPD Smith, MS Dhoni, BA Stokes, MK Tiwary, DT Christian, Washington Sundar, SN Thakur, JD Unadkat, Imran Tahir</t>
  </si>
  <si>
    <t>HM Amla</t>
  </si>
  <si>
    <t>BB McCullum, AJ Finch, SK Raina, KD Karthik, RA Jadeja, DR Smith, AD Nath, AJ Tye, Basil Thampi, SS Agarwal, NB Singh</t>
  </si>
  <si>
    <t>M Vohra, HM Amla, SE Marsh, GJ Maxwell, MP Stoinis, AR Patel, WP Saha, MM Sharma, KC Cariappa, T Natarajan, Sandeep Sharma</t>
  </si>
  <si>
    <t>SP Narine, G Gambhir, RV Uthappa, MK Pandey, YK Pathan, SA Yadav, C de Grandhomme, CR Woakes, NM Coulter-Nile, UT Yadav, Kuldeep Yadav</t>
  </si>
  <si>
    <t>CH Gayle, V Kohli, Mandeep Singh, AB de Villiers, KM Jadhav, STR Binny, P Negi, S Badree, TS Mills, S Aravind, YS Chahal</t>
  </si>
  <si>
    <t>MJ McClenaghan</t>
  </si>
  <si>
    <t>PA Patel, JC Buttler, N Rana, RG Sharma, KA Pollard, KH Pandya, HH Pandya, Harbhajan Singh, MJ McClenaghan, MG Johnson, JJ Bumrah</t>
  </si>
  <si>
    <t>SV Samson, AP Tare, KK Nair, SS Iyer, CJ Anderson, RR Pant, K Rabada, CH Morris, PJ Cummins, A Mishra, Z Khan</t>
  </si>
  <si>
    <t>DA Warner, S Dhawan, KS Williamson, MC Henriques, DJ Hooda, NV Ojha, Bipul Sharma, B Kumar, Rashid Khan, Mohammed Siraj, S Kaul</t>
  </si>
  <si>
    <t>SK Raina</t>
  </si>
  <si>
    <t>SP Narine, G Gambhir, RV Uthappa, MK Pandey, YK Pathan, SA Yadav, Shakib Al Hasan, CR Woakes, NM Coulter-Nile, Kuldeep Yadav, UT Yadav</t>
  </si>
  <si>
    <t>AJ Finch, BB McCullum, SK Raina, KD Karthik, Ishan Kishan, DR Smith, RA Jadeja, JP Faulkner, P Kumar, Basil Thampi, DS Kulkarni</t>
  </si>
  <si>
    <t>HM Amla, SE Marsh, WP Saha, GJ Maxwell, MP Stoinis, AR Patel, Gurkeerat Singh, Swapnil Singh, MM Sharma, Sandeep Sharma, I Sharma</t>
  </si>
  <si>
    <t>PA Patel, JC Buttler, N Rana, HH Pandya, RG Sharma, KA Pollard, KH Pandya, Harbhajan Singh, MJ McClenaghan, SL Malinga, JJ Bumrah</t>
  </si>
  <si>
    <t>DA Warner, S Dhawan, KS Williamson, Yuvraj Singh, MC Henriques, DJ Hooda, NV Ojha, B Kumar, Rashid Khan, Mohammed Siraj, S Kaul</t>
  </si>
  <si>
    <t>SV Samson, SW Billings, KK Nair, RR Pant, SS Iyer, AD Mathews, CH Morris, J Yadav, PJ Cummins, A Mishra, Z Khan</t>
  </si>
  <si>
    <t>DR Smith, BB McCullum, SK Raina, AJ Finch, KD Karthik, RA Jadeja, Ishan Kishan, AJ Tye, Basil Thampi, DS Kulkarni, S Kaushik</t>
  </si>
  <si>
    <t>CH Gayle, V Kohli, TM Head, KM Jadhav, SR Watson, Mandeep Singh, STR Binny, P Negi, AF Milne, S Aravind, YS Chahal</t>
  </si>
  <si>
    <t>SV Samson, SW Billings, KK Nair, SS Iyer, RR Pant, AD Mathews, CH Morris, PJ Cummins, Mohammed Shami, A Mishra, Z Khan</t>
  </si>
  <si>
    <t>G Gambhir, C de Grandhomme, RV Uthappa, MK Pandey, YK Pathan, SA Yadav, CR Woakes, SP Narine, NM Coulter-Nile, Kuldeep Yadav, UT Yadav</t>
  </si>
  <si>
    <t>DA Warner, S Dhawan, MC Henriques, Yuvraj Singh, NV Ojha, DJ Hooda, Mohammad Nabi, Rashid Khan, B Kumar, BB Sran, S Kaul</t>
  </si>
  <si>
    <t>HM Amla, M Vohra, GJ Maxwell, EJG Morgan, DA Miller, WP Saha, AR Patel, MM Sharma, KC Cariappa, I Sharma, Sandeep Sharma</t>
  </si>
  <si>
    <t>PA Patel, JC Buttler, N Rana, RG Sharma, KA Pollard, HH Pandya, KH Pandya, Harbhajan Singh, MJ McClenaghan, SL Malinga, JJ Bumrah</t>
  </si>
  <si>
    <t>DR Smith, BB McCullum, SK Raina, Ishan Kishan, KD Karthik, JJ Roy, RA Jadeja, P Kumar, Basil Thampi, AJ Tye, MM Patel</t>
  </si>
  <si>
    <t>V Kohli, Mandeep Singh, AB de Villiers, KM Jadhav, SR Watson, STR Binny, P Negi, AF Milne, S Badree, S Aravind, YS Chahal</t>
  </si>
  <si>
    <t>AM Rahane, RA Tripathi, SPD Smith, MS Dhoni, BA Stokes, DT Christian, MK Tiwary, SN Thakur, JD Unadkat, RD Chahar, Imran Tahir</t>
  </si>
  <si>
    <t>CJ Anderson</t>
  </si>
  <si>
    <t>SV Samson, SW Billings, KK Nair, SS Iyer, RR Pant, CJ Anderson, CH Morris, PJ Cummins, A Mishra, Z Khan, S Nadeem</t>
  </si>
  <si>
    <t>M Vohra, HM Amla, WP Saha, EJG Morgan, DA Miller, GJ Maxwell, AR Patel, MM Sharma, KC Cariappa, Sandeep Sharma, VR Aaron</t>
  </si>
  <si>
    <t>SP Narine, G Gambhir, RV Uthappa, MK Pandey, YK Pathan, SA Yadav, C de Grandhomme, CR Woakes, Kuldeep Yadav, UT Yadav, TA Boult</t>
  </si>
  <si>
    <t>DA Warner, S Dhawan, MC Henriques, Yuvraj Singh, DJ Hooda, BCJ Cutting, NV Ojha, Bipul Sharma, B Kumar, Rashid Khan, A Nehra</t>
  </si>
  <si>
    <t>CH Gayle, V Kohli, AB de Villiers, KM Jadhav, P Negi, Mandeep Singh, STR Binny, TS Mills, S Aravind, YS Chahal, S Badree</t>
  </si>
  <si>
    <t>PA Patel, JC Buttler, RG Sharma, MJ McClenaghan, N Rana, KA Pollard, KH Pandya, HH Pandya, Harbhajan Singh, JJ Bumrah, TG Southee</t>
  </si>
  <si>
    <t>DR Smith, BB McCullum, SK Raina, KD Karthik, AJ Finch, Ishan Kishan, RA Jadeja, P Kumar, Basil Thampi, AJ Tye, SB Jakati</t>
  </si>
  <si>
    <t>AM Rahane, RA Tripathi, SPD Smith, BA Stokes, MK Tiwary, MS Dhoni, Ankit Sharma, SN Thakur, LH Ferguson, RD Chahar, Imran Tahir</t>
  </si>
  <si>
    <t>SP Narine, G Gambhir, RV Uthappa, MK Pandey, YK Pathan, SA Yadav, CR Woakes, C de Grandhomme, PP Chawla, UT Yadav, TA Boult</t>
  </si>
  <si>
    <t>HM Amla, M Vohra, MP Stoinis, GJ Maxwell, DA Miller, WP Saha, AR Patel, MM Sharma, VR Aaron, Sandeep Sharma, I Sharma</t>
  </si>
  <si>
    <t>PA Patel, JC Buttler, RG Sharma, N Rana, KA Pollard, KH Pandya, HH Pandya, Harbhajan Singh, MJ McClenaghan, SL Malinga, JJ Bumrah</t>
  </si>
  <si>
    <t>S Dhawan, DA Warner, DJ Hooda, Yuvraj Singh, BCJ Cutting, NV Ojha, V Shankar, Rashid Khan, B Kumar, A Nehra, Mustafizur Rahman</t>
  </si>
  <si>
    <t>AM Rahane, MA Agarwal, F du Plessis, RA Tripathi, BA Stokes, MS Dhoni, R Bhatia, DL Chahar, A Zampa, AB Dinda, Imran Tahir</t>
  </si>
  <si>
    <t>AP Tare, SW Billings, SV Samson, RR Pant, CJ Anderson, CH Morris, KK Nair, PJ Cummins, A Mishra, Z Khan, S Nadeem</t>
  </si>
  <si>
    <t>M Vohra, HM Amla, AR Patel, GJ Maxwell, WP Saha, DA Miller, MP Stoinis, MM Sharma, Sandeep Sharma, VR Aaron, T Natarajan</t>
  </si>
  <si>
    <t>SR Watson, Vishnu Vinod, AB de Villiers, KM Jadhav, Mandeep Singh, STR Binny, P Negi, Iqbal Abdulla, TS Mills, B Stanlake, YS Chahal</t>
  </si>
  <si>
    <t>DA Warner, S Dhawan, MC Henriques, Yuvraj Singh, DJ Hooda, BCJ Cutting, NV Ojha, Bipul Sharma, B Kumar, A Nehra, Rashid Khan</t>
  </si>
  <si>
    <t>JJ Roy, BB McCullum, SK Raina, AJ Finch, KD Karthik, DR Smith, DS Kulkarni, P Kumar, Basil Thampi, Tejas Baroka, S Kaushik</t>
  </si>
  <si>
    <t>PA Patel, JC Buttler, N Rana, RG Sharma, KH Pandya, KA Pollard, HH Pandya, Harbhajan Singh, MJ McClenaghan, SL Malinga, JJ Bumrah</t>
  </si>
  <si>
    <t>G Gambhir, CA Lynn, RV Uthappa, MK Pandey, YK Pathan, SA Yadav, CR Woakes, SP Narine, Kuldeep Yadav, AS Rajpoot, TA Boult</t>
  </si>
  <si>
    <t>KM Jadhav</t>
  </si>
  <si>
    <t>CH Gayle, SR Watson, Mandeep Singh, KM Jadhav, STR Binny, Vishnu Vinod, P Negi, Iqbal Abdulla, TS Mills, YS Chahal, B Stanlake</t>
  </si>
  <si>
    <t>AP Tare, SW Billings, KK Nair, SV Samson, RR Pant, CH Morris, CR Brathwaite, PJ Cummins, A Mishra, S Nadeem, Z Khan</t>
  </si>
  <si>
    <t>HM Amla, M Vohra, WP Saha, AR Patel, GJ Maxwell, DA Miller, MP Stoinis, Swapnil Singh, MM Sharma, Sandeep Sharma, T Natarajan</t>
  </si>
  <si>
    <t>AM Rahane, MA Agarwal, SPD Smith, BA Stokes, MS Dhoni, MK Tiwary, DT Christian, R Bhatia, RD Chahar, Imran Tahir, AB Dinda</t>
  </si>
  <si>
    <t>JJ Roy, BB McCullum, SK Raina, AJ Finch, KD Karthik, DR Smith, MS Gony, P Kumar, SB Jakati, DS Kulkarni, S Kaushik</t>
  </si>
  <si>
    <t>G Gambhir, CA Lynn, RV Uthappa, MK Pandey, YK Pathan, SA Yadav, CR Woakes, PP Chawla, Kuldeep Yadav, SP Narine, TA Boult</t>
  </si>
  <si>
    <t>AM Rahane, MA Agarwal, SPD Smith, BA Stokes, MS Dhoni, MK Tiwary, R Bhatia, DL Chahar, A Zampa, AB Dinda, Imran Tahir</t>
  </si>
  <si>
    <t>PA Patel, JC Buttler, RG Sharma, N Rana, AT Rayudu, KH Pandya, KA Pollard, HH Pandya, TG Southee, MJ McClenaghan, JJ Bumrah</t>
  </si>
  <si>
    <t>Yuvraj Singh</t>
  </si>
  <si>
    <t>CH Gayle, Mandeep Singh, TM Head, KM Jadhav, SR Watson, Sachin Baby, STR Binny, S Aravind, TS Mills, YS Chahal, A Choudhary</t>
  </si>
  <si>
    <t>BCJ Cutting</t>
  </si>
  <si>
    <t>CH Gayle, V Kohli, AB de Villiers, KL Rahul, SR Watson, Sachin Baby, STR Binny, CJ Jordan, Iqbal Abdulla, S Aravind, YS Chahal</t>
  </si>
  <si>
    <t>DA Warner, S Dhawan, MC Henriques, Yuvraj Singh, DJ Hooda, BCJ Cutting, NV Ojha, Bipul Sharma, B Kumar, BB Sran, Mustafizur Rahman</t>
  </si>
  <si>
    <t>ER Dwivedi, BB McCullum, SK Raina, KD Karthik, AJ Finch, DR Smith, RA Jadeja, DJ Bravo, DS Kulkarni, P Kumar, S Kaushik</t>
  </si>
  <si>
    <t>DA Warner, S Dhawan, MC Henriques, Yuvraj Singh, DJ Hooda, BCJ Cutting, NV Ojha, Bipul Sharma, B Kumar, BB Sran, TA Boult</t>
  </si>
  <si>
    <t>MC Henriques</t>
  </si>
  <si>
    <t>DA Warner, S Dhawan, MC Henriques, Yuvraj Singh, DJ Hooda, BCJ Cutting, NV Ojha, B Kumar, Bipul Sharma, BB Sran, Mustafizur Rahman</t>
  </si>
  <si>
    <t>RV Uthappa, G Gambhir, C Munro, MK Pandey, YK Pathan, SA Yadav, R Sathish, JO Holder, SP Narine, M Morkel, Kuldeep Yadav</t>
  </si>
  <si>
    <t>AJ Finch, BB McCullum, SK Raina, KD Karthik, DR Smith, RA Jadeja, DJ Bravo, ER Dwivedi, P Kumar, DS Kulkarni, SB Jakati</t>
  </si>
  <si>
    <t>CH Gayle, V Kohli, AB de Villiers, KL Rahul, SR Watson, Sachin Baby, STR Binny, Iqbal Abdulla, CJ Jordan, S Aravind, YS Chahal</t>
  </si>
  <si>
    <t>YK Pathan</t>
  </si>
  <si>
    <t>RV Uthappa, G Gambhir, C Munro, MK Pandey, YK Pathan, JO Holder, Shakib Al Hasan, SA Yadav, AS Rajpoot, SP Narine, Kuldeep Yadav</t>
  </si>
  <si>
    <t>S Dhawan, DA Warner, NV Ojha, Yuvraj Singh, KS Williamson, DJ Hooda, MC Henriques, KV Sharma, B Kumar, BB Sran, Mustafizur Rahman</t>
  </si>
  <si>
    <t>Shaheed Veer Narayan Singh International Stadium</t>
  </si>
  <si>
    <t>Raipur</t>
  </si>
  <si>
    <t>Q de Kock, RR Pant, KK Nair, SV Samson, SW Billings, P Negi, CR Brathwaite, CH Morris, J Yadav, A Mishra, Z Khan</t>
  </si>
  <si>
    <t>CH Gayle, V Kohli, AB de Villiers, KL Rahul, SR Watson, STR Binny, Sachin Baby, CJ Jordan, Iqbal Abdulla, S Aravind, YS Chahal</t>
  </si>
  <si>
    <t>Rising Pune Supergiants</t>
  </si>
  <si>
    <t>AM Rahane, UT Khawaja, GJ Bailey, SS Tiwary, MS Dhoni, IK Pathan, NLTC Perera, R Ashwin, A Zampa, AB Dinda, DL Chahar</t>
  </si>
  <si>
    <t>HM Amla, M Vijay, WP Saha, Gurkeerat Singh, DA Miller, F Behardien, AR Patel, R Dhawan, KJ Abbott, MM Sharma, Sandeep Sharma</t>
  </si>
  <si>
    <t>AJ Finch, BB McCullum, SK Raina, KD Karthik, DR Smith, RA Jadeja, DJ Bravo, ER Dwivedi, SB Jakati, P Kumar, DS Kulkarni</t>
  </si>
  <si>
    <t>RG Sharma, MJ Guptill, N Rana, KH Pandya, JC Buttler, KA Pollard, HH Pandya, Harbhajan Singh, R Vinay Kumar, MJ McClenaghan, JJ Bumrah</t>
  </si>
  <si>
    <t>Q de Kock, RR Pant, KK Nair, JP Duminy, CR Brathwaite, SV Samson, P Negi, A Mishra, Z Khan, J Yadav, NM Coulter-Nile</t>
  </si>
  <si>
    <t>DA Warner, S Dhawan, DJ Hooda, Yuvraj Singh, MC Henriques, EJG Morgan, NV Ojha, B Kumar, KV Sharma, Mustafizur Rahman, BB Sran</t>
  </si>
  <si>
    <t>DR Smith, BB McCullum, SK Raina, KD Karthik, AJ Finch, RA Jadeja, DJ Bravo, ER Dwivedi, P Kumar, SB Jakati, DS Kulkarni</t>
  </si>
  <si>
    <t>RV Uthappa, G Gambhir, MK Pandey, PP Chawla, YK Pathan, Shakib Al Hasan, SA Yadav, JO Holder, SP Narine, M Morkel, AS Rajpoot</t>
  </si>
  <si>
    <t>CH Gayle, V Kohli, AB de Villiers, KL Rahul, SR Watson, Sachin Baby, STR Binny, CJ Jordan, S Aravind, VR Aaron, YS Chahal</t>
  </si>
  <si>
    <t>M Vijay, HM Amla, WP Saha, DA Miller, Gurkeerat Singh, AR Patel, F Behardien, KJ Abbott, MM Sharma, KC Cariappa, Sandeep Sharma</t>
  </si>
  <si>
    <t>AB Dinda</t>
  </si>
  <si>
    <t>AM Rahane, UT Khawaja, GJ Bailey, SS Tiwary, IK Pathan, MS Dhoni, NLTC Perera, R Ashwin, A Zampa, AB Dinda, DL Chahar</t>
  </si>
  <si>
    <t>Q de Kock, SS Iyer, KK Nair, SV Samson, RR Pant, JP Duminy, CH Morris, NM Coulter-Nile, A Mishra, Z Khan, Mohammed Shami</t>
  </si>
  <si>
    <t>RV Uthappa, G Gambhir, MK Pandey, YK Pathan, AD Russell, SA Yadav, Shakib Al Hasan, PP Chawla, SP Narine, AS Rajpoot, M Morkel</t>
  </si>
  <si>
    <t>CH Gayle, V Kohli, AB de Villiers, SR Watson, KL Rahul, Sachin Baby, STR Binny, CJ Jordan, S Aravind, Iqbal Abdulla, YS Chahal</t>
  </si>
  <si>
    <t>RG Sharma, MJ Guptill, KH Pandya, KA Pollard, JC Buttler, AT Rayudu, N Rana, Harbhajan Singh, R Vinay Kumar, MJ McClenaghan, JJ Bumrah</t>
  </si>
  <si>
    <t>MA Agarwal, Q de Kock, KK Nair, SV Samson, RR Pant, JP Duminy, CH Morris, A Mishra, S Nadeem, Imran Tahir, Z Khan</t>
  </si>
  <si>
    <t>HM Amla, M Vijay, WP Saha, Gurkeerat Singh, DA Miller, GJ Maxwell, MP Stoinis, AR Patel, MM Sharma, Sandeep Sharma, Anureet Singh</t>
  </si>
  <si>
    <t>DA Warner, S Dhawan, DJ Hooda, Yuvraj Singh, BCJ Cutting, MC Henriques, NV Ojha, KV Sharma, B Kumar, A Nehra, Mustafizur Rahman</t>
  </si>
  <si>
    <t>RV Uthappa, G Gambhir, MK Pandey, YK Pathan, Shakib Al Hasan, SA Yadav, AD Russell, PP Chawla, SP Narine, AS Rajpoot, M Morkel</t>
  </si>
  <si>
    <t>AM Rahane, UT Khawaja, GJ Bailey, SS Tiwary, IK Pathan, MS Dhoni, NLTC Perera, R Ashwin, A Zampa, M Ashwin, AB Dinda</t>
  </si>
  <si>
    <t>CH Gayle, V Kohli, AB de Villiers, SR Watson, KL Rahul, Sachin Baby, STR Binny, CJ Jordan, S Aravind, VR Aaron, YS Chahal</t>
  </si>
  <si>
    <t>DR Smith, BB McCullum, RA Jadeja, KD Karthik, AJ Finch, DJ Bravo, AD Nath, P Kumar, DS Kulkarni, PV Tambe, S Kaushik</t>
  </si>
  <si>
    <t>RG Sharma, UBT Chand, AT Rayudu, N Rana, JC Buttler, KA Pollard, KH Pandya, Harbhajan Singh, TG Southee, MJ McClenaghan, JJ Bumrah</t>
  </si>
  <si>
    <t>M Vijay, HM Amla, WP Saha, GJ Maxwell, Gurkeerat Singh, DA Miller, MP Stoinis, AR Patel, MM Sharma, Sandeep Sharma, KC Cariappa</t>
  </si>
  <si>
    <t>DA Warner, S Dhawan, KS Williamson, Yuvraj Singh, MC Henriques, DJ Hooda, NV Ojha, B Kumar, BB Sran, A Nehra, Mustafizur Rahman</t>
  </si>
  <si>
    <t>Q de Kock, MA Agarwal, KK Nair, SV Samson, RR Pant, JP Duminy, J Yadav, CH Morris, A Mishra, NM Coulter-Nile, Mohammed Shami</t>
  </si>
  <si>
    <t>V Kohli, CH Gayle, AB de Villiers, KL Rahul, SR Watson, Sachin Baby, STR Binny, CJ Jordan, S Aravind, VR Aaron, YS Chahal</t>
  </si>
  <si>
    <t>RG Sharma, PA Patel, AT Rayudu, N Rana, KA Pollard, JC Buttler, KH Pandya, Harbhajan Singh, TG Southee, MJ McClenaghan, JJ Bumrah</t>
  </si>
  <si>
    <t>A Zampa</t>
  </si>
  <si>
    <t>AM Rahane, UT Khawaja, GJ Bailey, R Ashwin, SS Tiwary, MS Dhoni, NLTC Perera, R Bhatia, A Zampa, AB Dinda, RP Singh</t>
  </si>
  <si>
    <t>HM Amla, M Vijay, WP Saha, DA Miller, MP Stoinis, F Behardien, AR Patel, MM Sharma, Anureet Singh, Sandeep Sharma, KC Cariappa</t>
  </si>
  <si>
    <t>V Kohli, KL Rahul, AB de Villiers, SR Watson, Sachin Baby, TM Head, STR Binny, CJ Jordan, Iqbal Abdulla, VR Aaron, YS Chahal</t>
  </si>
  <si>
    <t>A Nehra</t>
  </si>
  <si>
    <t>RG Sharma, PA Patel, AT Rayudu, KH Pandya, JC Buttler, KA Pollard, HH Pandya, Harbhajan Singh, TG Southee, MJ McClenaghan, JJ Bumrah</t>
  </si>
  <si>
    <t>P Kumar</t>
  </si>
  <si>
    <t>RV Uthappa, G Gambhir, MK Pandey, SA Yadav, Shakib Al Hasan, YK Pathan, AD Russell, GB Hogg, PP Chawla, M Morkel, UT Yadav</t>
  </si>
  <si>
    <t>DR Smith, BB McCullum, SK Raina, KD Karthik, AJ Finch, RA Jadeja, DJ Bravo, P Kumar, DS Kulkarni, S Kaushik, PV Tambe</t>
  </si>
  <si>
    <t>M Vijay, MP Stoinis, HM Amla, WP Saha, GJ Maxwell, DA Miller, AR Patel, Gurkeerat Singh, MM Sharma, Sandeep Sharma, KC Cariappa</t>
  </si>
  <si>
    <t>Q de Kock, SV Samson, KK Nair, SW Billings, CR Brathwaite, CH Morris, RR Pant, A Mishra, Mohammed Shami, Z Khan, S Nadeem</t>
  </si>
  <si>
    <t>V Kohli, KL Rahul, AB de Villiers, SR Watson, TM Head, Sachin Baby, STR Binny, Parvez Rasool, CJ Jordan, VR Aaron, YS Chahal</t>
  </si>
  <si>
    <t>AM Rahane, UT Khawaja, SS Tiwary, MS Dhoni, NLTC Perera, GJ Bailey, R Bhatia, R Ashwin, A Zampa, AB Dinda, RP Singh</t>
  </si>
  <si>
    <t>DA Warner, S Dhawan, KS Williamson, MC Henriques, Yuvraj Singh, DJ Hooda, NV Ojha, B Kumar, BB Sran, A Nehra, Mustafizur Rahman</t>
  </si>
  <si>
    <t>DR Smith, BB McCullum, SK Raina, KD Karthik, AJ Finch, DJ Bravo, RA Jadeja, P Kumar, PJ Sangwan, DS Kulkarni, S Kaushik</t>
  </si>
  <si>
    <t>RR Pant, SV Samson, KK Nair, JP Duminy, SW Billings, CR Brathwaite, P Negi, J Yadav, Mohammed Shami, A Mishra, Imran Tahir</t>
  </si>
  <si>
    <t>AM Rahane, UT Khawaja, SS Tiwary, MS Dhoni, NLTC Perera, GJ Bailey, R Bhatia, SM Boland, R Ashwin, AB Dinda, M Ashwin</t>
  </si>
  <si>
    <t>RV Uthappa, G Gambhir, YK Pathan, AD Russell, MK Pandey, SA Yadav, Shakib Al Hasan, GB Hogg, PP Chawla, M Morkel, UT Yadav</t>
  </si>
  <si>
    <t>M Vijay, MP Stoinis, M Vohra, WP Saha, GJ Maxwell, DA Miller, Gurkeerat Singh, AR Patel, Swapnil Singh, MM Sharma, Sandeep Sharma</t>
  </si>
  <si>
    <t>DR Smith, BB McCullum, AJ Finch, SK Raina, KD Karthik, RA Jadeja, JP Faulkner, Ishan Kishan, P Kumar, DS Kulkarni, S Kaushik</t>
  </si>
  <si>
    <t>Q de Kock, RR Pant, SV Samson, JP Duminy, KK Nair, SW Billings, CH Morris, A Mishra, Mohammed Shami, Z Khan, S Nadeem</t>
  </si>
  <si>
    <t>KL Rahul, CH Gayle, V Kohli, AB de Villiers, SR Watson, Sachin Baby, STR Binny, VR Aaron, S Aravind, YS Chahal, T Shamsi</t>
  </si>
  <si>
    <t>RV Uthappa, G Gambhir, CA Lynn, MK Pandey, YK Pathan, AD Russell, SA Yadav, PP Chawla, UT Yadav, SP Narine, M Morkel</t>
  </si>
  <si>
    <t>DR Smith, BB McCullum, SK Raina, KD Karthik, RA Jadeja, DJ Bravo, Ishan Kishan, JP Faulkner, P Kumar, DS Kulkarni, S Kaushik</t>
  </si>
  <si>
    <t>M Vijay, MP Stoinis, SE Marsh, GJ Maxwell, Gurkeerat Singh, DA Miller, WP Saha, AR Patel, MM Sharma, KC Cariappa, Sandeep Sharma</t>
  </si>
  <si>
    <t>AM Rahane, SS Tiwary, SPD Smith, PSP Handscomb, MS Dhoni, NLTC Perera, R Bhatia, SM Boland, R Ashwin, AB Dinda, M Ashwin</t>
  </si>
  <si>
    <t>RG Sharma, PA Patel, AT Rayudu, JC Buttler, KH Pandya, KA Pollard, HH Pandya, Harbhajan Singh, JJ Bumrah, TG Southee, MJ McClenaghan</t>
  </si>
  <si>
    <t>DA Warner, S Dhawan, KS Williamson, MC Henriques, NV Ojha, DJ Hooda, A Ashish Reddy, BB Sran, B Kumar, A Nehra, Mustafizur Rahman</t>
  </si>
  <si>
    <t>V Kohli, KL Rahul, AB de Villiers, SR Watson, Sachin Baby, KM Jadhav, Parvez Rasool, VR Aaron, HV Patel, KW Richardson, T Shamsi</t>
  </si>
  <si>
    <t>CR Brathwaite</t>
  </si>
  <si>
    <t>Q de Kock, SS Iyer, SV Samson, KK Nair, SW Billings, CH Morris, CR Brathwaite, RR Pant, Mohammed Shami, A Mishra, Z Khan</t>
  </si>
  <si>
    <t>RV Uthappa, G Gambhir, PP Chawla, YK Pathan, SA Yadav, R Sathish, AD Russell, JO Holder, UT Yadav, SP Narine, GB Hogg</t>
  </si>
  <si>
    <t>AM Rahane, SS Tiwary, SPD Smith, MS Dhoni, NLTC Perera, JA Morkel, R Bhatia, PSP Handscomb, R Ashwin, M Ashwin, AB Dinda</t>
  </si>
  <si>
    <t>DR Smith, BB McCullum, SK Raina, KD Karthik, DJ Bravo, RA Jadeja, JP Faulkner, Ishan Kishan, P Kumar, DS Kulkarni, S Kaushik</t>
  </si>
  <si>
    <t>RG Sharma, PA Patel, AT Rayudu, KH Pandya, JC Buttler, KA Pollard, HH Pandya, Harbhajan Singh, JJ Bumrah, TG Southee, MJ McClenaghan</t>
  </si>
  <si>
    <t>RV Uthappa, G Gambhir, Shakib Al Hasan, SA Yadav, AD Russell, CA Lynn, YK Pathan, R Sathish, UT Yadav, SP Narine, JD Unadkat</t>
  </si>
  <si>
    <t>Q de Kock, SV Samson, KK Nair, JP Duminy, RR Pant, CH Morris, P Negi, A Mishra, Z Khan, S Nadeem, Imran Tahir</t>
  </si>
  <si>
    <t>DR Smith, BB McCullum, SK Raina, KD Karthik, RA Jadeja, Ishan Kishan, DJ Bravo, JP Faulkner, P Kumar, DS Kulkarni, PV Tambe</t>
  </si>
  <si>
    <t>DA Warner, S Dhawan, AP Tare, EJG Morgan, DJ Hooda, MC Henriques, NV Ojha, Bipul Sharma, B Kumar, A Nehra, Mustafizur Rahman</t>
  </si>
  <si>
    <t>AM Rahane, F du Plessis, SPD Smith, MS Dhoni, SS Tiwary, NLTC Perera, MR Marsh, R Bhatia, R Ashwin, M Ashwin, AB Dinda</t>
  </si>
  <si>
    <t>M Vijay, M Vohra, SE Marsh, GJ Maxwell, DA Miller, NS Naik, AR Patel, MG Johnson, MM Sharma, P Sahu, Sandeep Sharma</t>
  </si>
  <si>
    <t>RG Sharma, PA Patel, AT Rayudu, JC Buttler, KA Pollard, HH Pandya, KH Pandya, Harbhajan Singh, TG Southee, MJ McClenaghan, JJ Bumrah</t>
  </si>
  <si>
    <t>DR Smith, BB McCullum, SK Raina, KD Karthik, RA Jadeja, DJ Bravo, AJ Finch, P Kumar, DS Kulkarni, SB Jakati, PV Tambe</t>
  </si>
  <si>
    <t>V Kohli, SR Watson, AB de Villiers, KL Rahul, SN Khan, KM Jadhav, STR Binny, Iqbal Abdulla, YS Chahal, KW Richardson, T Shamsi</t>
  </si>
  <si>
    <t>AM Rahane, F du Plessis, SPD Smith, NLTC Perera, JA Morkel, MS Dhoni, R Bhatia, SS Tiwary, R Ashwin, Ankit Sharma, M Ashwin</t>
  </si>
  <si>
    <t>RV Uthappa, G Gambhir, SA Yadav, Shakib Al Hasan, YK Pathan, AD Russell, R Sathish, PP Chawla, UT Yadav, SP Narine, M Morkel</t>
  </si>
  <si>
    <t>DA Warner, S Dhawan, AP Tare, EJG Morgan, DJ Hooda, MC Henriques, NV Ojha, Bipul Sharma, B Kumar, BB Sran, Mustafizur Rahman</t>
  </si>
  <si>
    <t>M Vijay, M Vohra, SE Marsh, DA Miller, GJ Maxwell, NS Naik, AR Patel, R Dhawan, MM Sharma, KJ Abbott, Sandeep Sharma</t>
  </si>
  <si>
    <t>Q de Kock, SS Iyer, SV Samson, KK Nair, JP Duminy, P Negi, CH Morris, Z Khan, A Mishra, Mohammed Shami, Imran Tahir</t>
  </si>
  <si>
    <t>AM Rahane, F du Plessis, KP Pietersen, SPD Smith, MS Dhoni, NLTC Perera, R Bhatia, R Ashwin, Ankit Sharma, M Ashwin, I Sharma</t>
  </si>
  <si>
    <t>V Kohli, KL Rahul, AB de Villiers, SR Watson, SN Khan, Mandeep Singh, STR Binny, HV Patel, KW Richardson, T Shamsi, Iqbal Abdulla</t>
  </si>
  <si>
    <t>AJ Finch, BB McCullum, SK Raina, KD Karthik, DJ Bravo, RA Jadeja, AD Nath, DW Steyn, P Kumar, DS Kulkarni, PV Tambe</t>
  </si>
  <si>
    <t>DA Warner, S Dhawan, MC Henriques, EJG Morgan, DJ Hooda, AP Tare, NV Ojha, B Kumar, Mustafizur Rahman, Bipul Sharma, BB Sran</t>
  </si>
  <si>
    <t>RG Sharma, PA Patel, AT Rayudu, JC Buttler, KA Pollard, HH Pandya, KH Pandya, Harbhajan Singh, JJ Bumrah, MJ McClenaghan, TG Southee</t>
  </si>
  <si>
    <t>V Kohli, KL Rahul, AB de Villiers, SR Watson, TM Head, SN Khan, STR Binny, HV Patel, KW Richardson, Iqbal Abdulla, VR Aaron</t>
  </si>
  <si>
    <t>M Vijay, M Vohra, SE Marsh, WP Saha, DA Miller, GJ Maxwell, AR Patel, MM Sharma, P Sahu, KJ Abbott, Sandeep Sharma</t>
  </si>
  <si>
    <t>RV Uthappa, G Gambhir, MK Pandey, Shakib Al Hasan, SA Yadav, YK Pathan, AD Russell, PP Chawla, SP Narine, M Morkel, UT Yadav</t>
  </si>
  <si>
    <t>DA Warner, S Dhawan, MC Henriques, EJG Morgan, DJ Hooda, NV Ojha, Bipul Sharma, A Ashish Reddy, B Kumar, Mustafizur Rahman, BB Sran</t>
  </si>
  <si>
    <t>MJ Guptill, PA Patel, AT Rayudu, RG Sharma, JC Buttler, KH Pandya, HH Pandya, Harbhajan Singh, TG Southee, MJ McClenaghan, JJ Bumrah</t>
  </si>
  <si>
    <t>CH Gayle, V Kohli, AB de Villiers, SR Watson, SN Khan, KM Jadhav, D Wiese, Parvez Rasool, HV Patel, YS Chahal, S Aravind</t>
  </si>
  <si>
    <t>Q de Kock, SS Iyer, SV Samson, KK Nair, JP Duminy, CR Brathwaite, CH Morris, P Negi, Z Khan, A Mishra, Mohammed Shami</t>
  </si>
  <si>
    <t>M Vohra</t>
  </si>
  <si>
    <t>M Vijay, M Vohra, SE Marsh, DA Miller, GJ Maxwell, WP Saha, AR Patel, MM Sharma, KJ Abbott, P Sahu, Sandeep Sharma</t>
  </si>
  <si>
    <t>AM Rahane, F du Plessis, KP Pietersen, NLTC Perera, SPD Smith, MS Dhoni, IK Pathan, R Ashwin, I Sharma, Ankit Sharma, M Ashwin</t>
  </si>
  <si>
    <t>AJ Finch</t>
  </si>
  <si>
    <t>RG Sharma, PA Patel, HH Pandya, JC Buttler, KA Pollard, AT Rayudu, Harbhajan Singh, KH Pandya, TG Southee, MJ McClenaghan, JJ Bumrah</t>
  </si>
  <si>
    <t>AJ Finch, BB McCullum, SK Raina, KD Karthik, DJ Bravo, AD Nath, JP Faulkner, P Kumar, DS Kulkarni, SB Jakati, PV Tambe</t>
  </si>
  <si>
    <t>DA Warner, S Dhawan, MC Henriques, EJG Morgan, DJ Hooda, NV Ojha, A Ashish Reddy, KV Sharma, B Kumar, Mustafizur Rahman, BB Sran</t>
  </si>
  <si>
    <t>RV Uthappa, G Gambhir, AD Russell, MK Pandey, Shakib Al Hasan, YK Pathan, SA Yadav, PP Chawla, SP Narine, M Morkel, UT Yadav</t>
  </si>
  <si>
    <t>Q de Kock, SS Iyer, SV Samson, P Negi, KK Nair, JP Duminy, CR Brathwaite, J Yadav, CH Morris, Z Khan, A Mishra</t>
  </si>
  <si>
    <t>M Vijay, M Vohra, SE Marsh, DA Miller, GJ Maxwell, AR Patel, WP Saha, MG Johnson, MM Sharma, P Sahu, Sandeep Sharma</t>
  </si>
  <si>
    <t>AJ Finch, BB McCullum, SK Raina, DJ Bravo, RA Jadeja, KD Karthik, AD Nath, JP Faulkner, P Kumar, SB Jakati, PV Tambe</t>
  </si>
  <si>
    <t>AM Rahane, F du Plessis, KP Pietersen, SPD Smith, MS Dhoni, MR Marsh, R Bhatia, R Ashwin, I Sharma, RP Singh, M Ashwin</t>
  </si>
  <si>
    <t>RV Uthappa, G Gambhir, MK Pandey, AD Russell, YK Pathan, C Munro, SA Yadav, PP Chawla, JW Hastings, Kuldeep Yadav, GB Hogg</t>
  </si>
  <si>
    <t>RG Sharma, PA Patel, HH Pandya, MJ McClenaghan, JC Buttler, KA Pollard, AT Rayudu, Harbhajan Singh, J Suchith, TG Southee, JJ Bumrah</t>
  </si>
  <si>
    <t>CH Gayle, V Kohli, AB de Villiers, SR Watson, SN Khan, KM Jadhav, STR Binny, Parvez Rasool, HV Patel, AF Milne, YS Chahal</t>
  </si>
  <si>
    <t>DA Warner, S Dhawan, MC Henriques, NV Ojha, DJ Hooda, EJG Morgan, A Ashish Reddy, KV Sharma, A Nehra, B Kumar, Mustafizur Rahman</t>
  </si>
  <si>
    <t>M Vijay, M Vohra, DA Miller, GJ Maxwell, WP Saha, MP Stoinis, AR Patel, MG Johnson, P Sahu, MM Sharma, Sandeep Sharma</t>
  </si>
  <si>
    <t>AJ Finch, BB McCullum, SK Raina, KD Karthik, RA Jadeja, Ishan Kishan, DJ Bravo, JP Faulkner, P Kumar, PJ Sangwan, S Ladda</t>
  </si>
  <si>
    <t>RV Uthappa, G Gambhir, MK Pandey, C Munro, SA Yadav, YK Pathan, AD Russell, PP Chawla, JW Hastings, GB Hogg, UT Yadav</t>
  </si>
  <si>
    <t>MA Agarwal, Q de Kock, SS Iyer, KK Nair, SV Samson, P Negi, CR Brathwaite, CH Morris, NM Coulter-Nile, A Mishra, Z Khan</t>
  </si>
  <si>
    <t>LMP Simmons, RG Sharma, HH Pandya, JC Buttler, AT Rayudu, KA Pollard, S Gopal, Harbhajan Singh, R Vinay Kumar, MJ McClenaghan, JJ Bumrah</t>
  </si>
  <si>
    <t>AM Rahane, F du Plessis, KP Pietersen, MS Dhoni, SPD Smith, R Bhatia, MR Marsh, R Ashwin, I Sharma, M Ashwin, RP Singh</t>
  </si>
  <si>
    <t>LMP Simmons, PA Patel, RG Sharma, KA Pollard, AT Rayudu, HH Pandya, Harbhajan Singh, J Suchith, MJ McClenaghan, R Vinay Kumar, SL Malinga</t>
  </si>
  <si>
    <t>DR Smith, MEK Hussey, SK Raina, MS Dhoni, DJ Bravo, P Negi, F du Plessis, RA Jadeja, R Ashwin, MM Sharma, A Nehra</t>
  </si>
  <si>
    <t>JSCA International Stadium Complex</t>
  </si>
  <si>
    <t>Ranchi</t>
  </si>
  <si>
    <t>DR Smith, MEK Hussey, F du Plessis, SK Raina, MS Dhoni, P Negi, DJ Bravo, RA Jadeja, R Ashwin, MM Sharma, A Nehra</t>
  </si>
  <si>
    <t>CH Gayle, V Kohli, AB de Villiers, Mandeep Singh, KD Karthik, SN Khan, D Wiese, HV Patel, MA Starc, S Aravind, YS Chahal</t>
  </si>
  <si>
    <t>CH Gayle, V Kohli, AB de Villiers, Mandeep Singh, KD Karthik, SN Khan, D Wiese, MA Starc, HV Patel, YS Chahal, S Aravind</t>
  </si>
  <si>
    <t>AM Rahane, SR Watson, SV Samson, SPD Smith, KK Nair, DJ Hooda, JP Faulkner, STR Binny, CH Morris, Ankit Sharma, DS Kulkarni</t>
  </si>
  <si>
    <t>DR Smith, MEK Hussey, F du Plessis, SK Raina, MS Dhoni, DJ Bravo, RA Jadeja, P Negi, R Ashwin, MM Sharma, A Nehra</t>
  </si>
  <si>
    <t>LMP Simmons, PA Patel, RG Sharma, KA Pollard, HH Pandya, AT Rayudu, Harbhajan Singh, J Suchith, MJ McClenaghan, R Vinay Kumar, SL Malinga</t>
  </si>
  <si>
    <t>DA Warner, S Dhawan, MC Henriques, EJG Morgan, KL Rahul, NV Ojha, KV Sharma, A Ashish Reddy, B Kumar, P Kumar, DW Steyn</t>
  </si>
  <si>
    <t>LMP Simmons, PA Patel, RG Sharma, AT Rayudu, KA Pollard, HH Pandya, Harbhajan Singh, J Suchith, MJ McClenaghan, R Vinay Kumar, SL Malinga</t>
  </si>
  <si>
    <t>V Kohli, CH Gayle, AB de Villiers, Mandeep Singh, KD Karthik, SN Khan, D Wiese, MA Starc, HV Patel, YS Chahal, AB Dinda</t>
  </si>
  <si>
    <t>Q de Kock, SS Iyer, JP Duminy, Yuvraj Singh, KM Jadhav, AD Mathews, SS Tiwary, J Yadav, S Nadeem, GS Sandhu, Z Khan</t>
  </si>
  <si>
    <t>P Negi</t>
  </si>
  <si>
    <t>Punjab Cricket Association Stadium, Mohali</t>
  </si>
  <si>
    <t>WP Saha, M Vohra, GJ Bailey, GJ Maxwell, Gurkeerat Singh, DA Miller, AR Patel, R Dhawan, BE Hendricks, Anureet Singh, Sandeep Sharma</t>
  </si>
  <si>
    <t>MEK Hussey, BB McCullum, F du Plessis, SK Raina, MS Dhoni, DJ Bravo, P Negi, RA Jadeja, R Ashwin, A Nehra, IC Pandey</t>
  </si>
  <si>
    <t>Brabourne Stadium</t>
  </si>
  <si>
    <t>AM Rahane, SR Watson, SPD Smith, SV Samson, JP Faulkner, KK Nair, CH Morris, DJ Hooda, STR Binny, DS Kulkarni, BB Sran</t>
  </si>
  <si>
    <t>RV Uthappa, G Gambhir, MK Pandey, YK Pathan, AD Russell, SA Yadav, Shakib Al Hasan, Azhar Mahmood, PP Chawla, UT Yadav, M Morkel</t>
  </si>
  <si>
    <t>DA Warner, S Dhawan, MC Henriques, EJG Morgan, NV Ojha, KL Rahul, Bipul Sharma, KV Sharma, B Kumar, P Kumar, DW Steyn</t>
  </si>
  <si>
    <t>CH Gayle, V Kohli, AB de Villiers, Mandeep Singh, KD Karthik, SN Khan, D Wiese, MA Starc, HV Patel, YS Chahal, AB Dinda</t>
  </si>
  <si>
    <t>RV Uthappa, G Gambhir, MK Pandey, YK Pathan, Shakib Al Hasan, AD Russell, SA Yadav, PP Chawla, UT Yadav, M Morkel, SP Narine</t>
  </si>
  <si>
    <t>WP Saha, M Vohra, GJ Maxwell, DA Miller, GJ Bailey, AR Patel, Gurkeerat Singh, R Dhawan, BE Hendricks, Anureet Singh, Sandeep Sharma</t>
  </si>
  <si>
    <t>CH Gayle, V Kohli, AB de Villiers, Mandeep Singh, KD Karthik, SN Khan, D Wiese, HV Patel, MA Starc, YS Chahal, S Aravind</t>
  </si>
  <si>
    <t>Z Khan</t>
  </si>
  <si>
    <t>Q de Kock, SS Iyer, JP Duminy, Yuvraj Singh, JA Morkel, KM Jadhav, SS Tiwary, J Yadav, GS Sandhu, Z Khan, S Nadeem</t>
  </si>
  <si>
    <t>DR Smith, BB McCullum, SK Raina, F du Plessis, MS Dhoni, DJ Bravo, P Negi, RA Jadeja, R Ashwin, MM Sharma, IC Pandey</t>
  </si>
  <si>
    <t>DA Warner, S Dhawan, MC Henriques, EJG Morgan, NV Ojha, KL Rahul, KV Sharma, Bipul Sharma, B Kumar, TA Boult, I Sharma</t>
  </si>
  <si>
    <t>M Vijay, M Vohra, WP Saha, GJ Maxwell, DA Miller, GJ Bailey, Gurkeerat Singh, AR Patel, BE Hendricks, Anureet Singh, Sandeep Sharma</t>
  </si>
  <si>
    <t>PA Patel, LMP Simmons, RG Sharma, KA Pollard, HH Pandya, AT Rayudu, Harbhajan Singh, J Suchith, MJ McClenaghan, SL Malinga, JJ Bumrah</t>
  </si>
  <si>
    <t>CH Gayle, V Kohli, AB de Villiers, KD Karthik, SN Khan, Mandeep Singh, D Wiese, MA Starc, HV Patel, YS Chahal, S Aravind</t>
  </si>
  <si>
    <t>MA Chidambaram Stadium, Chepauk</t>
  </si>
  <si>
    <t>DR Smith, BB McCullum, SK Raina, F du Plessis, P Negi, MS Dhoni, DJ Bravo, RA Jadeja, R Ashwin, MM Sharma, A Nehra</t>
  </si>
  <si>
    <t>AM Rahane, SR Watson, SPD Smith, KK Nair, DJ Hooda, SV Samson, JP Faulkner, CH Morris, R Bhatia, Ankit Sharma, PV Tambe</t>
  </si>
  <si>
    <t>Q de Kock, SS Iyer, JP Duminy, Yuvraj Singh, KM Jadhav, SS Tiwary, JA Morkel, J Yadav, NM Coulter-Nile, A Mishra, Z Khan</t>
  </si>
  <si>
    <t>S Dhawan, DA Warner, MC Henriques, EJG Morgan, KV Sharma, RS Bopara, NV Ojha, Parvez Rasool, P Kumar, B Kumar, I Sharma</t>
  </si>
  <si>
    <t>RV Uthappa, G Gambhir, MK Pandey, SA Yadav, YK Pathan, AD Russell, J Botha, PP Chawla, GB Hogg, UT Yadav, SP Narine</t>
  </si>
  <si>
    <t>M Vijay, M Vohra, WP Saha, GJ Maxwell, DA Miller, Gurkeerat Singh, GJ Bailey, AR Patel, BE Hendricks, Anureet Singh, Sandeep Sharma</t>
  </si>
  <si>
    <t>DR Smith, BB McCullum, SK Raina, F du Plessis, MS Dhoni, P Negi, RA Jadeja, DJ Bravo, R Ashwin, MM Sharma, A Nehra</t>
  </si>
  <si>
    <t>LMP Simmons, PA Patel, RG Sharma, KA Pollard, AT Rayudu, HH Pandya, Harbhajan Singh, J Suchith, R Vinay Kumar, MJ McClenaghan, M de Lange</t>
  </si>
  <si>
    <t>PP Chawla</t>
  </si>
  <si>
    <t>RV Uthappa, G Gambhir, MK Pandey, PP Chawla, YK Pathan, AD Russell, SA Yadav, J Botha, GB Hogg, UT Yadav, SP Narine</t>
  </si>
  <si>
    <t>MK Tiwary, SS Iyer, JP Duminy, KM Jadhav, Yuvraj Singh, AD Mathews, SS Tiwary, JA Morkel, A Mishra, Imran Tahir, Z Khan</t>
  </si>
  <si>
    <t>AM Rahane, SR Watson, SPD Smith, KK Nair, DJ Hooda, JP Faulkner, SV Samson, STR Binny, CH Morris, DS Kulkarni, PV Tambe</t>
  </si>
  <si>
    <t>S Dhawan, DA Warner, MC Henriques, EJG Morgan, RS Bopara, NV Ojha, GH Vihari, KV Sharma, P Kumar, B Kumar, I Sharma</t>
  </si>
  <si>
    <t>M Vijay, M Vohra, WP Saha, GJ Maxwell, DA Miller, GJ Bailey, AR Patel, MG Johnson, Anureet Singh, Karanveer Singh, Sandeep Sharma</t>
  </si>
  <si>
    <t>LMP Simmons, PA Patel, HH Pandya, RG Sharma, Harbhajan Singh, AT Rayudu, KA Pollard, J Suchith, R Vinay Kumar, MJ McClenaghan, SL Malinga</t>
  </si>
  <si>
    <t>MA Agarwal, SS Iyer, JP Duminy, KM Jadhav, Yuvraj Singh, AD Mathews, SS Tiwary, NM Coulter-Nile, A Mishra, Imran Tahir, Z Khan</t>
  </si>
  <si>
    <t>DR Smith, BB McCullum, SK Raina, F du Plessis, MS Dhoni, RA Jadeja, P Negi, DJ Bravo, MM Sharma, A Nehra, IC Pandey</t>
  </si>
  <si>
    <t>NJ Maddinson, V Kohli, AB de Villiers, Mandeep Singh, KD Karthik, SN Khan, D Wiese, HV Patel, MA Starc, Iqbal Abdulla, YS Chahal</t>
  </si>
  <si>
    <t>RV Uthappa, G Gambhir, MK Pandey, AD Russell, RN ten Doeschate, YK Pathan, J Botha, SA Yadav, PP Chawla, GB Hogg, UT Yadav</t>
  </si>
  <si>
    <t>DA Warner, S Dhawan, NV Ojha, MC Henriques, EJG Morgan, GH Vihari, Bipul Sharma, KV Sharma, P Kumar, B Kumar, DW Steyn</t>
  </si>
  <si>
    <t>AM Rahane, SR Watson, KK Nair, JP Faulkner, SPD Smith, SV Samson, STR Binny, DJ Hooda, TG Southee, DS Kulkarni, R Bhatia</t>
  </si>
  <si>
    <t>MA Agarwal, SS Iyer, JP Duminy, Yuvraj Singh, AD Mathews, KM Jadhav, SS Tiwary, NM Coulter-Nile, A Mishra, Z Khan, GS Sandhu</t>
  </si>
  <si>
    <t>M Vijay, V Sehwag, GJ Maxwell, DA Miller, GJ Bailey, WP Saha, AR Patel, MG Johnson, Anureet Singh, Sandeep Sharma, Karanveer Singh</t>
  </si>
  <si>
    <t>LMP Simmons, PA Patel, RG Sharma, KA Pollard, AT Rayudu, UBT Chand, Harbhajan Singh, J Suchith, R Vinay Kumar, MJ McClenaghan, SL Malinga</t>
  </si>
  <si>
    <t>Mandeep Singh</t>
  </si>
  <si>
    <t>CH Gayle, V Kohli, AB de Villiers, Mandeep Singh, D Wiese, KD Karthik, SN Khan, HV Patel, MA Starc, VR Aaron, YS Chahal</t>
  </si>
  <si>
    <t>RV Uthappa, G Gambhir, AD Russell, RN ten Doeschate, YK Pathan, SA Yadav, MK Pandey, PJ Cummins, PP Chawla, GB Hogg, UT Yadav</t>
  </si>
  <si>
    <t>DA Warner, S Dhawan, MC Henriques, EJG Morgan, NV Ojha, A Ashish Reddy, GH Vihari, KV Sharma, B Kumar, P Kumar, TA Boult</t>
  </si>
  <si>
    <t>DR Smith, BB McCullum, SK Raina, F du Plessis, MS Dhoni, P Negi, DJ Bravo, RA Jadeja, MM Sharma, A Nehra, RG More</t>
  </si>
  <si>
    <t>LMP Simmons, PA Patel, UBT Chand, RG Sharma, AT Rayudu, KA Pollard, Harbhajan Singh, J Suchith, R Vinay Kumar, MJ McClenaghan, SL Malinga</t>
  </si>
  <si>
    <t>AM Rahane, SR Watson, SV Samson, SPD Smith, KK Nair, STR Binny, DJ Hooda, TG Southee, J Theron, DS Kulkarni, Ankit Sharma</t>
  </si>
  <si>
    <t>MA Agarwal, SS Iyer, SS Tiwary, JP Duminy, Yuvraj Singh, AD Mathews, KM Jadhav, NM Coulter-Nile, A Mishra, Z Khan, Imran Tahir</t>
  </si>
  <si>
    <t>V Sehwag, M Vohra, SE Marsh, WP Saha, DA Miller, GJ Bailey, NLTC Perera, AR Patel, SN Thakur, Anureet Singh, Sandeep Sharma</t>
  </si>
  <si>
    <t>RV Uthappa, G Gambhir, MK Pandey, SA Yadav, AD Russell, RN ten Doeschate, YK Pathan, PJ Cummins, PP Chawla, GB Hogg, UT Yadav</t>
  </si>
  <si>
    <t>DR Smith, BB McCullum, SK Raina, F du Plessis, DJ Bravo, MS Dhoni, RA Jadeja, P Negi, MM Sharma, A Nehra, RG More</t>
  </si>
  <si>
    <t>CH Gayle, V Kohli, AB de Villiers, Mandeep Singh, KD Karthik, SN Khan, D Wiese, HV Patel, MA Starc, VR Aaron, YS Chahal</t>
  </si>
  <si>
    <t>AM Rahane, SR Watson, SPD Smith, KK Nair, SV Samson, STR Binny, DJ Hooda, JP Faulkner, PV Tambe, DS Kulkarni, TG Southee</t>
  </si>
  <si>
    <t>DR Smith, BB McCullum, SK Raina, F du Plessis, MS Dhoni, DJ Bravo, RA Jadeja, R Ashwin, MM Sharma, IC Pandey, A Nehra</t>
  </si>
  <si>
    <t>RV Uthappa, G Gambhir, MK Pandey, SA Yadav, YK Pathan, RN ten Doeschate, AD Russell, PJ Cummins, PP Chawla, UT Yadav, GB Hogg</t>
  </si>
  <si>
    <t>M Vijay, M Vohra, SE Marsh, GJ Bailey, DA Miller, WP Saha, AR Patel, R Dhawan, MG Johnson, Anureet Singh, Sandeep Sharma</t>
  </si>
  <si>
    <t>DA Warner, S Dhawan, GH Vihari, MC Henriques, NV Ojha, RS Bopara, A Ashish Reddy, KV Sharma, P Kumar, B Kumar, TA Boult</t>
  </si>
  <si>
    <t>MA Agarwal, SS Iyer, JP Duminy, Yuvraj Singh, AD Mathews, KM Jadhav, NM Coulter-Nile, A Mishra, S Nadeem, Imran Tahir, DJ Muthuswami</t>
  </si>
  <si>
    <t>CH Gayle, V Kohli, AB de Villiers, Mandeep Singh, KD Karthik, SN Khan, D Wiese, HV Patel, MA Starc, Iqbal Abdulla, VR Aaron</t>
  </si>
  <si>
    <t>BB McCullum</t>
  </si>
  <si>
    <t>DR Smith, BB McCullum, SK Raina, MS Dhoni, RA Jadeja, F du Plessis, DJ Bravo, R Ashwin, MM Sharma, IC Pandey, A Nehra</t>
  </si>
  <si>
    <t>M Vijay, V Sehwag, SE Marsh, GJ Bailey, DA Miller, WP Saha, AR Patel, MG Johnson, Anureet Singh, Karanveer Singh, Sandeep Sharma</t>
  </si>
  <si>
    <t>LMP Simmons, PA Patel, UBT Chand, RG Sharma, KA Pollard, AT Rayudu, Harbhajan Singh, J Suchith, R Vinay Kumar, MJ McClenaghan, SL Malinga</t>
  </si>
  <si>
    <t>S Dhawan, DA Warner, KL Rahul, NV Ojha, RS Bopara, GH Vihari, KV Sharma, P Kumar, DW Steyn, B Kumar, TA Boult</t>
  </si>
  <si>
    <t>Sardar Patel Stadium, Motera</t>
  </si>
  <si>
    <t>AM Rahane, SR Watson, SPD Smith, KK Nair, DJ Hooda, SV Samson, STR Binny, JP Faulkner, CH Morris, DS Kulkarni, PV Tambe</t>
  </si>
  <si>
    <t>CH Gayle, V Kohli, AB de Villiers, Mandeep Singh, KD Karthik, SN Khan, D Wiese, HV Patel, MA Starc, Iqbal Abdulla, YS Chahal</t>
  </si>
  <si>
    <t>MA Agarwal, SS Iyer, JP Duminy, AD Mathews, Yuvraj Singh, KM Jadhav, NM Coulter-Nile, A Mishra, S Nadeem, Imran Tahir, DJ Muthuswami</t>
  </si>
  <si>
    <t>LMP Simmons, PA Patel, UBT Chand, RG Sharma, KA Pollard, AT Rayudu, HH Pandya, Harbhajan Singh, MJ McClenaghan, SL Malinga, JJ Bumrah</t>
  </si>
  <si>
    <t>MS Bisla, RR Rossouw, V Kohli, KD Karthik, AB de Villiers, SN Khan, D Wiese, HV Patel, MA Starc, Iqbal Abdulla, YS Chahal</t>
  </si>
  <si>
    <t>DR Smith, BB McCullum, SK Raina, MS Dhoni, RA Jadeja, F du Plessis, DJ Bravo, R Ashwin, MM Sharma, A Nehra, IC Pandey</t>
  </si>
  <si>
    <t>S Dhawan, DA Warner, RS Bopara, NV Ojha, MC Henriques, KL Rahul, KV Sharma, Bipul Sharma, P Kumar, B Kumar, DW Steyn</t>
  </si>
  <si>
    <t>RV Uthappa, G Gambhir, MK Pandey, AD Russell, YK Pathan, SA Yadav, J Botha, PP Chawla, SP Narine, M Morkel, UT Yadav</t>
  </si>
  <si>
    <t>SE Marsh</t>
  </si>
  <si>
    <t>AM Rahane, SR Watson, DJ Hooda, SPD Smith, KK Nair, JP Faulkner, STR Binny, SV Samson, CH Morris, R Tewatia, PV Tambe</t>
  </si>
  <si>
    <t>M Vijay, V Sehwag, SE Marsh, GJ Maxwell, DA Miller, WP Saha, AR Patel, MG Johnson, Anureet Singh, Shivam Sharma, Sandeep Sharma</t>
  </si>
  <si>
    <t>MA Agarwal, SS Iyer, JP Duminy, MK Tiwary, Yuvraj Singh, AD Mathews, KM Jadhav, NM Coulter-Nile, A Mishra, Imran Tahir, DJ Muthuswami</t>
  </si>
  <si>
    <t>RV Uthappa, G Gambhir, MK Pandey, SA Yadav, YK Pathan, RN ten Doeschate, AD Russell, PP Chawla, SP Narine, M Morkel, UT Yadav</t>
  </si>
  <si>
    <t>AM Rahane, SR Watson, SPD Smith, KK Nair, SV Samson, STR Binny, DJ Hooda, JP Faulkner, CH Morris, PV Tambe, Ankit Sharma</t>
  </si>
  <si>
    <t>DR Smith, BB McCullum, SK Raina, F du Plessis, DJ Bravo, MS Dhoni, RA Jadeja, R Ashwin, MM Sharma, IC Pandey, A Nehra</t>
  </si>
  <si>
    <t>CH Gayle, MS Bisla, V Kohli, KD Karthik, AB de Villiers, RR Rossouw, D Wiese, Iqbal Abdulla, AN Ahmed, VR Aaron, YS Chahal</t>
  </si>
  <si>
    <t>LMP Simmons, PA Patel, UBT Chand, RG Sharma, KA Pollard, AT Rayudu, Harbhajan Singh, HH Pandya, JJ Bumrah, MJ McClenaghan, SL Malinga</t>
  </si>
  <si>
    <t>JP Duminy</t>
  </si>
  <si>
    <t>DA Warner, S Dhawan, RS Bopara, KL Rahul, NV Ojha, EJG Morgan, A Ashish Reddy, KV Sharma, P Kumar, B Kumar, DW Steyn</t>
  </si>
  <si>
    <t>MA Agarwal, SS Iyer, JP Duminy, Yuvraj Singh, AD Mathews, KM Jadhav, MK Tiwary, NM Coulter-Nile, A Mishra, Imran Tahir, DJ Muthuswami</t>
  </si>
  <si>
    <t>M Vijay, V Sehwag, WP Saha, GJ Maxwell, GJ Bailey, NLTC Perera, Gurkeerat Singh, AR Patel, MG Johnson, Anureet Singh, Sandeep Sharma</t>
  </si>
  <si>
    <t>LMP Simmons, PA Patel, CJ Anderson, RG Sharma, Harbhajan Singh, KA Pollard, AT Rayudu, J Suchith, R Vinay Kumar, SL Malinga, P Suyal</t>
  </si>
  <si>
    <t>DA Warner, S Dhawan, KL Rahul, NV Ojha, EJG Morgan, RS Bopara, A Ashish Reddy, KV Sharma, P Kumar, B Kumar, TA Boult</t>
  </si>
  <si>
    <t>AM Rahane, SV Samson, SPD Smith, KK Nair, STR Binny, JP Faulkner, DJ Hooda, CH Morris, TG Southee, DS Kulkarni, PV Tambe</t>
  </si>
  <si>
    <t>M Vijay, V Sehwag, WP Saha, DA Miller, GJ Maxwell, GJ Bailey, AR Patel, R Dhawan, MG Johnson, Anureet Singh, Sandeep Sharma</t>
  </si>
  <si>
    <t>AM Rahane, SV Samson, SPD Smith, DJ Hooda, JP Faulkner, KK Nair, STR Binny, CH Morris, TG Southee, DS Kulkarni, PV Tambe</t>
  </si>
  <si>
    <t>AJ Finch, PA Patel, UBT Chand, RG Sharma, CJ Anderson, KA Pollard, J Suchith, S Gopal, SL Malinga, R Vinay Kumar, P Suyal</t>
  </si>
  <si>
    <t>CH Gayle, V Kohli, KD Karthik, AB de Villiers, Mandeep Singh, DJG Sammy, SA Abbott, HV Patel, AN Ahmed, VR Aaron, YS Chahal</t>
  </si>
  <si>
    <t>DA Warner, S Dhawan, KS Williamson, KL Rahul, NV Ojha, RS Bopara, A Ashish Reddy, KV Sharma, P Kumar, B Kumar, TA Boult</t>
  </si>
  <si>
    <t>GJ Bailey</t>
  </si>
  <si>
    <t>RG Sharma, AJ Finch, AP Tare, AT Rayudu, CJ Anderson, KA Pollard, J Suchith, Harbhajan Singh, R Vinay Kumar, SL Malinga, P Suyal</t>
  </si>
  <si>
    <t>M Vijay, V Sehwag, GJ Maxwell, DA Miller, GJ Bailey, R Dhawan, MG Johnson, WP Saha, AR Patel, Anureet Singh, Sandeep Sharma</t>
  </si>
  <si>
    <t>DJ Hooda</t>
  </si>
  <si>
    <t>MA Agarwal, SS Iyer, JP Duminy, Yuvraj Singh, AD Mathews, MK Tiwary, KM Jadhav, NM Coulter-Nile, A Mishra, Imran Tahir, JD Unadkat</t>
  </si>
  <si>
    <t>AM Rahane, SV Samson, SPD Smith, KK Nair, STR Binny, DJ Hooda, JP Faulkner, CH Morris, TG Southee, DS Kulkarni, PV Tambe</t>
  </si>
  <si>
    <t>DR Smith, BB McCullum, SK Raina, MS Dhoni, RA Jadeja, DJ Bravo, F du Plessis, R Ashwin, MM Sharma, IC Pandey, A Nehra</t>
  </si>
  <si>
    <t>DA Warner, S Dhawan, KL Rahul, NV Ojha, RS Bopara, KS Williamson, KV Sharma, Parvez Rasool, B Kumar, I Sharma, TA Boult</t>
  </si>
  <si>
    <t>RV Uthappa, G Gambhir, MK Pandey, SA Yadav, YK Pathan, AD Russell, Shakib Al Hasan, PP Chawla, SP Narine, KC Cariappa, M Morkel</t>
  </si>
  <si>
    <t>CH Gayle, V Kohli, KD Karthik, Mandeep Singh, AB de Villiers, DJG Sammy, SA Abbott, HV Patel, AN Ahmed, YS Chahal, VR Aaron</t>
  </si>
  <si>
    <t>JP Faulkner</t>
  </si>
  <si>
    <t>V Sehwag, M Vijay, WP Saha, GJ Maxwell, AR Patel, DA Miller, GJ Bailey, MG Johnson, Anureet Singh, Karanveer Singh, Sandeep Sharma</t>
  </si>
  <si>
    <t>DR Smith, BB McCullum, SK Raina, F du Plessis, RA Jadeja, MS Dhoni, DJ Bravo, R Ashwin, MM Sharma, IC Pandey, A Nehra</t>
  </si>
  <si>
    <t>MA Agarwal, CM Gautam, JA Morkel, SS Iyer, KM Jadhav, Yuvraj Singh, JP Duminy, NM Coulter-Nile, A Mishra, Imran Tahir, DJ Muthuswami</t>
  </si>
  <si>
    <t>M Morkel</t>
  </si>
  <si>
    <t>RV Uthappa, G Gambhir, MK Pandey, SA Yadav, YK Pathan, Shakib Al Hasan, AD Russell, PP Chawla, SP Narine, UT Yadav, M Morkel</t>
  </si>
  <si>
    <t>RG Sharma, AJ Finch, AP Tare, AT Rayudu, CJ Anderson, KA Pollard, Harbhajan Singh, SL Malinga, R Vinay Kumar, JJ Bumrah, PP Ojha</t>
  </si>
  <si>
    <t>RV Uthappa, G Gambhir, MK Pandey, YK Pathan, Shakib Al Hasan, RN ten Doeschate, SA Yadav, PP Chawla, SP Narine, M Morkel, UT Yadav</t>
  </si>
  <si>
    <t>V Sehwag, M Vohra, GJ Bailey, WP Saha, GJ Maxwell, DA Miller, AR Patel, MG Johnson, L Balaji, Karanveer Singh, P Awana</t>
  </si>
  <si>
    <t>V Sehwag</t>
  </si>
  <si>
    <t>DR Smith, F du Plessis, SK Raina, BB McCullum, RA Jadeja, DJ Hussey, MS Dhoni, R Ashwin, MM Sharma, IC Pandey, A Nehra</t>
  </si>
  <si>
    <t>V Sehwag, M Vohra, GJ Maxwell, DA Miller, GJ Bailey, WP Saha, MG Johnson, AR Patel, Karanveer Singh, Sandeep Sharma, P Awana</t>
  </si>
  <si>
    <t>DR Smith, F du Plessis, SK Raina, BB McCullum, DJ Hussey, MS Dhoni, RA Jadeja, R Ashwin, MM Sharma, IC Pandey, A Nehra</t>
  </si>
  <si>
    <t>LMP Simmons, MEK Hussey, CJ Anderson, RG Sharma, KA Pollard, AT Rayudu, AP Tare, Harbhajan Singh, P Kumar, PP Ojha, JJ Bumrah</t>
  </si>
  <si>
    <t>V Sehwag, M Vohra, WP Saha, GJ Maxwell, DA Miller, AR Patel, GJ Bailey, R Dhawan, MG Johnson, Karanveer Singh, P Awana</t>
  </si>
  <si>
    <t>RV Uthappa, G Gambhir, MK Pandey, Shakib Al Hasan, YK Pathan, RN ten Doeschate, SA Yadav, PP Chawla, SP Narine, M Morkel, UT Yadav</t>
  </si>
  <si>
    <t>LMP Simmons, MEK Hussey, CJ Anderson, KA Pollard, RG Sharma, AT Rayudu, AP Tare, Harbhajan Singh, S Gopal, PP Ojha, JJ Bumrah</t>
  </si>
  <si>
    <t>SR Watson, SV Samson, KK Nair, BJ Hodge, JP Faulkner, KK Cooper, AM Rahane, AM Nayar, Ankit Sharma, PV Tambe, DS Kulkarni</t>
  </si>
  <si>
    <t>V Sehwag, M Vohra, GJ Maxwell, DA Miller, GJ Bailey, WP Saha, AR Patel, MG Johnson, R Dhawan, Karanveer Singh, P Awana</t>
  </si>
  <si>
    <t>KP Pietersen, MA Agarwal, KD Karthik, KM Jadhav, MK Tiwary, JP Duminy, JDS Neesham, S Nadeem, Mohammed Shami, Imran Tahir, JD Unadkat</t>
  </si>
  <si>
    <t>RV Uthappa, G Gambhir, MK Pandey, YK Pathan, RN ten Doeschate, Shakib Al Hasan, SA Yadav, R Vinay Kumar, M Morkel, UT Yadav, SP Narine</t>
  </si>
  <si>
    <t>DA Warner, S Dhawan, NV Ojha, Y Venugopal Rao, DJG Sammy, S Anirudha, JO Holder, KV Sharma, Parvez Rasool, DW Steyn, B Kumar</t>
  </si>
  <si>
    <t>RR Rossouw, YV Takawale, VH Zol, V Kohli, Yuvraj Singh, AB de Villiers, S Rana, MA Starc, YS Chahal, R Rampaul, SB Jakati</t>
  </si>
  <si>
    <t>DR Smith, F du Plessis, SK Raina, MS Dhoni, DJ Hussey, RA Jadeja, M Manhas, R Ashwin, MM Sharma, S Badree, A Nehra</t>
  </si>
  <si>
    <t>MEK Hussey</t>
  </si>
  <si>
    <t>LMP Simmons, MEK Hussey, RG Sharma, KA Pollard, AT Rayudu, AP Tare, Harbhajan Singh, S Gopal, M de Lange, PP Ojha, JJ Bumrah</t>
  </si>
  <si>
    <t>M Vijay, KP Pietersen, KD Karthik, MK Tiwary, JP Duminy, KM Jadhav, WD Parnell, S Nadeem, JD Unadkat, S Kaul, Imran Tahir</t>
  </si>
  <si>
    <t>V Sehwag, M Vohra, SE Marsh, WP Saha, DA Miller, GJ Bailey, AR Patel, R Dhawan, Karanveer Singh, BE Hendricks, L Balaji</t>
  </si>
  <si>
    <t>AM Rahane, KK Nair, SV Samson, SR Watson, STR Binny, R Tewatia, BJ Hodge, JP Faulkner, KK Cooper, VS Malik, PV Tambe</t>
  </si>
  <si>
    <t>RV Uthappa, G Gambhir, MK Pandey, YK Pathan, Shakib Al Hasan, RN ten Doeschate, SA Yadav, R Vinay Kumar, M Morkel, UT Yadav, SP Narine</t>
  </si>
  <si>
    <t>CH Gayle, YV Takawale, V Kohli, Yuvraj Singh, AB de Villiers, S Rana, MA Starc, AN Ahmed, AB Dinda, YS Chahal, M Muralitharan</t>
  </si>
  <si>
    <t>DR Smith, F du Plessis, SK Raina, DJ Hussey, MS Dhoni, RA Jadeja, M Manhas, R Ashwin, JW Hastings, MM Sharma, P Negi</t>
  </si>
  <si>
    <t>DA Warner, S Dhawan, NV Ojha, AJ Finch, DJG Sammy, Y Venugopal Rao, IK Pathan, KV Sharma, Parvez Rasool, DW Steyn, B Kumar</t>
  </si>
  <si>
    <t>V Sehwag, M Vohra, SE Marsh, GJ Maxwell, GJ Bailey, WP Saha, AR Patel, R Dhawan, BE Hendricks, Shivam Sharma, Sandeep Sharma</t>
  </si>
  <si>
    <t>LMP Simmons, MEK Hussey, AT Rayudu, RG Sharma, KA Pollard, AP Tare, JJ Bumrah, K Santokie, P Kumar, PP Ojha, S Gopal</t>
  </si>
  <si>
    <t>RV Uthappa, G Gambhir, MK Pandey, Shakib Al Hasan, YK Pathan, RN ten Doeschate, SA Yadav, PP Chawla, PJ Cummins, UT Yadav, SP Narine</t>
  </si>
  <si>
    <t>DR Smith, BB McCullum, SK Raina, F du Plessis, MS Dhoni, RA Jadeja, M Manhas, R Ashwin, IC Pandey, MM Sharma, BW Hilfenhaus</t>
  </si>
  <si>
    <t>S Dhawan, DA Warner, NV Ojha, AJ Finch, DJG Sammy, Y Venugopal Rao, IK Pathan, KV Sharma, Parvez Rasool, DW Steyn, B Kumar</t>
  </si>
  <si>
    <t>CH Gayle, PA Patel, V Kohli, Yuvraj Singh, AB de Villiers, S Rana, MA Starc, M Muralitharan, YS Chahal, AN Ahmed, VR Aaron</t>
  </si>
  <si>
    <t>KK Nair, UBT Chand, SR Watson, SV Samson, KK Cooper, Ankit Sharma, STR Binny, BJ Hodge, JP Faulkner, R Bhatia, DS Kulkarni</t>
  </si>
  <si>
    <t>MEK Hussey, LMP Simmons, KA Pollard, RG Sharma, AT Rayudu, AP Tare, Harbhajan Singh, JJ Bumrah, K Santokie, PP Ojha, S Gopal</t>
  </si>
  <si>
    <t>M Vijay, KP Pietersen, KD Karthik, JP Duminy, KM Jadhav, MA Agarwal, MK Tiwary, WD Parnell, Mohammed Shami, Imran Tahir, JD Unadkat</t>
  </si>
  <si>
    <t>V Sehwag, M Vohra, GJ Maxwell, DA Miller, WP Saha, AR Patel, GJ Bailey, R Dhawan, BE Hendricks, Shivam Sharma, Sandeep Sharma</t>
  </si>
  <si>
    <t>DR Smith, BB McCullum, SK Raina, DJ Hussey, MS Dhoni, RA Jadeja, M Manhas, R Ashwin, IC Pandey, MM Sharma, S Badree</t>
  </si>
  <si>
    <t>CH Gayle, PA Patel, V Kohli, AB de Villiers, Yuvraj Singh, S Rana, AN Ahmed, MA Starc, M Muralitharan, YS Chahal, VR Aaron</t>
  </si>
  <si>
    <t>AJ Finch, S Dhawan, NV Ojha, DA Warner, KL Rahul, IK Pathan, DJG Sammy, KV Sharma, DW Steyn, A Mishra, B Kumar</t>
  </si>
  <si>
    <t>RV Uthappa, G Gambhir, MK Pandey, YK Pathan, RN ten Doeschate, Shakib Al Hasan, SA Yadav, PP Chawla, M Morkel, UT Yadav, SP Narine</t>
  </si>
  <si>
    <t>AM Rahane, KK Nair, KK Cooper, SV Samson, STR Binny, BCJ Cutting, JP Faulkner, SPD Smith, R Bhatia, DS Kulkarni, PV Tambe</t>
  </si>
  <si>
    <t>KP Pietersen, MA Agarwal, KD Karthik, JP Duminy, MK Tiwary, LRPL Taylor, KM Jadhav, S Nadeem, Imran Tahir, R Shukla, S Kaul</t>
  </si>
  <si>
    <t>Barabati Stadium</t>
  </si>
  <si>
    <t>Cuttack</t>
  </si>
  <si>
    <t>RV Uthappa, G Gambhir, MK Pandey, YK Pathan, Shakib Al Hasan, RN ten Doeschate, SA Yadav, PP Chawla, M Morkel, UT Yadav, SP Narine</t>
  </si>
  <si>
    <t>LMP Simmons, CM Gautam, AT Rayudu, RG Sharma, CJ Anderson, KA Pollard, AP Tare, Harbhajan Singh, SL Malinga, JJ Bumrah, PP Ojha</t>
  </si>
  <si>
    <t>AJ Finch, S Dhawan, NV Ojha, DA Warner, MC Henriques, IK Pathan, KV Sharma, KL Rahul, DW Steyn, A Mishra, B Kumar</t>
  </si>
  <si>
    <t>V Sehwag, M Vohra, WP Saha, GJ Maxwell, DA Miller, GJ Bailey, AR Patel, MG Johnson, Shivam Sharma, R Dhawan, Sandeep Sharma</t>
  </si>
  <si>
    <t>DR Smith, BB McCullum, SK Raina, F du Plessis, R Ashwin, MS Dhoni, RA Jadeja, V Shankar, IC Pandey, MM Sharma, S Badree</t>
  </si>
  <si>
    <t>Ankit Sharma, SR Watson, AM Rahane, KK Nair, STR Binny, SPD Smith, JP Faulkner, DH Yagnik, R Bhatia, KK Cooper, PV Tambe</t>
  </si>
  <si>
    <t>CH Gayle, PA Patel, V Kohli, AB de Villiers, Yuvraj Singh, S Rana, VH Zol, MA Starc, M Muralitharan, YS Chahal, AN Ahmed</t>
  </si>
  <si>
    <t>Q de Kock, M Vijay, MA Agarwal, KP Pietersen, JP Duminy, KD Karthik, KM Jadhav, R Shukla, Mohammed Shami, Imran Tahir, S Kaul</t>
  </si>
  <si>
    <t>AJ Finch, S Dhawan, KL Rahul, DA Warner, NV Ojha, MC Henriques, IK Pathan, KV Sharma, DW Steyn, A Mishra, B Kumar</t>
  </si>
  <si>
    <t>LMP Simmons, CM Gautam, AT Rayudu, RG Sharma, KA Pollard, CJ Anderson, AP Tare, Harbhajan Singh, SL Malinga, JJ Bumrah, PP Ojha</t>
  </si>
  <si>
    <t>V Sehwag, Mandeep Singh, WP Saha, GJ Maxwell, DA Miller, GJ Bailey, R Dhawan, MG Johnson, AR Patel, P Awana, Sandeep Sharma</t>
  </si>
  <si>
    <t>RV Uthappa, G Gambhir, MK Pandey, JH Kallis, RN ten Doeschate, YK Pathan, SA Yadav, PP Chawla, M Morkel, UT Yadav, SP Narine</t>
  </si>
  <si>
    <t>V Kohli, CH Gayle, VH Zol, AB de Villiers, Yuvraj Singh, JA Morkel, PA Patel, MA Starc, VR Aaron, YS Chahal, AB Dinda</t>
  </si>
  <si>
    <t>AM Rahane, KK Nair, SR Watson, STR Binny, SV Samson, SPD Smith, JP Faulkner, R Bhatia, KW Richardson, PV Tambe, R Tewatia</t>
  </si>
  <si>
    <t>LMP Simmons, CM Gautam, AT Rayudu, RG Sharma, KA Pollard, CJ Anderson, AP Tare, Harbhajan Singh, SL Malinga, JJ Bumrah, P Kumar</t>
  </si>
  <si>
    <t>DR Smith, BB McCullum, SK Raina, F du Plessis, MS Dhoni, RA Jadeja, M Manhas, R Ashwin, IC Pandey, MM Sharma, S Badree</t>
  </si>
  <si>
    <t>DW Steyn</t>
  </si>
  <si>
    <t>Q de Kock, KP Pietersen, MA Agarwal, KD Karthik, LR Shukla, JP Duminy, KM Jadhav, R Shukla, Mohammed Shami, Imran Tahir, S Kaul</t>
  </si>
  <si>
    <t>AJ Finch, S Dhawan, DA Warner, NV Ojha, KL Rahul, MC Henriques, IK Pathan, KV Sharma, DW Steyn, A Mishra, B Kumar</t>
  </si>
  <si>
    <t>CH Gayle, PA Patel, V Kohli, S Rana, AB de Villiers, Yuvraj Singh, JA Morkel, MA Starc, HV Patel, VR Aaron, YS Chahal</t>
  </si>
  <si>
    <t>V Sehwag, Mandeep Singh, GJ Maxwell, DA Miller, GJ Bailey, WP Saha, MG Johnson, AR Patel, Shivam Sharma, L Balaji, Sandeep Sharma</t>
  </si>
  <si>
    <t>AM Rahane, KK Nair, SV Samson, SR Watson, STR Binny, SPD Smith, R Bhatia, JP Faulkner, KW Richardson, DS Kulkarni, PV Tambe</t>
  </si>
  <si>
    <t>S Dhawan, AJ Finch, KL Rahul, NV Ojha, DA Warner, MC Henriques, IK Pathan, KV Sharma, DW Steyn, A Mishra, B Kumar</t>
  </si>
  <si>
    <t>V Sehwag, Mandeep Singh, GJ Maxwell, DA Miller, GJ Bailey, MG Johnson, WP Saha, R Dhawan, AR Patel, M Kartik, Sandeep Sharma</t>
  </si>
  <si>
    <t>DR Smith, BB McCullum, SK Raina, RA Jadeja, F du Plessis, MS Dhoni, M Manhas, R Ashwin, BW Hilfenhaus, IC Pandey, MM Sharma</t>
  </si>
  <si>
    <t>Q de Kock, M Vijay, KP Pietersen, KD Karthik, JP Duminy, LR Shukla, KM Jadhav, WD Parnell, S Nadeem, Mohammed Shami, S Kaul</t>
  </si>
  <si>
    <t>RV Uthappa, G Gambhir, MK Pandey, JH Kallis, Shakib Al Hasan, YK Pathan, RN ten Doeschate, SA Yadav, R Vinay Kumar, SP Narine, UT Yadav</t>
  </si>
  <si>
    <t>BR Dunk, CM Gautam, AT Rayudu, RG Sharma, CJ Anderson, KA Pollard, AP Tare, Harbhajan Singh, JJ Bumrah, SL Malinga, P Suyal</t>
  </si>
  <si>
    <t>CH Gayle, PA Patel, V Kohli, AB de Villiers, Yuvraj Singh, RR Rossouw, MA Starc, HV Patel, VR Aaron, AB Dinda, YS Chahal</t>
  </si>
  <si>
    <t>PV Tambe</t>
  </si>
  <si>
    <t>AM Rahane, KK Nair, SV Samson, SR Watson, STR Binny, SPD Smith, JP Faulkner, R Bhatia, TG Southee, PV Tambe, R Tewatia</t>
  </si>
  <si>
    <t>RV Uthappa, G Gambhir, AD Russell, MK Pandey, Shakib Al Hasan, YK Pathan, RN ten Doeschate, SA Yadav, R Vinay Kumar, SP Narine, UT Yadav</t>
  </si>
  <si>
    <t>Q de Kock, M Vijay, KP Pietersen, KD Karthik, LR Shukla, JP Duminy, KM Jadhav, WD Parnell, S Nadeem, Mohammed Shami, JD Unadkat</t>
  </si>
  <si>
    <t>DR Smith, BB McCullum, SK Raina, MS Dhoni, F du Plessis, M Manhas, RA Jadeja, R Ashwin, BW Hilfenhaus, IC Pandey, MM Sharma</t>
  </si>
  <si>
    <t>CH Gayle, PA Patel, V Kohli, RR Rossouw, AB de Villiers, Yuvraj Singh, MA Starc, HV Patel, AB Dinda, VR Aaron, YS Chahal</t>
  </si>
  <si>
    <t>AJ Finch, S Dhawan, KL Rahul, DA Warner, DJG Sammy, NV Ojha, IK Pathan, KV Sharma, DW Steyn, B Kumar, I Sharma</t>
  </si>
  <si>
    <t>BR Dunk, CM Gautam, AT Rayudu, RG Sharma, CJ Anderson, KA Pollard, AP Tare, Harbhajan Singh, JJ Bumrah, Z Khan, SL Malinga</t>
  </si>
  <si>
    <t>CA Pujara, V Sehwag, WP Saha, GJ Maxwell, GJ Bailey, DA Miller, MG Johnson, R Dhawan, AR Patel, L Balaji, Sandeep Sharma</t>
  </si>
  <si>
    <t>Q de Kock, M Vijay, KP Pietersen, KD Karthik, JP Duminy, KM Jadhav, WD Parnell, S Nadeem, Mohammed Shami, JD Unadkat, R Sharma</t>
  </si>
  <si>
    <t>AM Rahane, KK Nair, SV Samson, R Bhatia, SR Watson, STR Binny, SPD Smith, JP Faulkner, DS Kulkarni, KW Richardson, PV Tambe</t>
  </si>
  <si>
    <t>DR Smith, BB McCullum, SK Raina, MS Dhoni, RA Jadeja, F du Plessis, M Manhas, R Ashwin, BW Hilfenhaus, IC Pandey, MM Sharma</t>
  </si>
  <si>
    <t>RV Uthappa, G Gambhir, JH Kallis, MK Pandey, Shakib Al Hasan, SA Yadav, YK Pathan, AD Russell, PP Chawla, R Vinay Kumar, SP Narine</t>
  </si>
  <si>
    <t>BR Dunk, RG Sharma, CJ Anderson, AT Rayudu, KA Pollard, AP Tare, Harbhajan Singh, CM Gautam, Z Khan, PP Ojha, SL Malinga</t>
  </si>
  <si>
    <t>AJ Finch, S Dhawan, KL Rahul, DA Warner, DJG Sammy, NV Ojha, IK Pathan, KV Sharma, DW Steyn, A Mishra, B Kumar</t>
  </si>
  <si>
    <t>G Gambhir, MS Bisla, JH Kallis, MK Pandey, SA Yadav, Shakib Al Hasan, RV Uthappa, R Vinay Kumar, PP Chawla, SP Narine, M Morkel</t>
  </si>
  <si>
    <t>AM Rahane, KK Nair, SV Samson, SR Watson, STR Binny, SPD Smith, JP Faulkner, R Bhatia, KW Richardson, PV Tambe, Iqbal Abdulla</t>
  </si>
  <si>
    <t>CA Pujara, V Sehwag, WP Saha, GJ Maxwell, DA Miller, GJ Bailey, R Dhawan, MG Johnson, AR Patel, L Balaji, Sandeep Sharma</t>
  </si>
  <si>
    <t>CH Gayle, PA Patel, V Kohli, YV Takawale, AB de Villiers, Yuvraj Singh, JA Morkel, MA Starc, VR Aaron, AB Dinda, YS Chahal</t>
  </si>
  <si>
    <t>AJ Finch, S Dhawan, DA Warner, KL Rahul, Y Venugopal Rao, DJG Sammy, KV Sharma, DW Steyn, A Mishra, B Kumar, I Sharma</t>
  </si>
  <si>
    <t>DR Smith, BB McCullum, SK Raina, MS Dhoni, F du Plessis, RA Jadeja, M Manhas, R Ashwin, BW Hilfenhaus, IC Pandey, MM Sharma</t>
  </si>
  <si>
    <t>M Vijay</t>
  </si>
  <si>
    <t>Q de Kock, M Vijay, JP Duminy, KP Pietersen, KD Karthik, KM Jadhav, LR Shukla, WD Parnell, S Nadeem, Mohammed Shami, JD Unadkat</t>
  </si>
  <si>
    <t>RG Sharma, AP Tare, CJ Anderson, AT Rayudu, MEK Hussey, KA Pollard, CM Gautam, Harbhajan Singh, Z Khan, PP Ojha, SL Malinga</t>
  </si>
  <si>
    <t>MK Pandey, JH Kallis, G Gambhir, CA Lynn, RV Uthappa, YK Pathan, SA Yadav, PP Chawla, SP Narine, UT Yadav, M Morkel</t>
  </si>
  <si>
    <t>CA Pujara, V Sehwag, WP Saha, GJ Maxwell, DA Miller, GJ Bailey, R Dhawan, AR Patel, MG Johnson, L Balaji, Sandeep Sharma</t>
  </si>
  <si>
    <t>AM Rahane, KK Nair, SV Samson, AM Nayar, SR Watson, STR Binny, SPD Smith, R Bhatia, KW Richardson, PV Tambe, TG Southee</t>
  </si>
  <si>
    <t>PA Patel, YV Takawale, V Kohli, Yuvraj Singh, AB de Villiers, S Rana, JA Morkel, MA Starc, R Rampaul, AB Dinda, YS Chahal</t>
  </si>
  <si>
    <t>S Dhawan, AJ Finch, DA Warner, KL Rahul, DJG Sammy, Y Venugopal Rao, KV Sharma, NV Ojha, DW Steyn, A Mishra, B Kumar</t>
  </si>
  <si>
    <t>Q de Kock, M Vijay, KP Pietersen, KD Karthik, JP Duminy, MK Tiwary, LR Shukla, WD Parnell, S Nadeem, Mohammed Shami, JD Unadkat</t>
  </si>
  <si>
    <t>DR Smith, BB McCullum, SK Raina, F du Plessis, MS Dhoni, M Manhas, RA Jadeja, R Ashwin, BW Hilfenhaus, IC Pandey, MM Sharma</t>
  </si>
  <si>
    <t>MEK Hussey, AP Tare, CJ Anderson, RG Sharma, KA Pollard, AT Rayudu, CM Gautam, Harbhajan Singh, Z Khan, PP Ojha, SL Malinga</t>
  </si>
  <si>
    <t>PA Patel, YV Takawale, V Kohli, Yuvraj Singh, AB de Villiers, JA Morkel, MA Starc, AB Dinda, YS Chahal, VR Aaron, M Muralitharan</t>
  </si>
  <si>
    <t>JH Kallis, G Gambhir, MK Pandey, CA Lynn, YK Pathan, RV Uthappa, SA Yadav, R Vinay Kumar, SP Narine, M Morkel, UT Yadav</t>
  </si>
  <si>
    <t>AM Nayar, AM Rahane, SV Samson, SR Watson, STR Binny, SPD Smith, R Bhatia, JP Faulkner, TG Southee, DS Kulkarni, PV Tambe</t>
  </si>
  <si>
    <t>DR Smith, BB McCullum, SK Raina, F du Plessis, MS Dhoni, RA Jadeja, M Manhas, R Ashwin, BW Hilfenhaus, IC Pandey, MM Sharma</t>
  </si>
  <si>
    <t>CA Pujara, V Sehwag, GJ Maxwell, DA Miller, GJ Bailey, MG Johnson, AR Patel, WP Saha, L Balaji, R Dhawan, Sandeep Sharma</t>
  </si>
  <si>
    <t>AJ Finch, S Dhawan, DA Warner, KL Rahul, Y Venugopal Rao, IK Pathan, DJG Sammy, KV Sharma, DW Steyn, A Mishra, B Kumar</t>
  </si>
  <si>
    <t>DR Smith, BB McCullum, SK Raina, F du Plessis, MS Dhoni, RA Jadeja, M Manhas, R Ashwin, BW Hilfenhaus, MM Sharma, IC Pandey</t>
  </si>
  <si>
    <t>MA Agarwal, M Vijay, KD Karthik, MK Tiwary, JP Duminy, LRPL Taylor, JDS Neesham, S Nadeem, Mohammed Shami, JD Unadkat, NM Coulter-Nile</t>
  </si>
  <si>
    <t>AM Nayar, AM Rahane, SV Samson, SR Watson, STR Binny, SPD Smith, JP Faulkner, R Bhatia, KW Richardson, DS Kulkarni, PV Tambe</t>
  </si>
  <si>
    <t>CA Pujara, V Sehwag, WP Saha, GJ Maxwell, DA Miller, GJ Bailey, MG Johnson, M Kartik, AR Patel, P Awana, L Balaji</t>
  </si>
  <si>
    <t>JH Kallis, G Gambhir, MK Pandey, RV Uthappa, Shakib Al Hasan, YK Pathan, SA Yadav, PP Chawla, R Vinay Kumar, SP Narine, M Morkel</t>
  </si>
  <si>
    <t>M Vijay, MA Agarwal, KD Karthik, LRPL Taylor, JP Duminy, MK Tiwary, JDS Neesham, NM Coulter-Nile, S Nadeem, Mohammed Shami, JD Unadkat</t>
  </si>
  <si>
    <t>NJ Maddinson, PA Patel, V Kohli, Yuvraj Singh, AB de Villiers, JA Morkel, S Rana, AB Dinda, MA Starc, YS Chahal, VR Aaron</t>
  </si>
  <si>
    <t>MEK Hussey, AP Tare, AT Rayudu, RG Sharma, KA Pollard, CJ Anderson, Harbhajan Singh, Z Khan, SL Malinga, PP Ojha, JJ Bumrah</t>
  </si>
  <si>
    <t>AJ Finch, S Dhawan, DA Warner, KL Rahul, DJG Sammy, Y Venugopal Rao, KV Sharma, DW Steyn, A Mishra, B Kumar, I Sharma</t>
  </si>
  <si>
    <t>AM Nayar, AM Rahane, SV Samson, SR Watson, STR Binny, BJ Hodge, R Bhatia, JP Faulkner, KW Richardson, DS Kulkarni, PV Tambe</t>
  </si>
  <si>
    <t>DR Smith, BB McCullum, SK Raina, MS Dhoni, DJ Bravo, F du Plessis, RA Jadeja, R Ashwin, P Negi, A Nehra, MM Sharma</t>
  </si>
  <si>
    <t>CA Pujara, V Sehwag, GJ Maxwell, AR Patel, DA Miller, GJ Bailey, WP Saha, MG Johnson, R Dhawan, P Awana, L Balaji</t>
  </si>
  <si>
    <t>MA Agarwal, M Vijay, KD Karthik, MK Tiwary, JP Duminy, LRPL Taylor, JDS Neesham, WD Parnell, S Nadeem, R Sharma, Mohammed Shami</t>
  </si>
  <si>
    <t>PA Patel, NJ Maddinson, V Kohli, Yuvraj Singh, AB de Villiers, JA Morkel, S Rana, AB Dinda, MA Starc, YS Chahal, VR Aaron</t>
  </si>
  <si>
    <t>JH Kallis</t>
  </si>
  <si>
    <t>MEK Hussey, AP Tare, AT Rayudu, RG Sharma, KA Pollard, CJ Anderson, Harbhajan Singh, CM Gautam, SL Malinga, Z Khan, PP Ojha</t>
  </si>
  <si>
    <t>G Gambhir, JH Kallis, MK Pandey, RV Uthappa, YK Pathan, Shakib Al Hasan, SA Yadav, PP Chawla, R Vinay Kumar, SP Narine, M Morkel</t>
  </si>
  <si>
    <t>MEK Hussey, M Vijay, SK Raina, S Badrinath, DJ Bravo, RA Jadeja, MS Dhoni, JA Morkel, CH Morris, R Ashwin, MM Sharma</t>
  </si>
  <si>
    <t>DR Smith, AP Tare, KD Karthik, RG Sharma, AT Rayudu, KA Pollard, Harbhajan Singh, R Dhawan, MG Johnson, SL Malinga, PP Ojha</t>
  </si>
  <si>
    <t>DR Smith, AP Tare, KD Karthik, RG Sharma, KA Pollard, AT Rayudu, Harbhajan Singh, R Dhawan, MG Johnson, SL Malinga, PP Ojha</t>
  </si>
  <si>
    <t>R Dravid, AM Rahane, SR Watson, SV Samson, STR Binny, BJ Hodge, KK Cooper, DH Yagnik, JP Faulkner, VS Malik, SK Trivedi</t>
  </si>
  <si>
    <t>BJ Hodge</t>
  </si>
  <si>
    <t>R Dravid, AM Rahane, SR Watson, DH Yagnik, STR Binny, SV Samson, BJ Hodge, JP Faulkner, KK Cooper, VS Malik, SK Trivedi</t>
  </si>
  <si>
    <t>PA Patel, S Dhawan, GH Vihari, CL White, DJG Sammy, NLTC Perera, BB Samantray, KV Sharma, DW Steyn, A Mishra, I Sharma</t>
  </si>
  <si>
    <t>MEK Hussey, M Vijay, SK Raina, MS Dhoni, RA Jadeja, S Badrinath, DJ Bravo, JA Morkel, CH Morris, R Ashwin, MM Sharma</t>
  </si>
  <si>
    <t>DR Smith, AP Tare, KD Karthik, RG Sharma, KA Pollard, AT Rayudu, Harbhajan Singh, MG Johnson, SL Malinga, PP Ojha, MM Patel</t>
  </si>
  <si>
    <t>PA Patel, S Dhawan, GH Vihari, CL White, NLTC Perera, DJG Sammy, BB Samantray, KV Sharma, A Mishra, DW Steyn, Anand Rajan</t>
  </si>
  <si>
    <t>MS Bisla, G Gambhir, JH Kallis, EJG Morgan, YK Pathan, RN ten Doeschate, P Dogra, SP Narine, Iqbal Abdulla, PJ Sangwan, Mohammed Shami</t>
  </si>
  <si>
    <t>Pune Warriors</t>
  </si>
  <si>
    <t>LJ Wright</t>
  </si>
  <si>
    <t>Subrata Roy Sahara Stadium</t>
  </si>
  <si>
    <t>RV Uthappa, AJ Finch, MK Pandey, Yuvraj Singh, AD Mathews, LJ Wright, RV Gomez, WD Parnell, B Kumar, AG Murtaza, AB Dinda</t>
  </si>
  <si>
    <t>DPMD Jayawardene, DA Warner, B Chipli, V Sehwag, BJ Rohrer, IK Pathan, CM Gautam, M Morkel, UT Yadav, S Nadeem, S Kaul</t>
  </si>
  <si>
    <t>V Kohli, CH Gayle, AB de Villiers, MC Henriques, RP Singh, KL Rahul, SS Tiwary, R Vinay Kumar, Z Khan, R Rampaul, JD Unadkat</t>
  </si>
  <si>
    <t>MEK Hussey, M Vijay, SK Raina, DJ Bravo, MS Dhoni, RA Jadeja, S Badrinath, CH Morris, R Ashwin, JO Holder, MM Sharma</t>
  </si>
  <si>
    <t>Azhar Mahmood</t>
  </si>
  <si>
    <t>Himachal Pradesh Cricket Association Stadium</t>
  </si>
  <si>
    <t>AC Gilchrist, Mandeep Singh, Azhar Mahmood, SE Marsh, DA Miller, M Vohra, Gurkeerat Singh, PP Chawla, P Kumar, P Awana, Sandeep Sharma</t>
  </si>
  <si>
    <t>GJ Maxwell, AP Tare, AT Rayudu, RG Sharma, KD Karthik, KA Pollard, R Dhawan, Harbhajan Singh, NM Coulter-Nile, SL Malinga, DS Kulkarni</t>
  </si>
  <si>
    <t>PA Patel, S Dhawan, GH Vihari, CL White, BB Samantray, DJG Sammy, NLTC Perera, DW Steyn, KV Sharma, A Mishra, I Sharma</t>
  </si>
  <si>
    <t>R Dravid, AM Rahane, SR Watson, SV Samson, STR Binny, BJ Hodge, Sachin Baby, JP Faulkner, KK Cooper, PV Tambe, SK Trivedi</t>
  </si>
  <si>
    <t>AC Gilchrist, SE Marsh, Azhar Mahmood, DA Miller, R Sathish, PP Chawla, Mandeep Singh, M Vohra, P Kumar, P Awana, Sandeep Sharma</t>
  </si>
  <si>
    <t>DPMD Jayawardene, UBT Chand, IK Pathan, DA Warner, V Sehwag, BJ Rohrer, CM Gautam, M Morkel, S Kaul, UT Yadav, A Nehra</t>
  </si>
  <si>
    <t>G Gambhir, MS Bisla, JH Kallis, YK Pathan, RN ten Doeschate, MK Tiwary, DB Das, R Bhatia, SMSM Senanayake, SP Narine, L Balaji</t>
  </si>
  <si>
    <t>RV Uthappa, AJ Finch, MK Pandey, Yuvraj Singh, LJ Wright, AD Mathews, RV Gomez, WD Parnell, B Kumar, AG Murtaza, IC Pandey</t>
  </si>
  <si>
    <t>AP Tare</t>
  </si>
  <si>
    <t>GJ Maxwell, AP Tare, KD Karthik, RG Sharma, KA Pollard, AT Rayudu, Harbhajan Singh, MG Johnson, SL Malinga, DS Kulkarni, PP Ojha</t>
  </si>
  <si>
    <t>R Dravid, AM Rahane, JP Faulkner, SV Samson, SR Watson, STR Binny, DH Yagnik, BJ Hodge, KK Cooper, AA Chavan, PV Tambe</t>
  </si>
  <si>
    <t>AC Gilchrist</t>
  </si>
  <si>
    <t>CA Pujara, CH Gayle, V Kohli, AB de Villiers, MC Henriques, KL Rahul, KB Arun Karthik, R Vinay Kumar, Z Khan, M Muralitharan, JD Unadkat</t>
  </si>
  <si>
    <t>AC Gilchrist, SE Marsh, Azhar Mahmood, DA Miller, R Sathish, Mandeep Singh, M Vohra, PP Chawla, MS Gony, P Awana, Sandeep Sharma</t>
  </si>
  <si>
    <t>MEK Hussey, M Vijay, SK Raina, MS Dhoni, RA Jadeja, DJ Bravo, S Badrinath, JA Morkel, R Ashwin, JO Holder, MM Sharma</t>
  </si>
  <si>
    <t>V Sehwag, UBT Chand, J Botha, DA Warner, KM Jadhav, BJ Rohrer, RE van der Merwe, IK Pathan, UT Yadav, A Nehra, S Kaul</t>
  </si>
  <si>
    <t>DR Smith, SR Tendulkar, KD Karthik, RG Sharma, AT Rayudu, KA Pollard, Harbhajan Singh, MG Johnson, DS Kulkarni, SL Malinga, PP Ojha</t>
  </si>
  <si>
    <t>PA Patel, S Dhawan, GH Vihari, CL White, NLTC Perera, DJG Sammy, BB Samantray, KV Sharma, A Mishra, DW Steyn, I Sharma</t>
  </si>
  <si>
    <t>MS Bisla, G Gambhir, JH Kallis, YK Pathan, MK Tiwary, RN ten Doeschate, R Bhatia, DB Das, SMSM Senanayake, SP Narine, L Balaji</t>
  </si>
  <si>
    <t>CA Pujara, CH Gayle, V Kohli, AB de Villiers, MC Henriques, SS Tiwary, R Vinay Kumar, R Rampaul, A Mithun, M Kartik, JD Unadkat</t>
  </si>
  <si>
    <t>R Dravid, AM Rahane, JP Faulkner, SV Samson, SR Watson, STR Binny, BJ Hodge, DH Yagnik, SK Trivedi, KK Cooper, VS Malik</t>
  </si>
  <si>
    <t>MEK Hussey, M Vijay, SK Raina, MS Dhoni, RA Jadeja, DJ Bravo, S Badrinath, CH Morris, R Ashwin, JO Holder, MM Sharma</t>
  </si>
  <si>
    <t>MG Johnson</t>
  </si>
  <si>
    <t>RV Uthappa, AJ Finch, MK Pandey, Yuvraj Singh, AD Mathews, AM Nayar, KW Richardson, Parvez Rasool, B Kumar, AB Dinda, BAW Mendis</t>
  </si>
  <si>
    <t>DR Smith, SR Tendulkar, KD Karthik, RG Sharma, AT Rayudu, GJ Maxwell, Harbhajan Singh, MG Johnson, SL Malinga, PP Ojha, AN Ahmed</t>
  </si>
  <si>
    <t>AC Gilchrist, Mandeep Singh, SE Marsh, LA Pomersbach, DA Miller, R Sathish, PP Chawla, P Kumar, Harmeet Singh, P Awana, Sandeep Sharma</t>
  </si>
  <si>
    <t>PA Patel, S Dhawan, GH Vihari, CL White, BB Samantray, DJG Sammy, KV Sharma, NLTC Perera, DW Steyn, A Mishra, I Sharma</t>
  </si>
  <si>
    <t>DPMD Jayawardene, V Sehwag, UBT Chand, DA Warner, BJ Rohrer, KM Jadhav, IK Pathan, M Morkel, UT Yadav, S Nadeem, S Kaul</t>
  </si>
  <si>
    <t>CA Pujara, CH Gayle, V Kohli, MC Henriques, AB de Villiers, SS Tiwary, J Syed Mohammad, R Vinay Kumar, R Rampaul, M Kartik, JD Unadkat</t>
  </si>
  <si>
    <t>RV Uthappa, AJ Finch, Yuvraj Singh, UA Birla, AD Mathews, MR Marsh, M Rawat, WD Parnell, B Kumar, Parvez Rasool, K Upadhyay</t>
  </si>
  <si>
    <t>MS Bisla, G Gambhir, JH Kallis, EJG Morgan, RN ten Doeschate, YK Pathan, MK Tiwary, R Bhatia, Iqbal Abdulla, SP Narine, L Balaji</t>
  </si>
  <si>
    <t>KK Cooper</t>
  </si>
  <si>
    <t>Mandeep Singh, AC Gilchrist, SE Marsh, DJ Hussey, DA Miller, MS Gony, R Sathish, PP Chawla, Bipul Sharma, P Kumar, P Awana</t>
  </si>
  <si>
    <t>R Dravid, AM Rahane, SR Watson, SV Samson, BJ Hodge, DH Yagnik, KK Cooper, JP Faulkner, A Chandila, S Sreesanth, SK Trivedi</t>
  </si>
  <si>
    <t>PA Patel, S Dhawan, KC Sangakkara, GH Vihari, DJG Sammy, NLTC Perera, KV Sharma, A Mishra, DW Steyn, I Sharma, A Ashish Reddy</t>
  </si>
  <si>
    <t>MEK Hussey, M Vijay, SK Raina, MS Dhoni, RA Jadeja, S Badrinath, DJ Bravo, CH Morris, R Ashwin, JO Holder, MM Sharma</t>
  </si>
  <si>
    <t>R Dravid, AM Rahane, SR Watson, SV Samson, STR Binny, BJ Hodge, Sachin Baby, JP Faulkner, SK Trivedi, PV Tambe, SW Tait</t>
  </si>
  <si>
    <t>DPMD Jayawardene, V Sehwag, CM Gautam, DA Warner, BJ Rohrer, KM Jadhav, AB Agarkar, M Morkel, UT Yadav, P Negi, S Kaul</t>
  </si>
  <si>
    <t>SR Tendulkar</t>
  </si>
  <si>
    <t>DR Smith, SR Tendulkar, KD Karthik, RG Sharma, KA Pollard, AT Rayudu, Harbhajan Singh, MG Johnson, SL Malinga, PP Ojha, AN Ahmed</t>
  </si>
  <si>
    <t>MS Bisla, G Gambhir, JH Kallis, YK Pathan, EJG Morgan, DB Das, R McLaren, R Bhatia, Iqbal Abdulla, SP Narine, L Balaji</t>
  </si>
  <si>
    <t>Mandeep Singh, SE Marsh, Gurkeerat Singh, DJ Hussey, DA Miller, R Sathish, MG Neser, PP Chawla, P Kumar, MS Gony, P Awana</t>
  </si>
  <si>
    <t>CA Pujara, CH Gayle, V Kohli, AB de Villiers, MC Henriques, SS Tiwary, KB Arun Karthik, R Vinay Kumar, R Rampaul, M Kartik, RP Singh</t>
  </si>
  <si>
    <t>DR Smith, SR Tendulkar, KD Karthik, KA Pollard, RG Sharma, AT Rayudu, Harbhajan Singh, MG Johnson, SL Malinga, PP Ojha, P Suyal</t>
  </si>
  <si>
    <t>MEK Hussey, M Vijay, SK Raina, S Badrinath, DJ Bravo, R Ashwin, MS Dhoni, RA Jadeja, CH Morris, MM Sharma, B Laughlin</t>
  </si>
  <si>
    <t>R Dravid, AM Rahane, SR Watson, BJ Hodge, STR Binny, SV Samson, JP Faulkner, Sachin Baby, KK Cooper, A Chandila, SK Trivedi</t>
  </si>
  <si>
    <t>RV Uthappa, AJ Finch, Yuvraj Singh, MR Marsh, AD Mathews, M Rawat, UA Birla, B Kumar, WD Parnell, K Upadhyay, R Sharma</t>
  </si>
  <si>
    <t>DJG Sammy</t>
  </si>
  <si>
    <t>PA Patel, S Dhawan, A Ashish Reddy, DJG Sammy, KC Sangakkara, GH Vihari, NLTC Perera, KV Sharma, A Mishra, DW Steyn, I Sharma</t>
  </si>
  <si>
    <t>DPMD Jayawardene, V Sehwag, UBT Chand, DA Warner, BMAJ Mendis, KM Jadhav, IK Pathan, J Botha, S Nadeem, A Nehra, UT Yadav</t>
  </si>
  <si>
    <t>G Gambhir, MS Bisla, JH Kallis, YK Pathan, EJG Morgan, DB Das, R Bhatia, S Narwal, SMSM Senanayake, Iqbal Abdulla, SP Narine</t>
  </si>
  <si>
    <t>SR Watson, AM Rahane, JP Faulkner, SV Samson, DH Yagnik, OA Shah, STR Binny, R Dravid, AA Chavan, GB Hogg, SK Trivedi</t>
  </si>
  <si>
    <t>RV Uthappa, AJ Finch, TL Suman, Yuvraj Singh, SPD Smith, AD Mathews, AM Nayar, B Kumar, BAW Mendis, AB Dinda, R Sharma</t>
  </si>
  <si>
    <t>SS Tiwary, CH Gayle, V Kohli, AB de Villiers, MC Henriques, KL Rahul, KB Arun Karthik, R Vinay Kumar, M Kartik, M Muralitharan, RP Singh</t>
  </si>
  <si>
    <t>WP Saha, MEK Hussey, SK Raina, MS Dhoni, JA Morkel, RA Jadeja, S Badrinath, DJ Bravo, CH Morris, R Ashwin, MM Sharma</t>
  </si>
  <si>
    <t>LA Pomersbach, Mandeep Singh, SE Marsh, DJ Hussey, DA Miller, Gurkeerat Singh, R Sathish, MS Gony, PP Chawla, P Kumar, P Awana</t>
  </si>
  <si>
    <t>PA Reddy, S Dhawan, KC Sangakkara, GH Vihari, DJG Sammy, NLTC Perera, A Ashish Reddy, KV Sharma, A Mishra, DW Steyn, I Sharma</t>
  </si>
  <si>
    <t>DR Smith, SR Tendulkar, KD Karthik, RG Sharma, KA Pollard, AT Rayudu, Harbhajan Singh, MG Johnson, SL Malinga, DS Kulkarni, PP Ojha</t>
  </si>
  <si>
    <t>DPMD Jayawardene, V Sehwag, UBT Chand, DA Warner, BJ Rohrer, KM Jadhav, IK Pathan, S Nadeem, M Morkel, UT Yadav, A Nehra</t>
  </si>
  <si>
    <t>MS Bisla, G Gambhir, YK Pathan, JH Kallis, EJG Morgan, DB Das, R Bhatia, S Narwal, B Lee, SP Narine, L Balaji</t>
  </si>
  <si>
    <t>RV Uthappa, AJ Finch, TL Suman, Yuvraj Singh, SPD Smith, LJ Wright, AM Nayar, KW Richardson, B Kumar, R Sharma, AB Dinda</t>
  </si>
  <si>
    <t>MEK Hussey, WP Saha, SK Raina, S Badrinath, MS Dhoni, RA Jadeja, DJ Bravo, JA Morkel, CH Morris, R Ashwin, MM Sharma</t>
  </si>
  <si>
    <t>R Dravid, AM Rahane, SV Samson, SR Watson, BJ Hodge, STR Binny, OA Shah, JP Faulkner, A Chandila, SK Trivedi, S Sreesanth</t>
  </si>
  <si>
    <t>A Mukund, CH Gayle, V Kohli, AB de Villiers, MC Henriques, SS Tiwary, R Rampaul, R Vinay Kumar, M Kartik, RP Singh, JD Unadkat</t>
  </si>
  <si>
    <t>Mandeep Singh, SE Marsh, M Vohra, DJ Hussey, DA Miller, Gurkeerat Singh, Azhar Mahmood, MS Gony, PP Chawla, P Kumar, P Awana</t>
  </si>
  <si>
    <t>DPMD Jayawardene, V Sehwag, UBT Chand, DA Warner, BJ Rohrer, KM Jadhav, IK Pathan, S Nadeem, M Morkel, A Nehra, UT Yadav</t>
  </si>
  <si>
    <t>RV Uthappa, AJ Finch, Yuvraj Singh, LJ Wright, SPD Smith, M Manhas, AM Nayar, B Kumar, AB Dinda, R Sharma, KW Richardson</t>
  </si>
  <si>
    <t>WP Saha, MEK Hussey, SK Raina, MS Dhoni, RA Jadeja, S Badrinath, DJ Bravo, CH Morris, R Ashwin, DP Nannes, MM Sharma</t>
  </si>
  <si>
    <t>MS Bisla, G Gambhir, BB McCullum, JH Kallis, EJG Morgan, YK Pathan, DB Das, R Bhatia, SP Narine, Mohammed Shami, L Balaji</t>
  </si>
  <si>
    <t>CH Gayle, TM Dilshan, V Kohli, AB de Villiers, SS Tiwary, KB Arun Karthik, J Syed Mohammad, R Rampaul, R Vinay Kumar, RP Singh, JD Unadkat</t>
  </si>
  <si>
    <t>R Dravid, AM Rahane, SR Watson, STR Binny, BJ Hodge, DH Yagnik, Sachin Baby, JP Faulkner, KK Cooper, A Chandila, SK Trivedi</t>
  </si>
  <si>
    <t>PA Reddy, S Dhawan, KC Sangakkara, GH Vihari, KV Sharma, NLTC Perera, DJG Sammy, A Mishra, A Ashish Reddy, DW Steyn, I Sharma</t>
  </si>
  <si>
    <t>MS Bisla, G Gambhir, YK Pathan, JH Kallis, EJG Morgan, SMSM Senanayake, DB Das, R Bhatia, SP Narine, S Ladda, L Balaji</t>
  </si>
  <si>
    <t>AC Gilchrist, Mandeep Singh, M Vohra, DJ Hussey, DA Miller, Gurkeerat Singh, Azhar Mahmood, PP Chawla, P Kumar, Harmeet Singh, BA Bhatt</t>
  </si>
  <si>
    <t>MEK Hussey, M Vijay, SK Raina, MS Dhoni, DJ Bravo, RA Jadeja, CH Morris, S Badrinath, R Ashwin, JO Holder, MM Sharma</t>
  </si>
  <si>
    <t>Q de Kock, S Dhawan, GH Vihari, CL White, A Mishra, X Thalaivan Sargunam, DJG Sammy, A Ashish Reddy, KV Sharma, DW Steyn, I Sharma</t>
  </si>
  <si>
    <t>YK Pathan, G Gambhir, JH Kallis, MK Tiwary, EJG Morgan, DB Das, R Bhatia, Iqbal Abdulla, SMSM Senanayake, SP Narine, L Balaji</t>
  </si>
  <si>
    <t>DR Smith, SR Tendulkar, KD Karthik, RG Sharma, KA Pollard, AT Rayudu, Harbhajan Singh, MG Johnson, YS Chahal, PP Ojha, SL Malinga</t>
  </si>
  <si>
    <t>CH Gayle, TM Dilshan, V Kohli, AB de Villiers, SS Tiwary, R Rampaul, KB Arun Karthik, R Vinay Kumar, M Kartik, RP Singh, JD Unadkat</t>
  </si>
  <si>
    <t>RV Uthappa, AJ Finch, Yuvraj Singh, LJ Wright, SPD Smith, MR Marsh, M Manhas, B Kumar, AG Murtaza, IC Pandey, AB Dinda</t>
  </si>
  <si>
    <t>Harmeet Singh</t>
  </si>
  <si>
    <t>DPMD Jayawardene, V Sehwag, RE van der Merwe, DA Warner, MC Juneja, KM Jadhav, J Botha, IK Pathan, AB Agarkar, A Nehra, UT Yadav</t>
  </si>
  <si>
    <t>AC Gilchrist, Mandeep Singh, LA Pomersbach, DA Miller, M Vohra, DJ Hussey, PP Chawla, P Kumar, Harmeet Singh, BA Bhatt, P Awana</t>
  </si>
  <si>
    <t>M Vijay, MEK Hussey, SK Raina, MS Dhoni, RA Jadeja, DJ Bravo, CH Morris, S Badrinath, R Ashwin, JO Holder, MM Sharma</t>
  </si>
  <si>
    <t>SR Watson, AM Rahane, DH Yagnik, R Dravid, STR Binny, BJ Hodge, JP Faulkner, KK Cooper, R Shukla, A Chandila, SK Trivedi</t>
  </si>
  <si>
    <t>DPMD Jayawardene, V Sehwag, DA Warner, Y Venugopal Rao, KM Jadhav, RE van der Merwe, IK Pathan, AD Russell, AB Agarkar, S Nadeem, UT Yadav</t>
  </si>
  <si>
    <t>DR Smith, SR Tendulkar, KD Karthik, RG Sharma, KA Pollard, AT Rayudu, RT Ponting, Harbhajan Singh, JJ Bumrah, MM Patel, SL Malinga</t>
  </si>
  <si>
    <t>AC Gilchrist, Mandeep Singh, Azhar Mahmood, M Vohra, DA Miller, DJ Hussey, Gurkeerat Singh, PP Chawla, MS Gony, P Kumar, P Awana</t>
  </si>
  <si>
    <t>RV Uthappa, AJ Finch, Yuvraj Singh, SPD Smith, LJ Wright, AM Nayar, M Manhas, B Kumar, R Sharma, AB Dinda, BAW Mendis</t>
  </si>
  <si>
    <t>G Gambhir, YK Pathan, JH Kallis, EJG Morgan, MK Tiwary, DB Das, R Bhatia, LR Shukla, SMSM Senanayake, SP Narine, L Balaji</t>
  </si>
  <si>
    <t>MEK Hussey, R Ashwin, M Vijay, SK Raina, MS Dhoni, S Badrinath, RA Jadeja, DJ Bravo, JA Morkel, CH Morris, MM Sharma</t>
  </si>
  <si>
    <t>R Vinay Kumar</t>
  </si>
  <si>
    <t>TM Dilshan, CH Gayle, V Kohli, AB de Villiers, SS Tiwary, KB Arun Karthik, R Rampaul, R Vinay Kumar, M Kartik, RP Singh, JD Unadkat</t>
  </si>
  <si>
    <t>SR Watson, AM Rahane, R Dravid, STR Binny, BJ Hodge, DH Yagnik, JP Faulkner, A Chandila, S Sreesanth, SW Tait, SK Trivedi</t>
  </si>
  <si>
    <t>GH Vihari</t>
  </si>
  <si>
    <t>Q de Kock, PA Reddy, GH Vihari, CL White, BB Samantray, NLTC Perera, A Ashish Reddy, KV Sharma, A Mishra, DW Steyn, I Sharma</t>
  </si>
  <si>
    <t>Mandeep Singh, AC Gilchrist, PC Valthaty, DJ Hussey, PP Chawla, Gurkeerat Singh, Azhar Mahmood, MS Gony, M Vohra, AD Mascarenhas, P Kumar</t>
  </si>
  <si>
    <t>DA Warner, V Sehwag, MC Juneja, DPMD Jayawardene, BMAJ Mendis, KM Jadhav, IK Pathan, AB Agarkar, M Morkel, S Nadeem, UT Yadav</t>
  </si>
  <si>
    <t>MEK Hussey, M Vijay, SK Raina, MS Dhoni, DJ Bravo, S Badrinath, RA Jadeja, JA Morkel, CH Morris, R Ashwin, MM Sharma</t>
  </si>
  <si>
    <t>SR Watson, AM Rahane, DH Yagnik, STR Binny, BJ Hodge, R Dravid, JP Faulkner, KK Cooper, AA Chavan, A Chandila, SK Trivedi</t>
  </si>
  <si>
    <t>SR Tendulkar, RT Ponting, KD Karthik, RG Sharma, KA Pollard, AT Rayudu, R Dhawan, Harbhajan Singh, MG Johnson, SL Malinga, PP Ojha</t>
  </si>
  <si>
    <t>RV Uthappa, AJ Finch, TL Suman, SPD Smith, AD Mathews, MR Marsh, AM Nayar, MK Pandey, B Kumar, R Sharma, AB Dinda</t>
  </si>
  <si>
    <t>PA Patel, Q de Kock, GH Vihari, CL White, BB Samantray, KV Sharma, NLTC Perera, A Mishra, A Ashish Reddy, DW Steyn, I Sharma</t>
  </si>
  <si>
    <t>MS Gony</t>
  </si>
  <si>
    <t>AC Gilchrist, Mandeep Singh, M Vohra, DJ Hussey, DA Miller, Azhar Mahmood, Gurkeerat Singh, MS Gony, PP Chawla, P Kumar, P Awana</t>
  </si>
  <si>
    <t>MS Bisla, G Gambhir, JH Kallis, EJG Morgan, MK Tiwary, YK Pathan, DB Das, R Bhatia, SMSM Senanayake, SP Narine, L Balaji</t>
  </si>
  <si>
    <t>CH Gayle, KL Rahul, V Kohli, AB de Villiers, AB McDonald, KB Arun Karthik, J Syed Mohammad, R Vinay Kumar, R Rampaul, RP Singh, JD Unadkat</t>
  </si>
  <si>
    <t>DA Warner, V Sehwag, MC Juneja, DPMD Jayawardene, BJ Rohrer, KM Jadhav, IK Pathan, M Morkel, S Nadeem, A Nehra, UT Yadav</t>
  </si>
  <si>
    <t>S Anirudha, M Vijay, SK Raina, S Badrinath, RA Jadeja, MS Dhoni, DJ Bravo, JA Morkel, CH Morris, R Ashwin, DP Nannes</t>
  </si>
  <si>
    <t>RV Uthappa, AJ Finch, LRPL Taylor, SPD Smith, MR Marsh, MK Pandey, AM Nayar, TL Suman, B Kumar, R Sharma, AB Dinda</t>
  </si>
  <si>
    <t>SR Watson, AM Rahane, R Dravid, STR Binny, BJ Hodge, SV Samson, JP Faulkner, KK Cooper, SK Trivedi, A Chandila, S Sreesanth</t>
  </si>
  <si>
    <t>Mandeep Singh, AC Gilchrist, M Vohra, DJ Hussey, Gurkeerat Singh, R Sathish, Azhar Mahmood, PP Chawla, RJ Harris, P Kumar, P Awana</t>
  </si>
  <si>
    <t>MS Bisla, G Gambhir, JH Kallis, EJG Morgan, YK Pathan, MK Tiwary, R Bhatia, LR Shukla, SMSM Senanayake, SP Narine, L Balaji</t>
  </si>
  <si>
    <t>PA Patel, CL White, KC Sangakkara, DB Ravi Teja, NLTC Perera, A Ashish Reddy, KV Sharma, GH Vihari, A Mishra, DW Steyn, I Sharma</t>
  </si>
  <si>
    <t>RT Ponting, SR Tendulkar, KD Karthik, RG Sharma, KA Pollard, AT Rayudu, Harbhajan Singh, R Dhawan, MG Johnson, PP Ojha, SL Malinga</t>
  </si>
  <si>
    <t>AJ Finch, RV Uthappa, LRPL Taylor, Yuvraj Singh, TL Suman, AD Mathews, MR Marsh, AM Nayar, B Kumar, R Sharma, AB Dinda</t>
  </si>
  <si>
    <t>MEK Hussey, M Vijay, SK Raina, S Badrinath, MS Dhoni, RA Jadeja, DJ Bravo, CH Morris, R Ashwin, DP Nannes, MM Sharma</t>
  </si>
  <si>
    <t>CH Gayle, MA Agarwal, V Kohli, AB de Villiers, DT Christian, R Rampaul, KB Arun Karthik, J Syed Mohammad, R Vinay Kumar, M Kartik, RP Singh</t>
  </si>
  <si>
    <t>DA Warner, V Sehwag, DPMD Jayawardene, MC Juneja, J Botha, IK Pathan, KM Jadhav, M Morkel, S Nadeem, UT Yadav, S Kaul</t>
  </si>
  <si>
    <t>PA Reddy, PA Patel, KC Sangakkara, GH Vihari, CL White, NLTC Perera, A Ashish Reddy, A Mishra, DW Steyn, I Sharma, Anand Rajan</t>
  </si>
  <si>
    <t>CH Gayle, MA Agarwal, V Kohli, AB de Villiers, MC Henriques, KB Arun Karthik, KL Rahul, R Vinay Kumar, RP Singh, JD Unadkat, M Muralitharan</t>
  </si>
  <si>
    <t>MS Bisla, G Gambhir, JH Kallis, YK Pathan, MK Tiwary, EJG Morgan, R Bhatia, R McLaren, PJ Sangwan, SP Narine, L Balaji</t>
  </si>
  <si>
    <t>RV Uthappa, AJ Finch, LRPL Taylor, Yuvraj Singh, AD Mathews, TL Suman, AM Nayar, MR Marsh, B Kumar, R Sharma, AB Dinda</t>
  </si>
  <si>
    <t>MDKJ Perera, AM Rahane, R Dravid, STR Binny, BJ Hodge, DH Yagnik, JP Faulkner, KK Cooper, S Sreesanth, Harmeet Singh, SK Trivedi</t>
  </si>
  <si>
    <t>Mandeep Singh, AC Gilchrist, M Vohra, DJ Hussey, Gurkeerat Singh, Azhar Mahmood, R Sathish, PP Chawla, RJ Harris, P Kumar, P Awana</t>
  </si>
  <si>
    <t>M Vijay, MEK Hussey, SK Raina, S Badrinath, MS Dhoni, RA Jadeja, DJ Bravo, R Ashwin, DP Nannes, CH Morris, AS Rajpoot</t>
  </si>
  <si>
    <t>MA Agarwal, CH Gayle, V Kohli, AB de Villiers, MC Henriques, KB Arun Karthik, R Vinay Kumar, M Kartik, JD Unadkat, RP Singh, M Muralitharan</t>
  </si>
  <si>
    <t>PA Reddy, PA Patel, KC Sangakkara, CL White, NLTC Perera, A Ashish Reddy, GH Vihari, BB Samantray, A Mishra, DW Steyn, I Sharma</t>
  </si>
  <si>
    <t>UBT Chand, DA Warner, DPMD Jayawardene, MC Juneja, BMAJ Mendis, IK Pathan, KM Jadhav, S Nadeem, M Morkel, A Nehra, UT Yadav</t>
  </si>
  <si>
    <t>SK Trivedi</t>
  </si>
  <si>
    <t>SR Watson, AM Rahane, R Dravid, STR Binny, BJ Hodge, KK Cooper, DH Yagnik, S Sreesanth, SK Trivedi, SW Tait, R Shukla</t>
  </si>
  <si>
    <t>MS Bisla, G Gambhir, JH Kallis, MK Tiwary, EJG Morgan, YK Pathan, LR Shukla, R Bhatia, B Lee, Mohammed Shami, SP Narine</t>
  </si>
  <si>
    <t>RV Uthappa, MK Pandey, TL Suman, MN Samuels, LRPL Taylor, AD Mathews, AM Nayar, MR Marsh, B Kumar, R Sharma, AB Dinda</t>
  </si>
  <si>
    <t>AC Gilchrist, Mandeep Singh, M Vohra, DJ Hussey, Azhar Mahmood, Gurkeerat Singh, R Sathish, PP Chawla, P Awana, P Kumar, RJ Harris</t>
  </si>
  <si>
    <t>PA Reddy, PA Patel, CL White, GH Vihari, KC Sangakkara, NLTC Perera, A Mishra, A Ashish Reddy, DW Steyn, Ankit Sharma, I Sharma</t>
  </si>
  <si>
    <t>CH Gayle, TM Dilshan, V Kohli, KK Nair, MC Henriques, MA Agarwal, KB Arun Karthik, R Vinay Kumar, M Kartik, JD Unadkat, M Muralitharan</t>
  </si>
  <si>
    <t>MEK Hussey, M Vijay, SK Raina, DJ Bravo, S Badrinath, MS Dhoni, RA Jadeja, R Ashwin, B Laughlin, AS Rajpoot, DP Nannes</t>
  </si>
  <si>
    <t>RT Ponting, SR Tendulkar, KD Karthik, RG Sharma, AT Rayudu, KA Pollard, DR Smith, Harbhajan Singh, MG Johnson, MM Patel, PP Ojha</t>
  </si>
  <si>
    <t>R Dravid</t>
  </si>
  <si>
    <t>DA Warner, UBT Chand, DPMD Jayawardene, MC Juneja, AD Russell, J Botha, IK Pathan, NV Ojha, A Nehra, S Nadeem, UT Yadav</t>
  </si>
  <si>
    <t>MDKJ Perera, AM Rahane, R Dravid, STR Binny, BJ Hodge, KK Cooper, AL Menaria, S Sreesanth, R Shukla, SK Trivedi, S Badree</t>
  </si>
  <si>
    <t>PA Reddy, PA Patel, KC Sangakkara, CL White, NLTC Perera, GH Vihari, A Ashish Reddy, DB Ravi Teja, A Mishra, DW Steyn, I Sharma</t>
  </si>
  <si>
    <t>RV Uthappa, MK Pandey, MN Samuels, Yuvraj Singh, LRPL Taylor, AM Nayar, AD Mathews, MR Marsh, B Kumar, R Sharma, AB Dinda</t>
  </si>
  <si>
    <t>CH Gayle, TM Dilshan, V Kohli, MA Agarwal, DT Christian, KK Nair, KB Arun Karthik, R Vinay Kumar, M Kartik, JD Unadkat, M Muralitharan</t>
  </si>
  <si>
    <t>RT Ponting, SR Tendulkar, KD Karthik, RG Sharma, AT Rayudu, KA Pollard, Harbhajan Singh, JJ Bumrah, MG Johnson, JDP Oram, MM Patel</t>
  </si>
  <si>
    <t>MS Bisla, G Gambhir, JH Kallis, MK Tiwary, EJG Morgan, YK Pathan, LR Shukla, R Bhatia, B Lee, SP Narine, L Balaji</t>
  </si>
  <si>
    <t>UBT Chand, DA Warner, DPMD Jayawardene, MC Juneja, NV Ojha, J Botha, IK Pathan, AD Russell, S Nadeem, A Nehra, UT Yadav</t>
  </si>
  <si>
    <t>MS Bisla</t>
  </si>
  <si>
    <t>MS Bisla, G Gambhir, JH Kallis, LR Shukla, YK Pathan, Shakib Al Hasan, MK Tiwary, R Bhatia, Iqbal Abdulla, SP Narine, B Lee</t>
  </si>
  <si>
    <t>MEK Hussey, M Vijay, SK Raina, MS Dhoni, DJ Bravo, RA Jadeja, JA Morkel, R Ashwin, BW Hilfenhaus, SB Jakati, S Badrinath</t>
  </si>
  <si>
    <t>DPMD Jayawardene, DA Warner, V Sehwag, LRPL Taylor, AD Russell, NV Ojha, Y Venugopal Rao, P Negi, Sunny Gupta, UT Yadav, VR Aaron</t>
  </si>
  <si>
    <t>M Vijay, MEK Hussey, SK Raina, MS Dhoni, JA Morkel, DJ Bravo, RA Jadeja, R Ashwin, BW Hilfenhaus, SB Jakati, S Badrinath</t>
  </si>
  <si>
    <t>M Vijay, MEK Hussey, SK Raina, S Badrinath, MS Dhoni, RA Jadeja, DJ Bravo, JA Morkel, R Ashwin, BW Hilfenhaus, SB Jakati</t>
  </si>
  <si>
    <t>SR Tendulkar, DR Smith, RG Sharma, KD Karthik, JEC Franklin, AT Rayudu, KA Pollard, Harbhajan Singh, SL Malinga, DS Kulkarni, RP Singh</t>
  </si>
  <si>
    <t>DA Warner, V Sehwag, NV Ojha, DPMD Jayawardene, Y Venugopal Rao, P Negi, LRPL Taylor, IK Pathan, M Morkel, UT Yadav, VR Aaron</t>
  </si>
  <si>
    <t>BB McCullum, G Gambhir, JH Kallis, Shakib Al Hasan, YK Pathan, LR Shukla, DB Das, R Bhatia, Iqbal Abdulla, SP Narine, L Balaji</t>
  </si>
  <si>
    <t>Deccan Chargers</t>
  </si>
  <si>
    <t>S Dhawan, PA Reddy, KC Sangakkara, CL White, JP Duminy, PA Patel, A Ashish Reddy, DW Steyn, A Mishra, MS Gony, V Pratap Singh</t>
  </si>
  <si>
    <t>CH Gayle, TM Dilshan, V Kohli, SS Tiwary, AB de Villiers, MA Agarwal, Z Khan, R Vinay Kumar, HV Patel, M Muralitharan, P Parameswaran</t>
  </si>
  <si>
    <t>R Dravid, AM Rahane, SR Watson, STR Binny, OA Shah, AL Menaria, DH Yagnik, GB Hogg, SW Tait, SK Trivedi, A Chandila</t>
  </si>
  <si>
    <t>SR Tendulkar, DR Smith, RG Sharma, KD Karthik, JEC Franklin, AT Rayudu, KA Pollard, Harbhajan Singh, SL Malinga, RP Singh, DS Kulkarni</t>
  </si>
  <si>
    <t>AC Gilchrist, Mandeep Singh, PC Valthaty, DJ Hussey, SD Chitnis, Azhar Mahmood, Gurkeerat Singh, PP Chawla, RJ Harris, P Kumar, P Awana</t>
  </si>
  <si>
    <t>UBT Chand, DA Warner, Y Venugopal Rao, IK Pathan, DPMD Jayawardene, NV Ojha, AD Russell, P Negi, VR Aaron, M Morkel, UT Yadav</t>
  </si>
  <si>
    <t>Shakib Al Hasan</t>
  </si>
  <si>
    <t>RV Uthappa, JD Ryder, MJ Clarke, SC Ganguly, AP Majumdar, CJ Ferguson, Harpreet Singh, WD Parnell, B Kumar, AG Murtaza, A Nehra</t>
  </si>
  <si>
    <t>BB McCullum, G Gambhir, JH Kallis, Shakib Al Hasan, MK Tiwary, YK Pathan, DB Das, R Bhatia, Iqbal Abdulla, SP Narine, L Balaji</t>
  </si>
  <si>
    <t>PA Reddy, S Dhawan, JP Duminy, CL White, CA Lynn, PA Patel, A Ashish Reddy, A Mishra, DW Steyn, MS Gony, V Pratap Singh</t>
  </si>
  <si>
    <t>R Dravid, AM Rahane, SR Watson, STR Binny, OA Shah, AL Menaria, J Botha, SP Goswami, A Chandila, SW Tait, SK Trivedi</t>
  </si>
  <si>
    <t>UBT Chand, DA Warner, Y Venugopal Rao, DPMD Jayawardene, LRPL Taylor, NV Ojha, AD Russell, IK Pathan, P Negi, UT Yadav, VR Aaron</t>
  </si>
  <si>
    <t>CH Gayle, TM Dilshan, V Kohli, AB de Villiers, SS Tiwary, MA Agarwal, R Vinay Kumar, Z Khan, HV Patel, P Parameswaran, M Muralitharan</t>
  </si>
  <si>
    <t>AC Gilchrist, Mandeep Singh, N Saini, DJ Hussey, SD Chitnis, Azhar Mahmood, Gurkeerat Singh, PP Chawla, RJ Harris, P Kumar, P Awana</t>
  </si>
  <si>
    <t>M Vijay, MEK Hussey, SK Raina, MS Dhoni, DJ Bravo, RA Jadeja, JA Morkel, S Anirudha, R Ashwin, BW Hilfenhaus, VY Mahesh</t>
  </si>
  <si>
    <t>HH Gibbs, SR Tendulkar, KD Karthik, RG Sharma, AT Rayudu, KA Pollard, DR Smith, Harbhajan Singh, SL Malinga, RP Singh, MM Patel</t>
  </si>
  <si>
    <t>G Gambhir, BB McCullum, JH Kallis, MK Tiwary, Shakib Al Hasan, YK Pathan, DB Das, R Bhatia, SP Narine, L Balaji, Iqbal Abdulla</t>
  </si>
  <si>
    <t>DA Warner, V Sehwag, Y Venugopal Rao, DPMD Jayawardene, LRPL Taylor, NV Ojha, IK Pathan, P Negi, M Morkel, VR Aaron, UT Yadav</t>
  </si>
  <si>
    <t>Mandeep Singh, SE Marsh, N Saini, DJ Hussey, DA Miller, Azhar Mahmood, Gurkeerat Singh, PP Chawla, P Kumar, P Awana, Harmeet Singh</t>
  </si>
  <si>
    <t>G Gambhir, BB McCullum, JH Kallis, MK Tiwary, YK Pathan, DB Das, LR Shukla, R Bhatia, SP Narine, L Balaji, M de Lange</t>
  </si>
  <si>
    <t>MEK Hussey, M Vijay, SK Raina, F du Plessis, MS Dhoni, DJ Bravo, RA Jadeja, S Anirudha, R Ashwin, BW Hilfenhaus, SB Jakati</t>
  </si>
  <si>
    <t>CH Gayle, TM Dilshan, V Kohli, SS Tiwary, AB de Villiers, MA Agarwal, R Vinay Kumar, Z Khan, HV Patel, M Muralitharan, KP Appanna</t>
  </si>
  <si>
    <t>HH Gibbs, SR Tendulkar, RG Sharma, KD Karthik, AT Rayudu, DR Smith, KA Pollard, Harbhajan Singh, SL Malinga, RP Singh, MM Patel</t>
  </si>
  <si>
    <t>DJ Hussey</t>
  </si>
  <si>
    <t>N Saini, Mandeep Singh, SE Marsh, Azhar Mahmood, DJ Hussey, SD Chitnis, PP Chawla, Gurkeerat Singh, P Kumar, P Awana, RJ Harris</t>
  </si>
  <si>
    <t>S Dhawan, PA Patel, KC Sangakkara, CL White, DT Christian, PA Reddy, AA Jhunjhunwala, A Mishra, DW Steyn, MS Gony, TP Sudhindra</t>
  </si>
  <si>
    <t>A Chandila</t>
  </si>
  <si>
    <t>R Dravid, AM Rahane, SR Watson, BJ Hodge, STR Binny, J Botha, SP Goswami, AL Menaria, SW Tait, SK Trivedi, A Chandila</t>
  </si>
  <si>
    <t>SC Ganguly, JD Ryder, RV Uthappa, AP Majumdar, CJ Ferguson, SPD Smith, AD Mathews, B Kumar, M Kartik, R Sharma, A Nehra</t>
  </si>
  <si>
    <t>BW Hilfenhaus</t>
  </si>
  <si>
    <t>MEK Hussey, M Vijay, SK Raina, MS Dhoni, RA Jadeja, S Anirudha, DJ Bravo, JA Morkel, R Ashwin, BW Hilfenhaus, SB Jakati</t>
  </si>
  <si>
    <t>DA Warner, V Sehwag, NV Ojha, DPMD Jayawardene, Y Venugopal Rao, Y Nagar, IK Pathan, RE van der Merwe, M Morkel, VR Aaron, UT Yadav</t>
  </si>
  <si>
    <t>MS Bisla, G Gambhir, JH Kallis, MK Tiwary, YK Pathan, DB Das, Shakib Al Hasan, LR Shukla, R Bhatia, B Lee, SP Narine</t>
  </si>
  <si>
    <t>HH Gibbs, SR Tendulkar, RG Sharma, KD Karthik, AT Rayudu, DR Smith, KA Pollard, Harbhajan Singh, SL Malinga, PP Ojha, MM Patel</t>
  </si>
  <si>
    <t>MD Mishra, MJ Clarke, MK Pandey, RV Uthappa, AP Majumdar, AD Mathews, SPD Smith, B Kumar, AC Thomas, R Sharma, K Upadhyay</t>
  </si>
  <si>
    <t>R Dravid, AM Rahane, SR Watson, STR Binny, BJ Hodge, J Botha, AL Menaria, DH Yagnik, SW Tait, SK Trivedi, Pankaj Singh</t>
  </si>
  <si>
    <t>MEK Hussey, M Vijay, SK Raina, DJ Bravo, MS Dhoni, RA Jadeja, JA Morkel, S Anirudha, R Ashwin, BW Hilfenhaus, VY Mahesh</t>
  </si>
  <si>
    <t>DJ Harris, S Dhawan, KC Sangakkara, CL White, JP Duminy, PA Patel, Ankit Sharma, A Ashish Reddy, A Mishra, MS Gony, TP Sudhindra</t>
  </si>
  <si>
    <t>V Sehwag, DA Warner, NV Ojha, DPMD Jayawardene, Y Nagar, AD Russell, Y Venugopal Rao, IK Pathan, M Morkel, S Nadeem, VR Aaron</t>
  </si>
  <si>
    <t>JEC Franklin, SR Tendulkar, RG Sharma, KD Karthik, AT Rayudu, DR Smith, KA Pollard, Harbhajan Singh, SL Malinga, PP Ojha, RP Singh</t>
  </si>
  <si>
    <t>TM Dilshan, CH Gayle, V Kohli, AB de Villiers, MA Agarwal, SS Tiwary, J Syed Mohammad, R Vinay Kumar, Z Khan, HV Patel, M Muralitharan</t>
  </si>
  <si>
    <t>SC Ganguly, MJ Clarke, RV Uthappa, AP Majumdar, SPD Smith, AD Mathews, M Manhas, WD Parnell, B Kumar, M Kartik, A Nehra</t>
  </si>
  <si>
    <t>R Dravid, AM Rahane, SR Watson, AL Menaria, OA Shah, AA Chavan, J Botha, STR Binny, DH Yagnik, SW Tait, SK Trivedi</t>
  </si>
  <si>
    <t>DJ Harris, S Dhawan, PA Patel, CL White, KC Sangakkara, PA Reddy, AA Jhunjhunwala, A Ashish Reddy, J Theron, A Mishra, V Pratap Singh</t>
  </si>
  <si>
    <t>Mandeep Singh, SE Marsh, N Saini, DJ Hussey, Azhar Mahmood, DA Miller, SD Chitnis, PP Chawla, RR Powar, P Kumar, P Awana</t>
  </si>
  <si>
    <t>DA Warner, V Sehwag, DPMD Jayawardene, LRPL Taylor, IK Pathan, Y Nagar, NV Ojha, M Morkel, S Nadeem, VR Aaron, UT Yadav</t>
  </si>
  <si>
    <t>BB McCullum, G Gambhir, JH Kallis, MK Tiwary, YK Pathan, DB Das, LR Shukla, R Bhatia, B Lee, PJ Sangwan, SP Narine</t>
  </si>
  <si>
    <t>JEC Franklin, SR Tendulkar, RG Sharma, KD Karthik, AT Rayudu, DR Smith, RJ Peterson, Harbhajan Singh, SL Malinga, RP Singh, MM Patel</t>
  </si>
  <si>
    <t>M Vijay, F du Plessis, SK Raina, DJ Bravo, MS Dhoni, JA Morkel, RA Jadeja, S Badrinath, R Ashwin, SB Jakati, BW Hilfenhaus</t>
  </si>
  <si>
    <t>TM Dilshan, CH Gayle, V Kohli, AUK Pathan, AB de Villiers, MA Agarwal, J Syed Mohammad, Z Khan, A Mithun, P Parameswaran, M Muralitharan</t>
  </si>
  <si>
    <t>DJ Harris, S Dhawan, CL White, KC Sangakkara, PA Patel, PA Reddy, A Ashish Reddy, A Mishra, DW Steyn, Anand Rajan, V Pratap Singh</t>
  </si>
  <si>
    <t>SE Marsh, Mandeep Singh, N Saini, DJ Hussey, Azhar Mahmood, Gurkeerat Singh, AM Nayar, PP Chawla, RJ Harris, P Kumar, P Awana</t>
  </si>
  <si>
    <t>R Dravid, AM Rahane, SR Watson, AL Menaria, BJ Hodge, J Botha, STR Binny, AA Chavan, DH Yagnik, SW Tait, SK Trivedi</t>
  </si>
  <si>
    <t>G Gambhir, BB McCullum, YK Pathan, JH Kallis, DB Das, LR Shukla, MK Tiwary, R Bhatia, SP Narine, M de Lange, Iqbal Abdulla</t>
  </si>
  <si>
    <t>RV Uthappa, MJ Clarke, MK Pandey, SPD Smith, M Manhas, AD Mathews, SC Ganguly, WD Parnell, B Kumar, M Kartik, AB Dinda</t>
  </si>
  <si>
    <t>F du Plessis, M Vijay, SK Raina, MS Dhoni, JA Morkel, RA Jadeja, DJ Bravo, S Badrinath, R Ashwin, SB Jakati, BW Hilfenhaus</t>
  </si>
  <si>
    <t>PA Patel, S Dhawan, CL White, KC Sangakkara, DT Christian, A Ashish Reddy, AA Jhunjhunwala, Ankit Sharma, A Mishra, DW Steyn, V Pratap Singh</t>
  </si>
  <si>
    <t>RV Uthappa, JD Ryder, MJ Clarke, SC Ganguly, SPD Smith, M Manhas, WD Parnell, B Kumar, M Kartik, A Nehra, AB Dinda</t>
  </si>
  <si>
    <t>JEC Franklin, SR Tendulkar, RG Sharma, RJ Peterson, KD Karthik, AT Rayudu, NLTC Perera, Harbhajan Singh, SL Malinga, PP Ojha, MM Patel</t>
  </si>
  <si>
    <t>MA Agarwal, CH Gayle, V Kohli, AB de Villiers, AB McDonald, AUK Pathan, SS Tiwary, DL Vettori, R Vinay Kumar, Z Khan, KP Appanna</t>
  </si>
  <si>
    <t>Mandeep Singh, SE Marsh, N Saini, DJ Hussey, Azhar Mahmood, AM Nayar, P Dogra, PP Chawla, RJ Harris, P Kumar, P Awana</t>
  </si>
  <si>
    <t>R Dravid, AM Rahane, SR Watson, OA Shah, BJ Hodge, AL Menaria, SP Goswami, AA Chavan, GB Hogg, A Singh, Pankaj Singh</t>
  </si>
  <si>
    <t>DPMD Jayawardene, V Sehwag, KP Pietersen, LRPL Taylor, Y Nagar, NV Ojha, IK Pathan, P Negi, M Morkel, S Nadeem, UT Yadav</t>
  </si>
  <si>
    <t>KC Sangakkara</t>
  </si>
  <si>
    <t>PA Patel, S Dhawan, CL White, KC Sangakkara, JP Duminy, BB Samantray, Ankit Sharma, A Ashish Reddy, A Mishra, DW Steyn, V Pratap Singh</t>
  </si>
  <si>
    <t>MK Pandey, MJ Clarke, SC Ganguly, SPD Smith, RV Uthappa, M Manhas, MN Samuels, WD Parnell, M Kartik, B Kumar, A Nehra</t>
  </si>
  <si>
    <t>F du Plessis, MEK Hussey, SK Raina, DJ Bravo, MS Dhoni, RA Jadeja, JA Morkel, S Badrinath, R Ashwin, SB Jakati, VY Mahesh</t>
  </si>
  <si>
    <t>G Gambhir, BB McCullum, JH Kallis, MK Tiwary, YK Pathan, DB Das, LR Shukla, R Bhatia, SP Narine, B Lee, Iqbal Abdulla</t>
  </si>
  <si>
    <t>DPMD Jayawardene, V Sehwag, KP Pietersen, LRPL Taylor, Y Nagar, NV Ojha, IK Pathan, AB Agarkar, M Morkel, S Nadeem, UT Yadav</t>
  </si>
  <si>
    <t>R Dravid, AM Rahane, BJ Hodge, OA Shah, SP Goswami, AL Menaria, KK Cooper, GB Hogg, AA Chavan, A Singh, Pankaj Singh</t>
  </si>
  <si>
    <t>RE Levi, SR Tendulkar, RG Sharma, KD Karthik, JEC Franklin, AT Rayudu, RJ Peterson, Harbhajan Singh, SL Malinga, RP Singh, MM Patel</t>
  </si>
  <si>
    <t>PA Patel, S Dhawan, IR Jaggi, CL White, JP Duminy, DT Christian, B Chipli, A Ashish Reddy, A Mishra, DW Steyn, V Pratap Singh</t>
  </si>
  <si>
    <t>F du Plessis, S Badrinath, SK Raina, WP Saha, RA Jadeja, MS Dhoni, DJ Bravo, JA Morkel, KMDN Kulasekara, R Ashwin, SB Jakati</t>
  </si>
  <si>
    <t>Mandeep Singh, SE Marsh, Azhar Mahmood, DA Miller, DJ Hussey, Bipul Sharma, PP Chawla, N Saini, P Kumar, P Awana, BA Bhatt</t>
  </si>
  <si>
    <t>BB McCullum, G Gambhir, JH Kallis, YK Pathan, MK Tiwary, LR Shukla, R Bhatia, DB Das, SP Narine, B Lee, Iqbal Abdulla</t>
  </si>
  <si>
    <t>TM Dilshan, CH Gayle, V Kohli, AB de Villiers, SS Tiwary, MA Agarwal, DL Vettori, R Vinay Kumar, Z Khan, HV Patel, KP Appanna</t>
  </si>
  <si>
    <t>DPMD Jayawardene, V Sehwag, KP Pietersen, IK Pathan, LRPL Taylor, Y Nagar, NV Ojha, M Morkel, S Nadeem, UT Yadav, AB Agarkar</t>
  </si>
  <si>
    <t>AC Blizzard, SR Tendulkar, RG Sharma, KD Karthik, AT Rayudu, KA Pollard, RJ Peterson, Harbhajan Singh, SL Malinga, RP Singh, R Shukla</t>
  </si>
  <si>
    <t>CL White</t>
  </si>
  <si>
    <t>MK Pandey, JD Ryder, SC Ganguly, RV Uthappa, MN Samuels, SPD Smith, M Manhas, AC Thomas, B Kumar, R Sharma, A Nehra</t>
  </si>
  <si>
    <t>PA Patel, S Dhawan, CL White, KC Sangakkara, JP Duminy, IR Jaggi, Ankit Sharma, A Ashish Reddy, A Mishra, J Theron, MS Gony</t>
  </si>
  <si>
    <t>N Saini, Mandeep Singh, SE Marsh, DJ Hussey, DA Miller, SD Chitnis, Azhar Mahmood, PP Chawla, BA Bhatt, P Kumar, P Awana</t>
  </si>
  <si>
    <t>JEC Franklin, SR Tendulkar, RG Sharma, KD Karthik, KA Pollard, AT Rayudu, Harbhajan Singh, RJ Peterson, RP Singh, MM Patel, CJ McKay</t>
  </si>
  <si>
    <t>JD Ryder, MK Pandey, SC Ganguly, RV Uthappa, SPD Smith, LJ Wright, AC Thomas, M Manhas, M Kartik, R Sharma, A Nehra</t>
  </si>
  <si>
    <t>DPMD Jayawardene, V Sehwag, KP Pietersen, LRPL Taylor, NV Ojha, IK Pathan, Y Nagar, M Morkel, P Negi, S Nadeem, UT Yadav</t>
  </si>
  <si>
    <t>R Dravid, AM Rahane, OA Shah, SP Goswami, BJ Hodge, STR Binny, KK Cooper, GB Hogg, Pankaj Singh, SK Trivedi, A Chandila</t>
  </si>
  <si>
    <t>V Kohli, TM Dilshan, MA Agarwal, CH Gayle, AB de Villiers, SS Tiwary, DL Vettori, R Vinay Kumar, Z Khan, HV Patel, KP Appanna</t>
  </si>
  <si>
    <t>JEC Franklin, SR Tendulkar, RG Sharma, KD Karthik, KA Pollard, Harbhajan Singh, NLTC Perera, AT Rayudu, PP Ojha, RP Singh, MM Patel</t>
  </si>
  <si>
    <t>N Saini, Mandeep Singh, SE Marsh, DJ Hussey, Azhar Mahmood, DA Miller, SD Chitnis, PP Chawla, BA Bhatt, P Kumar, P Awana</t>
  </si>
  <si>
    <t>B Lee</t>
  </si>
  <si>
    <t>KC Sangakkara, S Dhawan, PA Patel, CL White, JP Duminy, IR Jaggi, Ankit Sharma, DW Steyn, A Mishra, Anand Rajan, V Pratap Singh</t>
  </si>
  <si>
    <t>BB McCullum, G Gambhir, MS Bisla, JH Kallis, YK Pathan, MK Tiwary, DB Das, R Bhatia, SP Narine, L Balaji, B Lee</t>
  </si>
  <si>
    <t>SC Ganguly</t>
  </si>
  <si>
    <t>DPMD Jayawardene, V Sehwag, KP Pietersen, IK Pathan, P Negi, LRPL Taylor, Y Nagar, NV Ojha, M Morkel, S Nadeem, UT Yadav</t>
  </si>
  <si>
    <t>RV Uthappa, JD Ryder, SC Ganguly, SPD Smith, AD Mathews, MK Pandey, AC Thomas, M Manhas, M Kartik, R Sharma, A Nehra</t>
  </si>
  <si>
    <t>S Badrinath, F du Plessis, SK Raina, MS Dhoni, DJ Bravo, RA Jadeja, WP Saha, R Ashwin, KMDN Kulasekara, SB Jakati, DE Bollinger</t>
  </si>
  <si>
    <t>R Dravid, AM Rahane, OA Shah, AL Menaria, BJ Hodge, SP Goswami, STR Binny, KK Cooper, GB Hogg, A Singh, SK Trivedi</t>
  </si>
  <si>
    <t>N Saini, PC Valthaty, SE Marsh, DJ Hussey, DA Miller, Mandeep Singh, Azhar Mahmood, PP Chawla, P Awana, P Kumar, Harmeet Singh</t>
  </si>
  <si>
    <t>MA Agarwal, CH Gayle, V Kohli, SS Tiwary, AB de Villiers, AB McDonald, DL Vettori, KB Arun Karthik, R Vinay Kumar, HV Patel, Z Khan</t>
  </si>
  <si>
    <t>KP Pietersen</t>
  </si>
  <si>
    <t>NV Ojha, V Sehwag, KP Pietersen, DPMD Jayawardene, LRPL Taylor, IK Pathan, Y Nagar, AB Agarkar, M Morkel, UT Yadav, S Nadeem</t>
  </si>
  <si>
    <t>KC Sangakkara, S Dhawan, PA Patel, DT Christian, JP Duminy, B Chipli, AA Jhunjhunwala, DW Steyn, A Mishra, Ankit Sharma, V Pratap Singh</t>
  </si>
  <si>
    <t>KMDN Kulasekara</t>
  </si>
  <si>
    <t>F du Plessis, S Badrinath, SK Raina, MS Dhoni, DJ Bravo, RA Jadeja, WP Saha, KMDN Kulasekara, R Ashwin, SB Jakati, DE Bollinger</t>
  </si>
  <si>
    <t>RV Uthappa, JD Ryder, SC Ganguly, MK Pandey, MN Samuels, SPD Smith, AD Mathews, B Kumar, M Kartik, R Sharma, A Nehra</t>
  </si>
  <si>
    <t>AC Gilchrist, PC Valthaty, SE Marsh, Mandeep Singh, DJ Hussey, P Dogra, AD Mascarenhas, PP Chawla, Harmeet Singh, P Kumar, BA Bhatt</t>
  </si>
  <si>
    <t>BB McCullum, G Gambhir, MS Bisla, JH Kallis, MK Tiwary, YK Pathan, R Bhatia, DB Das, SP Narine, L Balaji, B Lee</t>
  </si>
  <si>
    <t>TM Dilshan, CH Gayle, MA Agarwal, V Kohli, SS Tiwary, AB de Villiers, DL Vettori, R Vinay Kumar, Z Khan, HV Patel, KP Appanna</t>
  </si>
  <si>
    <t>RV Uthappa, JD Ryder, SC Ganguly, MN Samuels, SPD Smith, AD Mathews, M Manhas, B Kumar, R Sharma, AB Dinda, A Nehra</t>
  </si>
  <si>
    <t>R Dravid, AM Rahane, AL Menaria, OA Shah, BJ Hodge, J Botha, DH Yagnik, GB Hogg, A Singh, SK Trivedi, Pankaj Singh</t>
  </si>
  <si>
    <t>KC Sangakkara, S Dhawan, DT Christian, JP Duminy, B Chipli, T Mishra, AA Jhunjhunwala, Ankit Sharma, A Mishra, DW Steyn, Anand Rajan</t>
  </si>
  <si>
    <t>RE Levi, DJ Jacobs, RG Sharma, AT Rayudu, KA Pollard, KD Karthik, Harbhajan Singh, CJ McKay, RP Singh, PP Ojha, MM Patel</t>
  </si>
  <si>
    <t>JH Kallis, G Gambhir, MS Bisla, MK Tiwary, Shakib Al Hasan, YK Pathan, DB Das, RN ten Doeschate, R Bhatia, SP Narine, JD Unadkat</t>
  </si>
  <si>
    <t>AC Gilchrist, Mandeep Singh, SE Marsh, DJ Hussey, P Dogra, Bipul Sharma, AD Mascarenhas, PP Chawla, P Kumar, Harmeet Singh, BA Bhatt</t>
  </si>
  <si>
    <t>MA Agarwal, CH Gayle, V Kohli, AB de Villiers, SS Tiwary, M Kaif, DL Vettori, R Vinay Kumar, Z Khan, S Aravind, M Muralitharan</t>
  </si>
  <si>
    <t>R Dravid, AM Rahane, OA Shah, BJ Hodge, AL Menaria, J Botha, GB Hogg, SP Goswami, A Singh, SK Trivedi, Pankaj Singh</t>
  </si>
  <si>
    <t>JD Ryder</t>
  </si>
  <si>
    <t>RV Uthappa, JD Ryder, SC Ganguly, MN Samuels, SPD Smith, AD Mathews, M Manhas, R Sharma, M Kartik, AB Dinda, A Nehra</t>
  </si>
  <si>
    <t>F du Plessis, M Vijay, SK Raina, MS Dhoni, RA Jadeja, JA Morkel, DJ Bravo, S Badrinath, KMDN Kulasekara, R Ashwin, VY Mahesh</t>
  </si>
  <si>
    <t>JH Kallis, G Gambhir, MS Bisla, MK Tiwary, Shakib Al Hasan, YK Pathan, RN ten Doeschate, DB Das, R Bhatia, L Balaji, SP Narine</t>
  </si>
  <si>
    <t>R Dravid, AM Rahane, AL Menaria, SP Goswami, OA Shah, BJ Hodge, J Botha, GB Hogg, AA Chavan, A Singh, SK Trivedi</t>
  </si>
  <si>
    <t>M Vijay, F du Plessis, SK Raina, MS Dhoni, DJ Bravo, JA Morkel, RA Jadeja, S Badrinath, R Ashwin, SB Jakati, DE Bollinger</t>
  </si>
  <si>
    <t>MA Agarwal, CH Gayle, V Kohli, AB de Villiers, SS Tiwary, RR Bhatkal, CA Pujara, DL Vettori, R Vinay Kumar, Z Khan, M Muralitharan</t>
  </si>
  <si>
    <t>AD Mascarenhas</t>
  </si>
  <si>
    <t>PC Valthaty, AC Gilchrist, SE Marsh, Mandeep Singh, PP Chawla, DJ Hussey, AD Mascarenhas, P Awana, Bipul Sharma, Harmeet Singh, P Kumar</t>
  </si>
  <si>
    <t>JD Ryder, SC Ganguly, MN Samuels, RV Uthappa, AD Mathews, M Manhas, SPD Smith, MK Pandey, R Sharma, A Nehra, AB Dinda</t>
  </si>
  <si>
    <t>RE Levi, TL Suman, RG Sharma, AT Rayudu, KA Pollard, KD Karthik, JEC Franklin, Harbhajan Singh, SL Malinga, PP Ojha, MM Patel</t>
  </si>
  <si>
    <t>R Dravid, AM Rahane, SP Goswami, OA Shah, AL Menaria, J Botha, KK Cooper, AA Chavan, GB Hogg, A Singh, SK Trivedi</t>
  </si>
  <si>
    <t>NV Ojha, V Sehwag, KP Pietersen, DPMD Jayawardene, RE van der Merwe, Y Venugopal Rao, Y Nagar, IK Pathan, M Morkel, UT Yadav, S Nadeem</t>
  </si>
  <si>
    <t>F du Plessis, M Vijay, SK Raina, S Badrinath, RA Jadeja, DJ Bravo, MS Dhoni, JA Morkel, R Ashwin, SB Jakati, DE Bollinger</t>
  </si>
  <si>
    <t>L Balaji</t>
  </si>
  <si>
    <t>CA Pujara, CH Gayle, V Kohli, AB de Villiers, SS Tiwary, MA Agarwal, DL Vettori, R Vinay Kumar, HV Patel, Z Khan, M Muralitharan</t>
  </si>
  <si>
    <t>JH Kallis, G Gambhir, MS Bisla, YK Pathan, MK Tiwary, RN ten Doeschate, Shakib Al Hasan, LR Shukla, B Lee, R Bhatia, L Balaji</t>
  </si>
  <si>
    <t>PA Patel, S Dhawan, B Chipli, DT Christian, KC Sangakkara, CL White, DB Ravi Teja, A Mishra, DW Steyn, Ankit Sharma, Anand Rajan</t>
  </si>
  <si>
    <t>TL Suman, RE Levi, RG Sharma, AT Rayudu, KA Pollard, KD Karthik, JEC Franklin, Harbhajan Singh, SL Malinga, PP Ojha, MM Patel</t>
  </si>
  <si>
    <t>R Dravid, AM Rahane, SP Goswami, AL Menaria, BJ Hodge, OA Shah, KK Cooper, J Botha, AA Chavan, A Singh, SK Trivedi</t>
  </si>
  <si>
    <t>JH Kallis, BB McCullum, G Gambhir, MK Tiwary, DB Das, YK Pathan, R Bhatia, LR Shukla, B Lee, SP Narine, Iqbal Abdulla</t>
  </si>
  <si>
    <t>MN Samuels</t>
  </si>
  <si>
    <t>JD Ryder, SC Ganguly, MN Samuels, RV Uthappa, CJ Ferguson, SPD Smith, MK Pandey, R Sharma, M Kartik, AB Dinda, A Nehra</t>
  </si>
  <si>
    <t>AC Gilchrist, PC Valthaty, Mandeep Singh, AM Nayar, DJ Hussey, PP Chawla, AD Mascarenhas, Bipul Sharma, JP Faulkner, P Kumar, Harmeet Singh</t>
  </si>
  <si>
    <t>DJ Harris, S Dhawan, PA Patel, CL White, B Chipli, DT Christian, MS Gony, DB Ravi Teja, Ankit Sharma, DW Steyn, TP Sudhindra</t>
  </si>
  <si>
    <t>M Vijay, F du Plessis, SK Raina, S Badrinath, RA Jadeja, MS Dhoni, DJ Bravo, JA Morkel, R Ashwin, SB Jakati, DE Bollinger</t>
  </si>
  <si>
    <t>AB McDonald, CA Pujara, V Kohli, AB de Villiers, SS Tiwary, MA Agarwal, DL Vettori, R Vinay Kumar, HV Patel, Z Khan, M Muralitharan</t>
  </si>
  <si>
    <t>AJ Finch, V Sehwag, NV Ojha, Y Venugopal Rao, GJ Maxwell, Y Nagar, IK Pathan, DAJ Bracewell, M Morkel, UT Yadav, S Nadeem</t>
  </si>
  <si>
    <t>RE Levi, AT Rayudu, RG Sharma, JEC Franklin, KD Karthik, SA Yadav, KA Pollard, Harbhajan Singh, SL Malinga, PP Ojha, MM Patel</t>
  </si>
  <si>
    <t>MK Pandey, SC Ganguly, WD Parnell, RV Uthappa, CJ Ferguson, SPD Smith, MN Samuels, B Kumar, M Kartik, R Sharma, AB Dinda</t>
  </si>
  <si>
    <t>R Dravid, AM Rahane, AL Menaria, BJ Hodge, OA Shah, KK Cooper, J Botha, AA Chavan, SP Goswami, A Singh, SK Trivedi</t>
  </si>
  <si>
    <t>AC Gilchrist, PC Valthaty, SE Marsh, AM Nayar, DJ Hussey, Mandeep Singh, Bipul Sharma, PP Chawla, JP Faulkner, P Kumar, Harmeet Singh</t>
  </si>
  <si>
    <t>IK Pathan</t>
  </si>
  <si>
    <t>BB McCullum, JH Kallis, G Gambhir, MK Tiwary, YK Pathan, DB Das, LR Shukla, R Bhatia, B Lee, Iqbal Abdulla, M de Lange</t>
  </si>
  <si>
    <t>AJ Finch, V Sehwag, IK Pathan, GJ Maxwell, NV Ojha, Y Venugopal Rao, M Morkel, Y Nagar, RE van der Merwe, UT Yadav, S Nadeem</t>
  </si>
  <si>
    <t>RE Levi</t>
  </si>
  <si>
    <t>F du Plessis, M Vijay, SK Raina, DJ Bravo, JA Morkel, S Badrinath, MS Dhoni, RA Jadeja, R Ashwin, SB Jakati, DE Bollinger</t>
  </si>
  <si>
    <t>RE Levi, SR Tendulkar, RG Sharma, AT Rayudu, JEC Franklin, KD Karthik, KA Pollard, Harbhajan Singh, SL Malinga, AN Ahmed, PP Ojha</t>
  </si>
  <si>
    <t>MEK Hussey, M Vijay, MS Dhoni, SK Raina, JA Morkel, S Badrinath, DJ Bravo, WP Saha, R Ashwin, DE Bollinger, SB Jakati</t>
  </si>
  <si>
    <t>MA Agarwal, CH Gayle, V Kohli, AB de Villiers, LA Pomersbach, SS Tiwary, DL Vettori, A Mithun, Z Khan, J Syed Mohammad, S Aravind</t>
  </si>
  <si>
    <t>MA Agarwal, CH Gayle, V Kohli, AB de Villiers, LA Pomersbach, SS Tiwary, DL Vettori, S Aravind, A Mithun, Z Khan, J Syed Mohammad</t>
  </si>
  <si>
    <t>AC Blizzard, SR Tendulkar, Harbhajan Singh, RG Sharma, JEC Franklin, AT Rayudu, KA Pollard, R Sathish, SL Malinga, AN Ahmed, MM Patel</t>
  </si>
  <si>
    <t>MM Patel</t>
  </si>
  <si>
    <t>AC Blizzard, SR Tendulkar, RG Sharma, AT Rayudu, JEC Franklin, KA Pollard, TL Suman, Harbhajan Singh, DS Kulkarni, MM Patel, SL Malinga</t>
  </si>
  <si>
    <t>G Gambhir, JH Kallis, SP Goswami, MK Tiwary, YK Pathan, RN ten Doeschate, Shakib Al Hasan, R Bhatia, B Lee, L Balaji, Iqbal Abdulla</t>
  </si>
  <si>
    <t>MA Agarwal, CH Gayle, V Kohli, AB de Villiers, LA Pomersbach, SS Tiwary, M Kaif, DL Vettori, S Aravind, A Mithun, Z Khan</t>
  </si>
  <si>
    <t>MEK Hussey, M Vijay, SK Raina, S Badrinath, MS Dhoni, JA Morkel, DJ Bravo, WP Saha, R Ashwin, DE Bollinger, SB Jakati</t>
  </si>
  <si>
    <t>JEC Franklin</t>
  </si>
  <si>
    <t>JH Kallis, SP Goswami, G Gambhir, MK Tiwary, YK Pathan, RN ten Doeschate, R Bhatia, Shakib Al Hasan, B Lee, L Balaji, Iqbal Abdulla</t>
  </si>
  <si>
    <t>TL Suman, SR Tendulkar, Harbhajan Singh, RG Sharma, KA Pollard, JEC Franklin, AT Rayudu, R Sathish, AN Ahmed, RW Price, SL Malinga</t>
  </si>
  <si>
    <t>AB de Villiers, CH Gayle, V Kohli, SS Tiwary, MA Agarwal, M Kaif, LA Pomersbach, DL Vettori, S Aravind, A Mithun, Z Khan</t>
  </si>
  <si>
    <t>MEK Hussey, M Vijay, SK Raina, S Badrinath, WP Saha, MS Dhoni, DJ Bravo, JA Morkel, R Ashwin, SB Jakati, DE Bollinger</t>
  </si>
  <si>
    <t>PC Valthaty, AC Gilchrist, SE Marsh, KD Karthik, R McLaren, AM Nayar, Mandeep Singh, PP Chawla, RJ Harris, P Kumar, BA Bhatt</t>
  </si>
  <si>
    <t>S Dhawan, DB Ravi Teja, JP Duminy, CL White, KH Devdhar, B Chipli, DT Christian, PP Ojha, A Mishra, DW Steyn, Anand Rajan</t>
  </si>
  <si>
    <t>NV Ojha, DA Warner, MS Wade, CA Ingram, Y Venugopal Rao, JR Hopes, IK Pathan, Y Nagar, VR Aaron, UT Yadav, AB Dinda</t>
  </si>
  <si>
    <t>MK Pandey, JP Faulkner, SC Ganguly, RV Uthappa, Yuvraj Singh, CJ Ferguson, S Rana, MR Marsh, SS Mundhe, R Sharma, AC Thomas</t>
  </si>
  <si>
    <t>TL Suman, SR Tendulkar, AT Rayudu, RG Sharma, KA Pollard, JEC Franklin, Harbhajan Singh, A Symonds, DS Kulkarni, MM Patel, SL Malinga</t>
  </si>
  <si>
    <t>SR Watson, R Dravid, J Botha, AL Menaria, AM Rahane, LRPL Taylor, PR Shah, AA Chavan, SK Warne, A Singh, SK Trivedi</t>
  </si>
  <si>
    <t>Dr DY Patil Sports Academy</t>
  </si>
  <si>
    <t>JD Ryder, MK Pandey, CJ Ferguson, SC Ganguly, RV Uthappa, Yuvraj Singh, S Rana, WD Parnell, AC Thomas, R Sharma, B Kumar</t>
  </si>
  <si>
    <t>G Gambhir, SP Goswami, MK Tiwary, YK Pathan, R Bhatia, JH Kallis, RN ten Doeschate, Shakib Al Hasan, B Lee, L Balaji, Iqbal Abdulla</t>
  </si>
  <si>
    <t>Kochi Tuskers Kerala</t>
  </si>
  <si>
    <t>MEK Hussey, M Vijay, SK Raina, S Badrinath, WP Saha, MS Dhoni, JA Morkel, DJ Bravo, R Ashwin, DE Bollinger, SB Jakati</t>
  </si>
  <si>
    <t>PA Patel, BB McCullum, Y Gnaneswara Rao, BJ Hodge, RA Jadeja, OA Shah, KM Jadhav, R Vinay Kumar, M Muralitharan, RP Singh, S Sreesanth</t>
  </si>
  <si>
    <t>PC Valthaty, AC Gilchrist, SE Marsh, DJ Hussey, KD Karthik, Mandeep Singh, AM Nayar, SJ Srivastava, PP Chawla, P Kumar, RJ Harris</t>
  </si>
  <si>
    <t>CH Gayle, SS Tiwary, V Kohli, AB de Villiers, AUK Pathan, M Kaif, KB Arun Karthik, JJ van der Wath, A Mithun, CK Langeveldt, S Aravind</t>
  </si>
  <si>
    <t>JD Ryder, MK Pandey, SC Ganguly, RV Uthappa, Yuvraj Singh, M Manhas, CJ Ferguson, MR Marsh, WD Parnell, B Kumar, R Sharma</t>
  </si>
  <si>
    <t>S Sohal, S Dhawan, KC Sangakkara, JP Duminy, DT Christian, B Chipli, DB Ravi Teja, PP Ojha, A Mishra, I Sharma, DW Steyn</t>
  </si>
  <si>
    <t>BB McCullum, DPMD Jayawardene, PA Patel, BJ Hodge, OA Shah, RA Jadeja, RP Singh, P Parameswaran, P Prasanth, S Sreesanth, Y Gnaneswara Rao</t>
  </si>
  <si>
    <t>FY Fazal, R Dravid, SR Watson, AM Rahane, AL Menaria, PR Shah, JDP Oram, SK Warne, AA Chavan, SW Tait, ND Doshi</t>
  </si>
  <si>
    <t>PC Valthaty, AC Gilchrist, SE Marsh, KD Karthik, DJ Hussey, Mandeep Singh, RJ Harris, PP Chawla, SJ Srivastava, P Kumar, BA Bhatt</t>
  </si>
  <si>
    <t>NV Ojha, DA Warner, Y Venugopal Rao, S Sriram, IK Pathan, JR Hopes, TR Birt, Y Nagar, M Morkel, VR Aaron, AM Salvi</t>
  </si>
  <si>
    <t>SR Tendulkar, AC Blizzard, AT Rayudu, RG Sharma, A Symonds, TL Suman, KA Pollard, Harbhajan Singh, SL Malinga, DS Kulkarni, MM Patel</t>
  </si>
  <si>
    <t>MJ Lumb, S Sohal, KC Sangakkara, JP Duminy, B Chipli, DT Christian, S Dhawan, A Mishra, PP Ojha, I Sharma, Anand Rajan</t>
  </si>
  <si>
    <t>CH Gayle, LA Pomersbach, V Kohli, AB de Villiers, M Kaif, KB Arun Karthik, SS Tiwary, A Mithun, Z Khan, S Aravind, CK Langeveldt</t>
  </si>
  <si>
    <t>JH Kallis, EJG Morgan, G Gambhir, MK Tiwary, YK Pathan, MV Boucher, R Bhatia, Iqbal Abdulla, B Lee, L Balaji, JD Unadkat</t>
  </si>
  <si>
    <t>BB McCullum, DPMD Jayawardene, RA Jadeja, BJ Hodge, OA Shah, PA Patel, RV Gomez, R Vinay Kumar, RP Singh, P Parameswaran, S Sreesanth</t>
  </si>
  <si>
    <t>AC Gilchrist, PC Valthaty, SE Marsh, KD Karthik, DJ Hussey, Mandeep Singh, Bipul Sharma, SJ Srivastava, PP Chawla, RJ Harris, BA Bhatt</t>
  </si>
  <si>
    <t>MEK Hussey, M Vijay, SK Raina, S Badrinath, MS Dhoni, WP Saha, JA Morkel, DJ Bravo, R Ashwin, DE Bollinger, SB Jakati</t>
  </si>
  <si>
    <t>NV Ojha, DA Warner, CA Ingram, IK Pathan, Y Venugopal Rao, JR Hopes, AB McDonald, Y Nagar, AB Agarkar, S Nadeem, VR Aaron</t>
  </si>
  <si>
    <t>S Aravind</t>
  </si>
  <si>
    <t>SR Watson, R Dravid, AM Rahane, J Botha, LRPL Taylor, AL Menaria, AS Raut, DH Yagnik, SK Warne, SK Trivedi, Pankaj Singh</t>
  </si>
  <si>
    <t>CH Gayle, TM Dilshan, V Kohli, AB de Villiers, KB Arun Karthik, M Kaif, SS Tiwary, AA Kazi, Z Khan, S Aravind, CK Langeveldt</t>
  </si>
  <si>
    <t>S Dhawan, DB Ravi Teja, KC Sangakkara, JP Duminy, DT Christian, B Chipli, S Sohal, A Mishra, DW Steyn, I Sharma, PP Ojha</t>
  </si>
  <si>
    <t>JD Ryder, MK Pandey, SC Ganguly, RV Uthappa, Yuvraj Singh, CJ Ferguson, MR Marsh, WD Parnell, SB Wagh, R Sharma, B Kumar</t>
  </si>
  <si>
    <t>BA Bhatt</t>
  </si>
  <si>
    <t>PC Valthaty, AC Gilchrist, SE Marsh, KD Karthik, DJ Hussey, Mandeep Singh, Bipul Sharma, RJ Harris, P Kumar, SJ Srivastava, BA Bhatt</t>
  </si>
  <si>
    <t>AC Blizzard, SR Tendulkar, RG Sharma, A Symonds, AT Rayudu, TL Suman, KA Pollard, Harbhajan Singh, DS Kulkarni, SL Malinga, MM Patel</t>
  </si>
  <si>
    <t>SR Watson, R Dravid, AM Rahane, LRPL Taylor, AL Menaria, J Botha, AS Raut, DH Yagnik, A Singh, SK Trivedi, SK Warne</t>
  </si>
  <si>
    <t>MEK Hussey, M Vijay, SK Raina, MS Dhoni, JA Morkel, S Badrinath, DJ Bravo, WP Saha, R Ashwin, DE Bollinger, SB Jakati</t>
  </si>
  <si>
    <t>CH Gayle, TM Dilshan, V Kohli, AB de Villiers, CA Pujara, M Kaif, SS Tiwary, DL Vettori, Z Khan, S Aravind, A Mithun</t>
  </si>
  <si>
    <t>M Klinger, BB McCullum, PA Patel, DPMD Jayawardene, BJ Hodge, RA Jadeja, RV Gomez, R Vinay Kumar, RR Powar, RP Singh, P Parameswaran</t>
  </si>
  <si>
    <t>R Sharma</t>
  </si>
  <si>
    <t>AC Gilchrist, PC Valthaty, SE Marsh, KD Karthik, DJ Hussey, Mandeep Singh, SD Chitnis, RJ Harris, P Kumar, SJ Srivastava, BA Bhatt</t>
  </si>
  <si>
    <t>JD Ryder, MK Pandey, RV Uthappa, Yuvraj Singh, CJ Ferguson, AA Jhunjhunwala, MR Marsh, SB Wagh, R Sharma, WD Parnell, B Kumar</t>
  </si>
  <si>
    <t>Iqbal Abdulla</t>
  </si>
  <si>
    <t>EJG Morgan, JH Kallis, G Gambhir, MK Tiwary, YK Pathan, MV Boucher, R Bhatia, Iqbal Abdulla, B Lee, L Balaji, JD Unadkat</t>
  </si>
  <si>
    <t>MEK Hussey, M Vijay, SK Raina, S Badrinath, JA Morkel, MS Dhoni, WP Saha, R Ashwin, DE Bollinger, SB Jakati, S Randiv</t>
  </si>
  <si>
    <t>AC Blizzard, SR Tendulkar, AT Rayudu, RG Sharma, KA Pollard, A Symonds, TL Suman, DS Kulkarni, Harbhajan Singh, MM Patel, SL Malinga</t>
  </si>
  <si>
    <t>V Sehwag, DA Warner, CA Ingram, NV Ojha, Y Venugopal Rao, JR Hopes, IK Pathan, Y Nagar, AB Agarkar, M Morkel, S Nadeem</t>
  </si>
  <si>
    <t>CH Gayle, TM Dilshan, V Kohli, AB de Villiers, SS Tiwary, AUK Pathan, M Kaif, A Mithun, DL Vettori, Z Khan, S Aravind</t>
  </si>
  <si>
    <t>AC Gilchrist, PC Valthaty, AM Nayar, SE Marsh, KD Karthik, Sunny Singh, R McLaren, PP Chawla, RJ Harris, P Kumar, L Ablish</t>
  </si>
  <si>
    <t>S Dhawan, DB Ravi Teja, KC Sangakkara, JP Duminy, DT Christian, B Chipli, I Malhotra, S Sohal, A Mishra, DW Steyn, I Sharma</t>
  </si>
  <si>
    <t>AJ Finch, V Sehwag, NV Ojha, Y Venugopal Rao, TR Birt, IK Pathan, JR Hopes, Y Nagar, M Morkel, AB Agarkar, AM Salvi</t>
  </si>
  <si>
    <t>Nehru Stadium</t>
  </si>
  <si>
    <t>Kochi</t>
  </si>
  <si>
    <t>BB McCullum, M Klinger, PA Patel, DPMD Jayawardene, RA Jadeja, BJ Hodge, RV Gomez, R Vinay Kumar, RP Singh, S Sreesanth, P Parameswaran</t>
  </si>
  <si>
    <t>JH Kallis, EJG Morgan, G Gambhir, MK Tiwary, YK Pathan, MV Boucher, B Lee, R Bhatia, Iqbal Abdulla, S Ladda, JD Unadkat</t>
  </si>
  <si>
    <t>MEK Hussey, M Vijay, SK Raina, JA Morkel, MS Dhoni, S Badrinath, S Anirudha, R Ashwin, DE Bollinger, SB Jakati, S Randiv</t>
  </si>
  <si>
    <t>SR Watson, R Dravid, AL Menaria, J Botha, LRPL Taylor, AM Rahane, STR Binny, DH Yagnik, SK Warne, ND Doshi, SK Trivedi</t>
  </si>
  <si>
    <t>JD Ryder, MK Pandey, GC Smith, AA Jhunjhunwala, Yuvraj Singh, RV Uthappa, M Manhas, SB Wagh, R Sharma, JE Taylor, AC Thomas</t>
  </si>
  <si>
    <t>AC Blizzard, SR Tendulkar, AT Rayudu, RG Sharma, TL Suman, KA Pollard, A Symonds, Harbhajan Singh, DS Kulkarni, MM Patel, SL Malinga</t>
  </si>
  <si>
    <t>S Sohal, S Dhawan, KC Sangakkara, CL White, DT Christian, DB Ravi Teja, B Chipli, A Mishra, PP Ojha, I Sharma, DW Steyn</t>
  </si>
  <si>
    <t>EJG Morgan, JH Kallis, G Gambhir, YK Pathan, MK Tiwary, MV Boucher, R Bhatia, Iqbal Abdulla, L Balaji, B Lee, JD Unadkat</t>
  </si>
  <si>
    <t>DJ Jacobs, SR Tendulkar, AT Rayudu, KA Pollard, RG Sharma, A Symonds, TL Suman, Harbhajan Singh, MM Patel, SL Malinga, AN Ahmed</t>
  </si>
  <si>
    <t>PC Valthaty, AC Gilchrist, SE Marsh, DJ Hussey, KD Karthik, AM Nayar, Bipul Sharma, PP Chawla, RJ Harris, P Kumar, BA Bhatt</t>
  </si>
  <si>
    <t>P Parameswaran</t>
  </si>
  <si>
    <t>DA Warner, V Sehwag, NV Ojha, Y Nagar, Y Venugopal Rao, TR Birt, IK Pathan, RE van der Merwe, M Morkel, AB Agarkar, UT Yadav</t>
  </si>
  <si>
    <t>M Klinger, BB McCullum, PA Patel, DPMD Jayawardene, BJ Hodge, RA Jadeja, RV Gomez, R Vinay Kumar, RP Singh, S Sreesanth, P Parameswaran</t>
  </si>
  <si>
    <t>JA Morkel</t>
  </si>
  <si>
    <t>M Vijay, MEK Hussey, SK Raina, MS Dhoni, JA Morkel, S Badrinath, S Anirudha, R Ashwin, DE Bollinger, SB Jakati, S Randiv</t>
  </si>
  <si>
    <t>S Sohal, S Dhawan, B Chipli, KC Sangakkara, CL White, JP Duminy, DT Christian, A Mishra, I Sharma, PP Ojha, Harmeet Singh</t>
  </si>
  <si>
    <t>LRPL Taylor</t>
  </si>
  <si>
    <t>SR Watson, R Dravid, J Botha, AL Menaria, LRPL Taylor, AM Rahane, A Singh, SK Warne, STR Binny, DH Yagnik, SK Trivedi</t>
  </si>
  <si>
    <t>JD Ryder, MK Pandey, RV Uthappa, Yuvraj Singh, Harpreet Singh, M Manhas, NL McCullum, R Sharma, M Kartik, JE Taylor, AC Thomas</t>
  </si>
  <si>
    <t>JH Kallis, EJG Morgan, G Gambhir, MK Tiwary, SP Goswami, YK Pathan, R Bhatia, RN ten Doeschate, Iqbal Abdulla, L Balaji, B Lee</t>
  </si>
  <si>
    <t>AC Gilchrist, PC Valthaty, SE Marsh, KD Karthik, AM Nayar, DJ Hussey, Bipul Sharma, P Kumar, PP Chawla, BA Bhatt, RJ Harris</t>
  </si>
  <si>
    <t>BB McCullum, M Klinger, PA Patel, DPMD Jayawardene, BJ Hodge, RA Jadeja, B Akhil, R Vinay Kumar, RR Powar, S Sreesanth, RP Singh</t>
  </si>
  <si>
    <t>DA Warner, V Sehwag, NV Ojha, Y Venugopal Rao, Y Nagar, TR Birt, IK Pathan, RE van der Merwe, M Morkel, AB Agarkar, UT Yadav</t>
  </si>
  <si>
    <t>CH Gayle, TM Dilshan, V Kohli, AB de Villiers, SS Tiwary, M Kaif, A Mithun, Z Khan, DL Vettori, S Aravind, J Syed Mohammad</t>
  </si>
  <si>
    <t>JD Ryder, TD Paine, MK Pandey, Yuvraj Singh, RV Uthappa, M Manhas, Harpreet Singh, R Sharma, JE Taylor, AC Thomas, Kamran Khan</t>
  </si>
  <si>
    <t>J Botha</t>
  </si>
  <si>
    <t>SR Watson, R Dravid, J Botha, LRPL Taylor, AL Menaria, AM Rahane, A Singh, DH Yagnik, SK Warne, STR Binny, SK Trivedi</t>
  </si>
  <si>
    <t>DJ Jacobs, SR Tendulkar, AT Rayudu, RG Sharma, A Symonds, KA Pollard, R Sathish, Harbhajan Singh, SL Malinga, AG Murtaza, MM Patel</t>
  </si>
  <si>
    <t>MK Tiwary</t>
  </si>
  <si>
    <t>DA Warner, V Sehwag, JR Hopes, IK Pathan, TR Birt, Y Venugopal Rao, NV Ojha, Y Nagar, AB Agarkar, M Morkel, UT Yadav</t>
  </si>
  <si>
    <t>JH Kallis, SP Goswami, G Gambhir, MK Tiwary, YK Pathan, EJG Morgan, RN ten Doeschate, B Lee, L Balaji, Iqbal Abdulla, JD Unadkat</t>
  </si>
  <si>
    <t>BB McCullum, DPMD Jayawardene, PA Patel, RV Gomez, BJ Hodge, KM Jadhav, RA Jadeja, NLTC Perera, R Vinay Kumar, S Sreesanth, RP Singh</t>
  </si>
  <si>
    <t>S Sohal, S Dhawan, B Chipli, KC Sangakkara, CL White, DT Christian, DB Ravi Teja, A Mishra, MS Gony, DW Steyn, I Sharma</t>
  </si>
  <si>
    <t>DE Bollinger</t>
  </si>
  <si>
    <t>JD Ryder, MD Mishra, MK Pandey, M Manhas, Yuvraj Singh, RV Uthappa, MR Marsh, JE Taylor, M Kartik, R Sharma, AC Thomas</t>
  </si>
  <si>
    <t>MEK Hussey, M Vijay, S Badrinath, SK Raina, MS Dhoni, S Anirudha, R Ashwin, KMDN Kulasekara, DE Bollinger, SB Jakati, TG Southee</t>
  </si>
  <si>
    <t>DA Warner, V Sehwag, JR Hopes, MS Wade, Y Venugopal Rao, NV Ojha, IK Pathan, Y Nagar, M Morkel, AB Dinda, UT Yadav</t>
  </si>
  <si>
    <t>CH Gayle, TM Dilshan, V Kohli, AB de Villiers, SS Tiwary, CA Pujara, DL Vettori, A Mithun, J Syed Mohammad, Z Khan, S Aravind</t>
  </si>
  <si>
    <t>JD Ryder, MD Mishra, MK Pandey, RV Uthappa, Yuvraj Singh, M Manhas, NL McCullum, R Sharma, JE Taylor, M Kartik, AC Thomas</t>
  </si>
  <si>
    <t>SK Warne</t>
  </si>
  <si>
    <t>DPMD Jayawardene, VVS Laxman, PA Patel, BJ Hodge, RA Jadeja, RV Gomez, NLTC Perera, KM Jadhav, R Vinay Kumar, M Muralitharan, RP Singh</t>
  </si>
  <si>
    <t>S Sohal, S Dhawan, KC Sangakkara, CL White, B Chipli, DT Christian, DB Ravi Teja, A Mishra, DW Steyn, I Sharma, PP Ojha</t>
  </si>
  <si>
    <t>DJ Jacobs, SR Tendulkar, AT Rayudu, KA Pollard, RG Sharma, A Symonds, R Sathish, Harbhajan Singh, AN Ahmed, MM Patel, SL Malinga</t>
  </si>
  <si>
    <t>DA Warner, V Sehwag, Y Nagar, Y Venugopal Rao, AJ Finch, NV Ojha, IK Pathan, JR Hopes, AB Agarkar, M Morkel, VR Aaron</t>
  </si>
  <si>
    <t>AC Gilchrist, PC Valthaty, SE Marsh, KD Karthik, DJ Hussey, AM Nayar, Sunny Singh, RJ Harris, PP Chawla, P Kumar, SJ Srivastava</t>
  </si>
  <si>
    <t>R Sathish, SR Tendulkar, AT Rayudu, RG Sharma, A Symonds, KA Pollard, JEC Franklin, Harbhajan Singh, AN Ahmed, MM Patel, SL Malinga</t>
  </si>
  <si>
    <t>MEK Hussey, M Vijay, SK Raina, S Badrinath, MS Dhoni, S Anirudha, JA Morkel, R Ashwin, Joginder Sharma, S Randiv, DE Bollinger</t>
  </si>
  <si>
    <t>JH Kallis, BJ Haddin, G Gambhir, YK Pathan, EJG Morgan, MK Tiwary, Shakib Al Hasan, R Bhatia, Iqbal Abdulla, JD Unadkat, L Balaji</t>
  </si>
  <si>
    <t>TM Dilshan, CH Gayle, V Kohli, AB de Villiers, SS Tiwary, CA Pujara, Z Khan, AUK Pathan, DL Vettori, S Aravind, J Syed Mohammad</t>
  </si>
  <si>
    <t>AC Gilchrist, PC Valthaty, SE Marsh, KD Karthik, AM Nayar, R McLaren, Sunny Singh, PP Chawla, RJ Harris, P Kumar, BA Bhatt</t>
  </si>
  <si>
    <t>SA Asnodkar, R Dravid, SR Watson, STR Binny, LRPL Taylor, AL Menaria, AS Raut, DH Yagnik, SK Warne, SW Tait, SK Trivedi</t>
  </si>
  <si>
    <t>DPMD Jayawardene</t>
  </si>
  <si>
    <t>MS Bisla, JH Kallis, G Gambhir, MK Tiwary, EJG Morgan, Shakib Al Hasan, YK Pathan, R Bhatia, B Lee, Iqbal Abdulla, L Balaji</t>
  </si>
  <si>
    <t>BB McCullum, DPMD Jayawardene, PA Patel, BJ Hodge, RA Jadeja, KM Jadhav, RV Gomez, R Vinay Kumar, RR Powar, RP Singh, M Muralitharan</t>
  </si>
  <si>
    <t>JEC Franklin, SR Tendulkar, AT Rayudu, RG Sharma, A Symonds, KA Pollard, R Sathish, AN Ahmed, AG Murtaza, MM Patel, SL Malinga</t>
  </si>
  <si>
    <t>JD Ryder, TD Paine, M Manhas, RV Uthappa, Yuvraj Singh, MD Mishra, M Kartik, WD Parnell, R Sharma, SB Wagh, AC Thomas</t>
  </si>
  <si>
    <t>S Sohal</t>
  </si>
  <si>
    <t>DA Warner, V Sehwag, NV Ojha, AJ Finch, Y Venugopal Rao, IK Pathan, JR Hopes, Y Nagar, M Morkel, S Nadeem, AB Dinda</t>
  </si>
  <si>
    <t>S Sohal, S Dhawan, KC Sangakkara, CL White, DT Christian, B Chipli, DB Ravi Teja, A Mishra, DW Steyn, PP Ojha, Harmeet Singh</t>
  </si>
  <si>
    <t>BB McCullum, DPMD Jayawardene, PA Patel, BJ Hodge, RA Jadeja, KM Jadhav, NLTC Perera, RV Gomez, R Vinay Kumar, RP Singh, RR Powar</t>
  </si>
  <si>
    <t>MEK Hussey, M Vijay, SK Raina, S Badrinath, MS Dhoni, JA Morkel, S Anirudha, R Ashwin, SB Jakati, TG Southee, DE Bollinger</t>
  </si>
  <si>
    <t>JD Ryder, GC Smith, M Manhas, Yuvraj Singh, RV Uthappa, MD Mishra, WD Parnell, AA Jhunjhunwala, R Sharma, SB Wagh, AC Thomas</t>
  </si>
  <si>
    <t>DA Warner, V Sehwag, IK Pathan, NV Ojha, MS Wade, Y Venugopal Rao, AJ Finch, JR Hopes, S Nadeem, AB Dinda, UT Yadav</t>
  </si>
  <si>
    <t>JH Kallis, MS Bisla, G Gambhir, MK Tiwary, YK Pathan, EJG Morgan, Shakib Al Hasan, Iqbal Abdulla, R Bhatia, B Lee, L Balaji</t>
  </si>
  <si>
    <t>SR Watson, AG Paunikar, FY Fazal, AS Raut, AL Menaria, LRPL Taylor, AM Rahane, SK Warne, A Singh, SW Tait, SK Trivedi</t>
  </si>
  <si>
    <t>MEK Hussey, M Vijay, SK Raina, MS Dhoni, JA Morkel, S Badrinath, S Anirudha, R Ashwin, SB Jakati, TG Southee, S Randiv</t>
  </si>
  <si>
    <t>MA Agarwal, TM Dilshan, AUK Pathan, V Kohli, AB de Villiers, SS Tiwary, CA Pujara, JJ van der Wath, DL Vettori, R Ninan, Z Khan</t>
  </si>
  <si>
    <t>PC Valthaty</t>
  </si>
  <si>
    <t>S Sohal, S Dhawan, KC Sangakkara, JP Duminy, B Chipli, DT Christian, MS Gony, DB Ravi Teja, A Mishra, DW Steyn, I Sharma</t>
  </si>
  <si>
    <t>AC Gilchrist, PC Valthaty, AM Nayar, KD Karthik, SE Marsh, Sunny Singh, R McLaren, P Kumar, RJ Harris, PP Chawla, VS Malik</t>
  </si>
  <si>
    <t>DJ Jacobs, SR Tendulkar, AT Rayudu, KA Pollard, RG Sharma, A Symonds, R Sathish, Harbhajan Singh, AG Murtaza, MM Patel, SL Malinga</t>
  </si>
  <si>
    <t>BB McCullum, DPMD Jayawardene, RA Jadeja, BJ Hodge, KM Jadhav, PA Patel, NLTC Perera, RV Gomez, R Vinay Kumar, RP Singh, RR Powar</t>
  </si>
  <si>
    <t>AG Paunikar, R Dravid, AL Menaria, SR Watson, LRPL Taylor, J Botha, AS Raut, SK Warne, A Singh, SK Trivedi, ND Doshi</t>
  </si>
  <si>
    <t>MS Bisla, JH Kallis, G Gambhir, MK Tiwary, YK Pathan, EJG Morgan, Shakib Al Hasan, Iqbal Abdulla, R Bhatia, B Lee, L Balaji</t>
  </si>
  <si>
    <t>S Sohal, S Dhawan, KC Sangakkara, B Chipli, JP Duminy, DT Christian, DB Ravi Teja, A Mishra, DW Steyn, I Sharma, MS Gony</t>
  </si>
  <si>
    <t>MA Agarwal, TM Dilshan, Z Khan, V Kohli, AB de Villiers, SS Tiwary, CA Pujara, JJ van der Wath, DL Vettori, R Ninan, S Aravind</t>
  </si>
  <si>
    <t>MD Mishra</t>
  </si>
  <si>
    <t>JD Ryder, GC Smith, M Manhas, Yuvraj Singh, RV Uthappa, MD Mishra, WD Parnell, R Sharma, M Kartik, SB Wagh, AC Thomas</t>
  </si>
  <si>
    <t>BB McCullum, VVS Laxman, PA Patel, DPMD Jayawardene, BJ Hodge, RA Jadeja, RV Gomez, R Vinay Kumar, S Sreesanth, RP Singh, M Muralitharan</t>
  </si>
  <si>
    <t>PC Valthaty, AC Gilchrist, SE Marsh, Sunny Singh, AM Nayar, KD Karthik, R McLaren, P Kumar, RJ Harris, PP Chawla, BA Bhatt</t>
  </si>
  <si>
    <t>S Anirudha, M Vijay, SK Raina, S Badrinath, MS Dhoni, SB Styris, JA Morkel, R Ashwin, SB Jakati, TG Southee, S Randiv</t>
  </si>
  <si>
    <t>MA Agarwal, TM Dilshan, V Kohli, AB de Villiers, AUK Pathan, SS Tiwary, CA Pujara, Z Khan, DL Vettori, DP Nannes, A Mithun</t>
  </si>
  <si>
    <t>DJ Jacobs, SR Tendulkar, AT Rayudu, RG Sharma, KA Pollard, JEC Franklin, R Sathish, Harbhajan Singh, AG Murtaza, MM Patel, SL Malinga</t>
  </si>
  <si>
    <t>AG Paunikar, R Dravid, J Botha, AL Menaria, AM Rahane, LRPL Taylor, AS Raut, SK Warne, A Singh, SK Trivedi, SW Tait</t>
  </si>
  <si>
    <t>DA Warner, V Sehwag, AJ Finch, UBT Chand, NV Ojha, Y Venugopal Rao, IK Pathan, RE van der Merwe, M Morkel, S Nadeem, AB Dinda</t>
  </si>
  <si>
    <t>JH Kallis, MS Bisla, G Gambhir, MK Tiwary, YK Pathan, EJG Morgan, RN ten Doeschate, Iqbal Abdulla, R Bhatia, L Balaji, JD Unadkat</t>
  </si>
  <si>
    <t>S Dhawan, IR Jaggi, B Chipli, KC Sangakkara, JP Duminy, DT Christian, DB Ravi Teja, DW Steyn, A Mishra, I Sharma, PP Ojha</t>
  </si>
  <si>
    <t>SB Wagh</t>
  </si>
  <si>
    <t>GC Smith, JD Ryder, M Manhas, RV Uthappa, Yuvraj Singh, MD Mishra, R Sharma, M Kartik, SB Wagh, WD Parnell, AC Thomas</t>
  </si>
  <si>
    <t>AC Gilchrist, SE Marsh, PC Valthaty, KD Karthik, AM Nayar, Sunny Singh, R McLaren, PP Chawla, P Kumar, NJ Rimmington, BA Bhatt</t>
  </si>
  <si>
    <t>DA Warner, V Sehwag, UBT Chand, AJ Finch, NV Ojha, Y Venugopal Rao, IK Pathan, RE van der Merwe, M Morkel, UT Yadav, AB Dinda</t>
  </si>
  <si>
    <t>BB McCullum, VVS Laxman, DPMD Jayawardene, BJ Hodge, RA Jadeja, RV Gomez, PA Patel, M Muralitharan, R Vinay Kumar, RP Singh, S Sreesanth</t>
  </si>
  <si>
    <t>MA Agarwal, TM Dilshan, V Kohli, AB de Villiers, SS Tiwary, AUK Pathan, CA Pujara, Z Khan, DL Vettori, DP Nannes, A Mithun</t>
  </si>
  <si>
    <t>S Dhawan, IR Jaggi, KC Sangakkara, B Chipli, JP Duminy, DT Christian, DB Ravi Teja, DW Steyn, A Mishra, I Sharma, PP Ojha</t>
  </si>
  <si>
    <t>AG Paunikar, R Dravid, J Botha, LRPL Taylor, AS Raut, AL Menaria, A Singh, JDP Oram, SK Warne, SK Trivedi, STR Binny</t>
  </si>
  <si>
    <t>S Anirudha</t>
  </si>
  <si>
    <t>S Anirudha, M Vijay, SK Raina, MS Dhoni, JA Morkel, SB Styris, S Badrinath, R Ashwin, SB Jakati, TG Southee, S Randiv</t>
  </si>
  <si>
    <t>MS Bisla, JH Kallis, YK Pathan, MK Tiwary, EJG Morgan, G Gambhir, LR Shukla, R Bhatia, Iqbal Abdulla, L Balaji, S Ladda</t>
  </si>
  <si>
    <t>M Vijay, ML Hayden, SK Raina, S Badrinath, MS Dhoni, JA Morkel, S Anirudha, R Ashwin, SB Jakati, DE Bollinger, M Muralitharan</t>
  </si>
  <si>
    <t>S Dhawan, SR Tendulkar, AM Nayar, Harbhajan Singh, AT Rayudu, SS Tiwary, JP Duminy, KA Pollard, Z Khan, SL Malinga, CRD Fernando</t>
  </si>
  <si>
    <t>A Kumble</t>
  </si>
  <si>
    <t>JH Kallis, R Dravid, KP Pietersen, RV Uthappa, V Kohli, CL White, B Akhil, P Kumar, A Kumble, ND Doshi, DW Steyn</t>
  </si>
  <si>
    <t>AC Gilchrist, MD Mishra, Anirudh Singh, RG Sharma, A Symonds, DR Smith, Y Venugopal Rao, RJ Harris, R Sharma, Harmeet Singh, PP Ojha</t>
  </si>
  <si>
    <t>AC Gilchrist, HH Gibbs, TL Suman, RG Sharma, A Symonds, MD Mishra, B Sumanth, RJ Harris, Harmeet Singh, RP Singh, PP Ojha</t>
  </si>
  <si>
    <t>JH Kallis, R Dravid, KP Pietersen, RV Uthappa, LRPL Taylor, V Kohli, MK Pandey, P Kumar, R Vinay Kumar, DW Steyn, A Kumble</t>
  </si>
  <si>
    <t>S Dhawan, SR Tendulkar, AM Nayar, AT Rayudu, JP Duminy, SS Tiwary, KA Pollard, Harbhajan Singh, Z Khan, CRD Fernando, SL Malinga</t>
  </si>
  <si>
    <t>M Kartik</t>
  </si>
  <si>
    <t>SC Ganguly, BB McCullum, DJ Hussey, MK Tiwary, AD Mathews, CA Pujara, WP Saha, JD Unadkat, M Kartik, AB Dinda, SE Bond</t>
  </si>
  <si>
    <t>AP Tare, S Dhawan, SS Tiwary, JP Duminy, R Sathish, DJ Bravo, AT Rayudu, STR Binny, R McLaren, AG Murtaza, CRD Fernando</t>
  </si>
  <si>
    <t>A Symonds</t>
  </si>
  <si>
    <t>DA Warner, V Sehwag, TM Dilshan, G Gambhir, M Manhas, PD Collingwood, KD Karthik, A Mishra, A Nehra, DP Nannes, UT Yadav</t>
  </si>
  <si>
    <t>AC Gilchrist, MD Mishra, TL Suman, RG Sharma, A Symonds, MR Marsh, B Sumanth, WPUJC Vaas, R Sharma, PP Ojha, Harmeet Singh</t>
  </si>
  <si>
    <t>DPMD Jayawardene, SE Marsh, KC Sangakkara, Yuvraj Singh, IK Pathan, K Goel, J Theron, RR Powar, PP Chawla, S Sohal, VRV Singh</t>
  </si>
  <si>
    <t>M Vijay, ML Hayden, SK Raina, S Badrinath, MS Dhoni, JA Morkel, JM Kemp, R Ashwin, SB Jakati, DE Bollinger, S Tyagi</t>
  </si>
  <si>
    <t>R McLaren</t>
  </si>
  <si>
    <t>MK Pandey, JH Kallis, KP Pietersen, R Dravid, RV Uthappa, LRPL Taylor, V Kohli, DW Steyn, R Vinay Kumar, Pankaj Singh, A Kumble</t>
  </si>
  <si>
    <t>R McLaren, SR Tendulkar, AT Rayudu, KA Pollard, JP Duminy, AM Nayar, SS Tiwary, AP Tare, Harbhajan Singh, Z Khan, CRD Fernando</t>
  </si>
  <si>
    <t>SC Ganguly, BB McCullum, CH Gayle, CA Pujara, MK Tiwary, AD Mathews, LR Shukla, JD Unadkat, M Kartik, AB Dinda, SE Bond</t>
  </si>
  <si>
    <t>SR Watson, NV Ojha, YK Pathan, AJ Finch, AC Voges, AS Raut, P Dogra, FY Fazal, SK Warne, SK Trivedi, Kamran Khan</t>
  </si>
  <si>
    <t>DPMD Jayawardene, SE Marsh, KC Sangakkara, Yuvraj Singh, IK Pathan, K Goel, J Theron, RS Sodhi, PP Chawla, SJ Srivastava, VS Malik</t>
  </si>
  <si>
    <t>AC Gilchrist, MD Mishra, TL Suman, RG Sharma, A Symonds, MR Marsh, B Sumanth, RP Singh, PP Ojha, RJ Harris, R Sharma</t>
  </si>
  <si>
    <t>M Vijay, ML Hayden, MS Dhoni, SK Raina, MEK Hussey, S Badrinath, JA Morkel, R Ashwin, L Balaji, DE Bollinger, SB Jakati</t>
  </si>
  <si>
    <t>V Sehwag, DA Warner, TM Dilshan, G Gambhir, KD Karthik, M Manhas, PD Collingwood, A Mishra, A Nehra, DP Nannes, UT Yadav</t>
  </si>
  <si>
    <t>MJ Lumb, NV Ojha, AG Paunikar, SR Watson, AA Jhunjhunwala, YK Pathan, AC Voges, AS Raut, Kamran Khan, SK Warne, SK Trivedi</t>
  </si>
  <si>
    <t>MK Pandey, JH Kallis, KP Pietersen, RV Uthappa, V Kohli, LRPL Taylor, R Dravid, R Vinay Kumar, Pankaj Singh, A Kumble, DW Steyn</t>
  </si>
  <si>
    <t>C Madan, SR Tendulkar, SS Tiwary, AT Rayudu, JP Duminy, KA Pollard, DJ Bravo, Harbhajan Singh, AG Murtaza, Z Khan, CRD Fernando</t>
  </si>
  <si>
    <t>DA Warner, V Sehwag, G Gambhir, KD Karthik, AB de Villiers, PD Collingwood, AB McDonald, A Mishra, PJ Sangwan, A Nehra, S Ladda</t>
  </si>
  <si>
    <t>M Vijay, ML Hayden, SK Raina, S Anirudha, MS Dhoni, S Badrinath, JA Morkel, R Ashwin, SB Jakati, M Muralitharan, DE Bollinger</t>
  </si>
  <si>
    <t>SC Ganguly, CH Gayle, BB McCullum, MK Tiwary, DJ Hussey, AD Mathews, WP Saha, LR Shukla, AB Agarkar, Iqbal Abdulla, AB Dinda</t>
  </si>
  <si>
    <t>Vidarbha Cricket Association Stadium, Jamtha</t>
  </si>
  <si>
    <t>Nagpur</t>
  </si>
  <si>
    <t>HH Gibbs, AC Gilchrist, TL Suman, RG Sharma, MD Mishra, A Symonds, RJ Harris, B Sumanth, RP Singh, PP Ojha, Harmeet Singh</t>
  </si>
  <si>
    <t>MK Pandey, JH Kallis, R Dravid, RV Uthappa, LRPL Taylor, V Kohli, CL White, R Vinay Kumar, DW Steyn, A Kumble, KP Appanna</t>
  </si>
  <si>
    <t>DA Warner, V Sehwag, G Gambhir, PD Collingwood, KD Karthik, DL Vettori, M Manhas, R Bhatia, MF Maharoof, A Mishra, A Nehra</t>
  </si>
  <si>
    <t>DPMD Jayawardene, IK Pathan, KC Sangakkara, Yuvraj Singh, AB Barath, J Theron, K Goel, RS Sodhi, PP Chawla, RR Powar, L Ablish</t>
  </si>
  <si>
    <t>MJ Lumb, NV Ojha, FY Fazal, SR Watson, AA Jhunjhunwala, AC Voges, YK Pathan, AS Raut, AP Dole, SK Warne, SK Trivedi</t>
  </si>
  <si>
    <t>ST Jayasuriya, SR Tendulkar, AT Rayudu, SS Tiwary, JP Duminy, KA Pollard, R Sathish, DS Kulkarni, Harbhajan Singh, SL Malinga, Z Khan</t>
  </si>
  <si>
    <t>RJ Harris</t>
  </si>
  <si>
    <t>MD Mishra, AC Gilchrist, TL Suman, RG Sharma, A Symonds, DR Smith, B Sumanth, RP Singh, PP Ojha, RJ Harris, Harmeet Singh</t>
  </si>
  <si>
    <t>M Vijay, ML Hayden, SK Raina, MS Dhoni, MEK Hussey, S Badrinath, R Ashwin, T Thushara, SB Jakati, DE Bollinger, S Tyagi</t>
  </si>
  <si>
    <t>S Sriram, JH Kallis, R Dravid, RV Uthappa, LRPL Taylor, CL White, V Kohli, R Vinay Kumar, P Kumar, A Kumble, DW Steyn</t>
  </si>
  <si>
    <t>SC Ganguly, CH Gayle, BB McCullum, MK Tiwary, AD Mathews, WP Saha, CA Pujara, AB Agarkar, AB Dinda, I Sharma, BAW Mendis</t>
  </si>
  <si>
    <t>AB Barath, DPMD Jayawardene, KC Sangakkara, Yuvraj Singh, IK Pathan, RS Sodhi, K Goel, PP Chawla, RR Powar, B Lee, L Ablish</t>
  </si>
  <si>
    <t>S Dhawan, SR Tendulkar, AT Rayudu, SS Tiwary, JP Duminy, R Sathish, KA Pollard, Harbhajan Singh, R McLaren, Z Khan, SL Malinga</t>
  </si>
  <si>
    <t>TL Suman</t>
  </si>
  <si>
    <t>MK Pandey, JH Kallis, R Dravid, RV Uthappa, LRPL Taylor, V Kohli, CL White, P Kumar, R Vinay Kumar, A Kumble, DW Steyn</t>
  </si>
  <si>
    <t>AC Gilchrist, MD Mishra, TL Suman, RG Sharma, A Symonds, Y Venugopal Rao, MR Marsh, RP Singh, PP Ojha, RJ Harris, Harmeet Singh</t>
  </si>
  <si>
    <t>MJ Lumb</t>
  </si>
  <si>
    <t>MJ Lumb, NV Ojha, YK Pathan, SR Watson, FY Fazal, AA Jhunjhunwala, AC Voges, AS Raut, SK Warne, SK Trivedi, AP Dole</t>
  </si>
  <si>
    <t>MS Bisla, DPMD Jayawardene, KC Sangakkara, Yuvraj Singh, IK Pathan, RS Bopara, PP Chawla, Bipul Sharma, J Theron, S Sreesanth, RR Powar</t>
  </si>
  <si>
    <t>SC Ganguly, CH Gayle, BB McCullum, MK Tiwary, AD Mathews, CA Pujara, WP Saha, AB Agarkar, Iqbal Abdulla, AB Dinda, BAW Mendis</t>
  </si>
  <si>
    <t>DA Warner, V Sehwag, G Gambhir, PD Collingwood, KD Karthik, KM Jadhav, MF Maharoof, R Bhatia, DL Vettori, A Mishra, PJ Sangwan</t>
  </si>
  <si>
    <t>M Vijay, ML Hayden, SK Raina, MS Dhoni, MEK Hussey, S Badrinath, R Ashwin, SB Jakati, DE Bollinger, S Tyagi, T Thushara</t>
  </si>
  <si>
    <t>S Dhawan, SR Tendulkar, SS Tiwary, AT Rayudu, DJ Bravo, KA Pollard, R Sathish, R McLaren, Harbhajan Singh, AN Ahmed, SL Malinga</t>
  </si>
  <si>
    <t>VVS Laxman, AC Gilchrist, RG Sharma, A Symonds, Anirudh Singh, DR Smith, AA Bilakhia, RJ Harris, RP Singh, Harmeet Singh, PP Ojha</t>
  </si>
  <si>
    <t>MJ Lumb, NV Ojha, FY Fazal, SR Watson, YK Pathan, AA Jhunjhunwala, AS Raut, SK Warne, M Morkel, AP Dole, SK Trivedi</t>
  </si>
  <si>
    <t>PD Collingwood</t>
  </si>
  <si>
    <t>DA Warner, V Sehwag, G Gambhir, PD Collingwood, KD Karthik, KM Jadhav, DL Vettori, R Bhatia, A Mishra, MF Maharoof, PJ Sangwan</t>
  </si>
  <si>
    <t>JH Kallis, CL White, KP Pietersen, RV Uthappa, LRPL Taylor, V Kohli, R Dravid, R Vinay Kumar, A Mithun, A Kumble, KP Appanna</t>
  </si>
  <si>
    <t>SC Ganguly, CH Gayle, MK Tiwary, AD Mathews, DJ Hussey, CA Pujara, WP Saha, AB Agarkar, M Kartik, SE Bond, JD Unadkat</t>
  </si>
  <si>
    <t>MS Bisla, DPMD Jayawardene, KC Sangakkara, Yuvraj Singh, RS Bopara, IK Pathan, J Theron, PP Chawla, SJ Srivastava, Bipul Sharma, RR Powar</t>
  </si>
  <si>
    <t>S Dhawan, SR Tendulkar, SS Tiwary, DJ Bravo, AT Rayudu, KA Pollard, R Sathish, R McLaren, Harbhajan Singh, Z Khan, SL Malinga</t>
  </si>
  <si>
    <t>HH Gibbs, AC Gilchrist, VVS Laxman, A Symonds, RG Sharma, MD Mishra, TL Suman, RJ Harris, R Sharma, Jaskaran Singh, PP Ojha</t>
  </si>
  <si>
    <t>M Vijay, ML Hayden, SK Raina, JA Morkel, MS Dhoni, S Badrinath, S Anirudha, M Muralitharan, SB Jakati, DE Bollinger, S Tyagi</t>
  </si>
  <si>
    <t>MJ Lumb, NV Ojha, YK Pathan, SR Watson, FY Fazal, AA Jhunjhunwala, AS Raut, S Narwal, SB Wagh, SK Warne, SW Tait</t>
  </si>
  <si>
    <t>SE Marsh, MS Bisla, KC Sangakkara, RS Bopara, Yuvraj Singh, IK Pathan, B Lee, PP Chawla, SJ Srivastava, Bipul Sharma, S Sreesanth</t>
  </si>
  <si>
    <t>MK Pandey, JH Kallis, KP Pietersen, V Kohli, RV Uthappa, CL White, R Dravid, P Kumar, A Kumble, R Vinay Kumar, DW Steyn</t>
  </si>
  <si>
    <t>SC Ganguly, CH Gayle, CA Pujara, MK Tiwary, DJ Hussey, AD Mathews, WP Saha, AB Agarkar, M Kartik, SE Bond, MB Parmar</t>
  </si>
  <si>
    <t>HH Gibbs, AC Gilchrist, MD Mishra, A Symonds, RG Sharma, TL Suman, Y Venugopal Rao, Jaskaran Singh, KAJ Roach, Harmeet Singh, PP Ojha</t>
  </si>
  <si>
    <t>M Vijay, ML Hayden, SK Raina, MS Dhoni, JA Morkel, S Badrinath, C Ganapathy, MS Gony, M Muralitharan, T Thushara, SB Jakati</t>
  </si>
  <si>
    <t>MK Pandey, JH Kallis, RV Uthappa, V Kohli, KP Pietersen, CL White, R Dravid, P Kumar, A Kumble, DW Steyn, R Vinay Kumar</t>
  </si>
  <si>
    <t>DA Warner, V Sehwag, G Gambhir, PD Collingwood, KM Jadhav, KD Karthik, AB McDonald, A Mishra, MF Maharoof, S Ladda, UT Yadav</t>
  </si>
  <si>
    <t>MJ Lumb, NV Ojha, FY Fazal, AA Jhunjhunwala, AC Voges, YK Pathan, P Dogra, SK Warne, S Narwal, SW Tait, SK Trivedi</t>
  </si>
  <si>
    <t>S Dhawan, SR Tendulkar, KA Pollard, SS Tiwary, AT Rayudu, DJ Bravo, R Sathish, Harbhajan Singh, R McLaren, Z Khan, SL Malinga</t>
  </si>
  <si>
    <t>RS Bopara, SE Marsh, MS Bisla, DPMD Jayawardene, Yuvraj Singh, IK Pathan, B Lee, K Goel, PP Chawla, VS Malik, SJ Srivastava</t>
  </si>
  <si>
    <t>DA Warner, V Sehwag, G Gambhir, KD Karthik, PD Collingwood, KM Jadhav, AB McDonald, A Mishra, DP Nannes, UT Yadav, R Bhatia</t>
  </si>
  <si>
    <t>CH Gayle, SC Ganguly, Mandeep Singh, MK Tiwary, DJ Hussey, AD Mathews, WP Saha, AB Agarkar, M Kartik, CK Langeveldt, I Sharma</t>
  </si>
  <si>
    <t>AC Gilchrist, MD Mishra, HH Gibbs, A Symonds, RG Sharma, TL Suman, Y Venugopal Rao, Jaskaran Singh, KAJ Roach, RP Singh, PP Ojha</t>
  </si>
  <si>
    <t>S Dhawan, SR Tendulkar, DJ Bravo, SS Tiwary, AT Rayudu, R Sathish, KA Pollard, R McLaren, Harbhajan Singh, Z Khan, SL Malinga</t>
  </si>
  <si>
    <t>NV Ojha</t>
  </si>
  <si>
    <t>MJ Lumb, NV Ojha, FY Fazal, YK Pathan, AC Voges, AA Jhunjhunwala, P Dogra, S Narwal, SK Warne, SW Tait, SK Trivedi</t>
  </si>
  <si>
    <t>M Vijay, ML Hayden, SK Raina, MS Dhoni, S Badrinath, JA Morkel, KB Arun Karthik, T Thushara, Joginder Sharma, M Muralitharan, SB Jakati</t>
  </si>
  <si>
    <t>RS Bopara, Yuvraj Singh, MS Bisla, KC Sangakkara, DPMD Jayawardene, IK Pathan, K Goel, B Lee, PP Chawla, SJ Srivastava, VS Malik</t>
  </si>
  <si>
    <t>CH Gayle, SC Ganguly, Mandeep Singh, MK Tiwary, DJ Hussey, AD Mathews, WP Saha, SE Bond, AB Agarkar, AB Dinda, Iqbal Abdulla</t>
  </si>
  <si>
    <t>MJ Lumb, NV Ojha, YK Pathan, FY Fazal, AC Voges, AA Jhunjhunwala, P Dogra, SK Warne, S Narwal, SK Trivedi, SW Tait</t>
  </si>
  <si>
    <t>AC Gilchrist, VVS Laxman, HH Gibbs, A Symonds, RG Sharma, TL Suman, Y Venugopal Rao, WPUJC Vaas, R Sharma, RP Singh, PP Ojha</t>
  </si>
  <si>
    <t>PA Patel, ML Hayden, SK Raina, S Badrinath, MS Dhoni, JA Morkel, NLTC Perera, Joginder Sharma, L Balaji, M Muralitharan, SB Jakati</t>
  </si>
  <si>
    <t>S Dhawan, SR Tendulkar, SS Tiwary, R Sathish, KA Pollard, DJ Bravo, R McLaren, AP Tare, Harbhajan Singh, Z Khan, SL Malinga</t>
  </si>
  <si>
    <t>MK Pandey, JH Kallis, RV Uthappa, R Dravid, EJG Morgan, V Kohli, MV Boucher, R Vinay Kumar, P Kumar, DW Steyn, A Kumble</t>
  </si>
  <si>
    <t>DA Warner, V Sehwag, AB de Villiers, KD Karthik, KM Jadhav, AB McDonald, M Manhas, A Mishra, DP Nannes, UT Yadav, PJ Sangwan</t>
  </si>
  <si>
    <t>AC Voges</t>
  </si>
  <si>
    <t>RS Bopara, KC Sangakkara, MS Bisla, Yuvraj Singh, DPMD Jayawardene, IK Pathan, M Kaif, PP Chawla, J Theron, S Sreesanth, SJ Srivastava</t>
  </si>
  <si>
    <t>MJ Lumb, NV Ojha, FY Fazal, YK Pathan, AC Voges, P Dogra, AA Jhunjhunwala, SK Warne, MM Patel, SK Trivedi, SW Tait</t>
  </si>
  <si>
    <t>MK Pandey, JH Kallis, R Dravid, RV Uthappa, V Kohli, EJG Morgan, MV Boucher, P Kumar, A Kumble, DW Steyn, R Vinay Kumar</t>
  </si>
  <si>
    <t>PA Patel, ML Hayden, GJ Bailey, SK Raina, M Vijay, S Badrinath, JA Morkel, R Ashwin, L Balaji, M Muralitharan, S Tyagi</t>
  </si>
  <si>
    <t>S Dhawan, SR Tendulkar, SS Tiwary, KA Pollard, R Sathish, AP Tare, DJ Bravo, R McLaren, Harbhajan Singh, Z Khan, SL Malinga</t>
  </si>
  <si>
    <t>CH Gayle, SC Ganguly, OA Shah, AD Mathews, CA Pujara, Mandeep Singh, WP Saha, M Kartik, Harpreet Singh, SE Bond, I Sharma</t>
  </si>
  <si>
    <t>MD Mishra, AC Gilchrist, HH Gibbs, A Symonds, RG Sharma, TL Suman, Y Venugopal Rao, WPUJC Vaas, R Sharma, PP Ojha, RP Singh</t>
  </si>
  <si>
    <t>DA Warner, V Sehwag, AB de Villiers, KD Karthik, M Manhas, MC Henriques, Y Nagar, A Mishra, UT Yadav, S Ladda, DP Nannes</t>
  </si>
  <si>
    <t>J Theron</t>
  </si>
  <si>
    <t>PA Patel, ML Hayden, SK Raina, M Vijay, S Badrinath, JA Morkel, MS Gony, R Ashwin, JM Kemp, L Balaji, M Muralitharan</t>
  </si>
  <si>
    <t>RS Bopara, IK Pathan, KC Sangakkara, DPMD Jayawardene, Yuvraj Singh, M Kaif, MS Bisla, PP Chawla, J Theron, RR Powar, SJ Srivastava</t>
  </si>
  <si>
    <t>AA Jhunjhunwala</t>
  </si>
  <si>
    <t>MJ Lumb, NV Ojha, FY Fazal, AA Jhunjhunwala, YK Pathan, AC Voges, P Dogra, SK Warne, MM Patel, SK Trivedi, SW Tait</t>
  </si>
  <si>
    <t>MK Tiwary, BJ Hodge, CA Pujara, SC Ganguly, OA Shah, AD Mathews, WP Saha, M Kartik, AB Dinda, SE Bond, I Sharma</t>
  </si>
  <si>
    <t>ST Jayasuriya, SR Tendulkar, AP Tare, SS Tiwary, AT Rayudu, DJ Bravo, R Sathish, KA Pollard, Harbhajan Singh, Z Khan, SL Malinga</t>
  </si>
  <si>
    <t>MK Pandey, JH Kallis, RV Uthappa, V Kohli, EJG Morgan, R Dravid, MV Boucher, P Kumar, A Kumble, DW Steyn, R Vinay Kumar</t>
  </si>
  <si>
    <t>ML Hayden</t>
  </si>
  <si>
    <t>DA Warner, V Sehwag, TM Dilshan, KD Karthik, AB de Villiers, M Manhas, R Bhatia, A Mishra, PJ Sangwan, DP Nannes, UT Yadav</t>
  </si>
  <si>
    <t>PA Patel, ML Hayden, S Badrinath, SK Raina, JA Morkel, JM Kemp, M Vijay, R Ashwin, L Balaji, M Muralitharan, Joginder Sharma</t>
  </si>
  <si>
    <t>AC Gilchrist, VVS Laxman, HH Gibbs, A Symonds, RG Sharma, Anirudh Singh, TL Suman, WPUJC Vaas, Jaskaran Singh, RP Singh, PP Ojha</t>
  </si>
  <si>
    <t>RS Bopara, MS Bisla, KC Sangakkara, Yuvraj Singh, DPMD Jayawardene, AB Barath, IK Pathan, PP Chawla, Bipul Sharma, S Sreesanth, SJ Srivastava</t>
  </si>
  <si>
    <t>MK Pandey, JH Kallis, RV Uthappa, V Kohli, R Dravid, EJG Morgan, MV Boucher, P Kumar, A Kumble, DW Steyn, R Vinay Kumar</t>
  </si>
  <si>
    <t>NV Ojha, MJ Lumb, DR Martyn, AA Jhunjhunwala, YK Pathan, P Dogra, S Narwal, SK Warne, M Morkel, MM Patel, SK Trivedi</t>
  </si>
  <si>
    <t>TM Dilshan, V Sehwag, AB de Villiers, MF Maharoof, KD Karthik, M Manhas, A Mishra, PJ Sangwan, S Ladda, DP Nannes, G Gambhir</t>
  </si>
  <si>
    <t>ST Jayasuriya, SR Tendulkar, AP Tare, SS Tiwary, AT Rayudu, KA Pollard, DJ Bravo, R Sathish, Harbhajan Singh, Z Khan, SL Malinga</t>
  </si>
  <si>
    <t>RS Bopara, MS Bisla, Yuvraj Singh, DPMD Jayawardene, IK Pathan, KC Sangakkara, M Kaif, PP Chawla, Bipul Sharma, YA Abdulla, S Sreesanth</t>
  </si>
  <si>
    <t>BJ Hodge, MK Tiwary, SC Ganguly, WP Saha, OA Shah, AD Mathews, LR Shukla, RS Gavaskar, SE Bond, M Kartik, I Sharma</t>
  </si>
  <si>
    <t>M Vijay, ML Hayden, SK Raina, S Badrinath, MS Dhoni, JM Kemp, JA Morkel, R Ashwin, L Balaji, M Muralitharan, MS Gony</t>
  </si>
  <si>
    <t>SA Asnodkar, GC Smith, NV Ojha, YK Pathan, AA Jhunjhunwala, P Dogra, AD Mascarenhas, A Uniyal, SK Warne, SW Tait, MM Patel</t>
  </si>
  <si>
    <t>G Gambhir, V Sehwag, TM Dilshan, AB de Villiers, KD Karthik, M Manhas, MF Maharoof, A Mishra, S Ladda, PJ Sangwan, DP Nannes</t>
  </si>
  <si>
    <t>BJ Hodge, MK Tiwary, SC Ganguly, CA Pujara, OA Shah, RS Gavaskar, AD Mathews, WP Saha, M Kartik, CK Langeveldt, I Sharma</t>
  </si>
  <si>
    <t>JH Kallis, SP Goswami, MK Pandey, V Kohli, EJG Morgan, R Dravid, RV Uthappa, RE van der Merwe, P Kumar, A Kumble, DW Steyn</t>
  </si>
  <si>
    <t>WPUJC Vaas</t>
  </si>
  <si>
    <t>M Vijay, ML Hayden, SK Raina, S Badrinath, JM Kemp, MS Dhoni, JA Morkel, R Ashwin, L Balaji, M Muralitharan, S Tyagi</t>
  </si>
  <si>
    <t>AC Gilchrist, VVS Laxman, HH Gibbs, A Symonds, RG Sharma, TL Suman, Anirudh Singh, WPUJC Vaas, Jaskaran Singh, RP Singh, PP Ojha</t>
  </si>
  <si>
    <t>ST Jayasuriya, SR Tendulkar, AP Tare, SS Tiwary, AT Rayudu, R Sathish, Harbhajan Singh, R McLaren, Z Khan, SL Malinga, AG Murtaza</t>
  </si>
  <si>
    <t>GC Smith, SA Asnodkar, NV Ojha, AA Jhunjhunwala, YK Pathan, P Dogra, AD Mascarenhas, A Uniyal, SK Warne, Kamran Khan, SW Tait</t>
  </si>
  <si>
    <t>RS Bopara, MS Bisla, KC Sangakkara, Yuvraj Singh, DPMD Jayawardene, IK Pathan, M Kaif, PP Chawla, RR Powar, S Sreesanth, YA Abdulla</t>
  </si>
  <si>
    <t>G Gambhir, V Sehwag, TM Dilshan, AB de Villiers, KD Karthik, M Manhas, MF Maharoof, A Mishra, PJ Sangwan, VY Mahesh, DP Nannes</t>
  </si>
  <si>
    <t>AD Mathews</t>
  </si>
  <si>
    <t>MK Tiwary, BJ Hodge, SC Ganguly, CA Pujara, OA Shah, AD Mathews, WP Saha, LR Shukla, M Kartik, CK Langeveldt, I Sharma</t>
  </si>
  <si>
    <t>New Wanderers Stadium</t>
  </si>
  <si>
    <t>Johannesburg</t>
  </si>
  <si>
    <t>JH Kallis, MK Pandey, RE van der Merwe, R Dravid, LRPL Taylor, V Kohli, MV Boucher, RV Uthappa, P Kumar, R Vinay Kumar, A Kumble</t>
  </si>
  <si>
    <t>AC Gilchrist, HH Gibbs, TL Suman, A Symonds, RG Sharma, Y Venugopal Rao, AA Bilakhia, RJ Harris, PP Ojha, Harmeet Singh, RP Singh</t>
  </si>
  <si>
    <t>JH Kallis, MK Pandey, RE van der Merwe, R Dravid, V Kohli, LRPL Taylor, RV Uthappa, MV Boucher, P Kumar, R Vinay Kumar, A Kumble</t>
  </si>
  <si>
    <t>PA Patel, ML Hayden, MS Dhoni, SK Raina, JA Morkel, JDP Oram, S Badrinath, SB Jakati, L Balaji, M Muralitharan, MS Gony</t>
  </si>
  <si>
    <t>SuperSport Park</t>
  </si>
  <si>
    <t>Centurion</t>
  </si>
  <si>
    <t>G Gambhir, DA Warner, V Sehwag, TM Dilshan, AB de Villiers, KD Karthik, R Bhatia, A Mishra, PJ Sangwan, DP Nannes, A Nehra</t>
  </si>
  <si>
    <t>AC Gilchrist, HH Gibbs, AA Bilakhia, TL Suman, A Symonds, RG Sharma, Y Venugopal Rao, RJ Harris, PP Ojha, Harmeet Singh, RP Singh</t>
  </si>
  <si>
    <t>G Gambhir, DA Warner, V Sehwag, TM Dilshan, R Bhatia, AB de Villiers, KD Karthik, A Mishra, AM Salvi, DP Nannes, PJ Sangwan</t>
  </si>
  <si>
    <t>ST Jayasuriya, SR Tendulkar, JP Duminy, Mohammad Ashraful, AM Rahane, AM Nayar, PR Shah, Harbhajan Singh, SL Malinga, DS Kulkarni, RA Shaikh</t>
  </si>
  <si>
    <t>JH Kallis, MK Pandey, RE van der Merwe, R Dravid, LRPL Taylor, V Kohli, RV Uthappa, MV Boucher, P Kumar, B Akhil, A Kumble</t>
  </si>
  <si>
    <t>AC Gilchrist, HH Gibbs, TL Suman, A Symonds, RG Sharma, Y Venugopal Rao, AA Bilakhia, RJ Harris, Jaskaran Singh, RP Singh, PP Ojha</t>
  </si>
  <si>
    <t>LR Shukla</t>
  </si>
  <si>
    <t>Kingsmead</t>
  </si>
  <si>
    <t>Durban</t>
  </si>
  <si>
    <t>BB McCullum, SC Ganguly, BJ Hodge, Yashpal Singh, DJ Hussey, LR Shukla, SS Shaikh, AB Agarkar, CK Langeveldt, AB Dinda, SS Sarkar</t>
  </si>
  <si>
    <t>NV Ojha, RJ Quiney, SA Asnodkar, NK Patel, J Botha, YK Pathan, RA Jadeja, T Henderson, SK Warne, MM Patel, A Singh</t>
  </si>
  <si>
    <t>M Muralitharan</t>
  </si>
  <si>
    <t>GJ Bailey, PA Patel, SK Raina, S Badrinath, MS Dhoni, JDP Oram, MS Gony, R Ashwin, T Thushara, L Balaji, M Muralitharan</t>
  </si>
  <si>
    <t>S Sohal, SM Katich, LA Pomersbach, Yuvraj Singh, KC Sangakkara, WA Mota, IK Pathan, B Lee, PP Chawla, RR Powar, S Sreesanth</t>
  </si>
  <si>
    <t>RV Uthappa, JH Kallis, R Dravid, LRPL Taylor, MV Boucher, V Kohli, RE van der Merwe, P Kumar, B Akhil, A Kumble, MK Pandey</t>
  </si>
  <si>
    <t>G Gambhir, V Sehwag, M Manhas, AB de Villiers, KD Karthik, AB McDonald, Y Nagar, MF Maharoof, DL Vettori, AM Salvi, A Nehra</t>
  </si>
  <si>
    <t>PA Patel, GJ Bailey, SK Raina, MS Dhoni, JA Morkel, S Badrinath, JDP Oram, SB Jakati, L Balaji, M Muralitharan, S Tyagi</t>
  </si>
  <si>
    <t>BB McCullum, SC Ganguly, BJ Hodge, DJ Hussey, WP Saha, LR Shukla, AB Agarkar, Anureet Singh, M Kartik, AB Dinda, BAW Mendis</t>
  </si>
  <si>
    <t>AC Gilchrist, HH Gibbs, TL Suman, A Symonds, RG Sharma, Y Venugopal Rao, DB Ravi Teja, RJ Harris, RP Singh, Jaskaran Singh, PP Ojha</t>
  </si>
  <si>
    <t>OUTsurance Oval</t>
  </si>
  <si>
    <t>Bloemfontein</t>
  </si>
  <si>
    <t>G Gambhir, V Sehwag, AB de Villiers, TM Dilshan, KD Karthik, A Mishra, M Manhas, MF Maharoof, AM Salvi, A Nehra, DP Nannes</t>
  </si>
  <si>
    <t>RJ Quiney, GC Smith, NV Ojha, J Botha, RA Jadeja, YK Pathan, AS Raut, SK Warne, A Singh, SK Trivedi, MM Patel</t>
  </si>
  <si>
    <t>St George's Park</t>
  </si>
  <si>
    <t>Port Elizabeth</t>
  </si>
  <si>
    <t>PA Patel, ML Hayden, SK Raina, S Badrinath, MS Dhoni, JDP Oram, JA Morkel, SB Jakati, L Balaji, M Muralitharan, S Tyagi</t>
  </si>
  <si>
    <t>ST Jayasuriya, DJ Bravo, JP Duminy, SR Tendulkar, AM Nayar, Harbhajan Singh, YV Takawale, AM Rahane, DS Kulkarni, SL Malinga, C Nanda</t>
  </si>
  <si>
    <t>AC Gilchrist, HH Gibbs, TL Suman, A Symonds, RG Sharma, Y Venugopal Rao, DB Ravi Teja, RJ Harris, Harmeet Singh, RP Singh, PP Ojha</t>
  </si>
  <si>
    <t>BB McCullum, SC Ganguly, BJ Hodge, DJ Hussey, WP Saha, Mashrafe Mortaza, AB Agarkar, Yashpal Singh, M Kartik, I Sharma, SS Shaikh</t>
  </si>
  <si>
    <t>G Gambhir, V Sehwag, TM Dilshan, AB de Villiers, M Manhas, KD Karthik, MF Maharoof, DL Vettori, R Bhatia, PJ Sangwan, A Nehra</t>
  </si>
  <si>
    <t>S Sohal, SM Katich, LA Pomersbach, Yuvraj Singh, KC Sangakkara, IK Pathan, B Lee, PP Chawla, RR Powar, WA Mota, S Sreesanth</t>
  </si>
  <si>
    <t>RV Uthappa, JH Kallis, R Dravid, LRPL Taylor, V Kohli, MV Boucher, RE van der Merwe, B Akhil, P Kumar, R Vinay Kumar, A Kumble</t>
  </si>
  <si>
    <t>M Vijay, ML Hayden, SK Raina, MS Dhoni, JDP Oram, S Badrinath, JA Morkel, SB Jakati, L Balaji, M Muralitharan, S Tyagi</t>
  </si>
  <si>
    <t>DJ Bravo, YV Takawale, AM Rahane, ST Jayasuriya, SR Tendulkar, JP Duminy, AM Nayar, Harbhajan Singh, DS Kulkarni, C Nanda, SL Malinga</t>
  </si>
  <si>
    <t>RJ Quiney, GC Smith, YK Pathan, RA Jadeja, SD Chitnis, NV Ojha, J Botha, SK Warne, AS Raut, MM Patel, SK Trivedi</t>
  </si>
  <si>
    <t>R Bhatia</t>
  </si>
  <si>
    <t>TL Suman, AC Gilchrist, RG Sharma, DB Ravi Teja, A Symonds, DR Smith, Y Venugopal Rao, WPUJC Vaas, RP Singh, PP Ojha, Shoaib Ahmed</t>
  </si>
  <si>
    <t>G Gambhir, DA Warner, TM Dilshan, AB de Villiers, V Sehwag, KD Karthik, R Bhatia, A Mishra, PJ Sangwan, A Nehra, DP Nannes</t>
  </si>
  <si>
    <t>JD Ryder, JH Kallis, RV Uthappa, LRPL Taylor, R Dravid, MV Boucher, V Kohli, B Akhil, KP Appanna, R Vinay Kumar, A Kumble</t>
  </si>
  <si>
    <t>BB McCullum, SC Ganguly, AN Ghosh, DJ Hussey, AD Mathews, WP Saha, Yashpal Singh, AB Agarkar, M Kartik, I Sharma, BAW Mendis</t>
  </si>
  <si>
    <t>S Sohal, SM Katich, IK Pathan, KC Sangakkara, Yuvraj Singh, WA Mota, LA Pomersbach, K Goel, B Lee, PP Chawla, S Sreesanth</t>
  </si>
  <si>
    <t>ST Jayasuriya, DJ Bravo, AM Rahane, SR Tendulkar, JP Duminy, AM Nayar, Harbhajan Singh, RR Raje, YV Takawale, DS Kulkarni, SL Malinga</t>
  </si>
  <si>
    <t>De Beers Diamond Oval</t>
  </si>
  <si>
    <t>Kimberley</t>
  </si>
  <si>
    <t>TL Suman, AC Gilchrist, RG Sharma, A Symonds, DR Smith, WPUJC Vaas, Y Venugopal Rao, DB Ravi Teja, RP Singh, PP Ojha, Shoaib Ahmed</t>
  </si>
  <si>
    <t>GC Smith, SA Asnodkar, LA Carseldine, NV Ojha, YK Pathan, RA Jadeja, AS Raut, M Morkel, SK Warne, SK Trivedi, MM Patel</t>
  </si>
  <si>
    <t>JH Kallis, V Kohli, RV Uthappa, LRPL Taylor, R Dravid, MV Boucher, RE van der Merwe, R Vinay Kumar, A Kumble, KP Appanna, A Mithun</t>
  </si>
  <si>
    <t>ST Jayasuriya, SR Tendulkar, AM Rahane, JP Duminy, AM Nayar, DJ Bravo, Harbhajan Singh, YV Takawale, C Nanda, DS Kulkarni, SL Malinga</t>
  </si>
  <si>
    <t>G Gambhir, DA Warner, AB de Villiers, TM Dilshan, KD Karthik, M Manhas, R Bhatia, A Mishra, PJ Sangwan, A Nehra, DP Nannes</t>
  </si>
  <si>
    <t>BB McCullum, SC Ganguly, BJ Hodge, MN van Wyk, Yashpal Singh, WP Saha, MC Henriques, AB Agarkar, M Kartik, I Sharma, SS Sarkar</t>
  </si>
  <si>
    <t>S Badrinath</t>
  </si>
  <si>
    <t>M Vijay, ML Hayden, SK Raina, S Badrinath, JDP Oram, MS Dhoni, JA Morkel, S Tyagi, SB Jakati, L Balaji, M Muralitharan</t>
  </si>
  <si>
    <t>GC Smith, NV Ojha, SA Asnodkar, RA Jadeja, YK Pathan, LA Carseldine, AS Raut, SK Warne, SM Harwood, A Singh, SK Trivedi</t>
  </si>
  <si>
    <t>AC Gilchrist, HH Gibbs, TL Suman, RG Sharma, A Symonds, Y Venugopal Rao, DB Ravi Teja, PP Ojha, Shoaib Ahmed, RP Singh, RJ Harris</t>
  </si>
  <si>
    <t>S Sohal, SM Katich, KC Sangakkara, Yuvraj Singh, DPMD Jayawardene, IK Pathan, WA Mota, B Lee, PP Chawla, RR Powar, S Sreesanth</t>
  </si>
  <si>
    <t>Buffalo Park</t>
  </si>
  <si>
    <t>East London</t>
  </si>
  <si>
    <t>G Gambhir, DA Warner, TM Dilshan, AB de Villiers, KD Karthik, M Manhas, R Bhatia, A Mishra, PJ Sangwan, A Nehra, DP Nannes</t>
  </si>
  <si>
    <t>L Ronchi, JP Duminy, PR Shah, SR Tendulkar, AM Nayar, DJ Bravo, Harbhajan Singh, AM Rahane, RR Raje, DS Kulkarni, SL Malinga</t>
  </si>
  <si>
    <t>S Badrinath, ML Hayden, SK Raina, MS Dhoni, JA Morkel, GJ Bailey, S Tyagi, SB Jakati, L Balaji, M Muralitharan, MS Gony</t>
  </si>
  <si>
    <t>S Sohal, SM Katich, K Goel, Yuvraj Singh, DPMD Jayawardene, KC Sangakkara, IK Pathan, S Sreesanth, PP Chawla, YA Abdulla, VRV Singh</t>
  </si>
  <si>
    <t>A Singh</t>
  </si>
  <si>
    <t>JH Kallis, W Jaffer, RV Uthappa, R Dravid, V Kohli, MV Boucher, RE van der Merwe, D du Preez, P Kumar, R Vinay Kumar, A Kumble</t>
  </si>
  <si>
    <t>GC Smith, NV Ojha, LA Carseldine, YK Pathan, RA Jadeja, AS Raut, NK Patel, SK Warne, M Morkel, MM Patel, A Singh</t>
  </si>
  <si>
    <t>AC Gilchrist, HH Gibbs, TL Suman, RG Sharma, DR Smith, Y Venugopal Rao, DB Ravi Teja, RJ Harris, Shoaib Ahmed, RP Singh, Harmeet Singh</t>
  </si>
  <si>
    <t>ST Jayasuriya, SR Tendulkar, PR Shah, JP Duminy, DJ Bravo, AM Nayar, Harbhajan Singh, SS Tiwary, RR Raje, DS Kulkarni, SL Malinga</t>
  </si>
  <si>
    <t>MN van Wyk, BB McCullum, BJ Hodge, MC Henriques, WP Saha, SC Ganguly, Yashpal Singh, AB Agarkar, M Kartik, I Sharma, AB Dinda</t>
  </si>
  <si>
    <t>GC Smith</t>
  </si>
  <si>
    <t>S Sohal, KC Sangakkara, K Goel, SM Katich, DPMD Jayawardene, Yuvraj Singh, IK Pathan, PP Chawla, RR Powar, S Sreesanth, YA Abdulla</t>
  </si>
  <si>
    <t>NV Ojha, GC Smith, YK Pathan, RA Jadeja, LA Carseldine, AS Raut, NK Patel, SK Warne, SM Harwood, SK Trivedi, A Singh</t>
  </si>
  <si>
    <t>M Vijay, ML Hayden, MS Dhoni, SK Raina, JA Morkel, JDP Oram, S Badrinath, S Tyagi, SB Jakati, L Balaji, M Muralitharan</t>
  </si>
  <si>
    <t>AC Gilchrist, HH Gibbs, VVS Laxman, RG Sharma, DR Smith, TL Suman, Y Venugopal Rao, RJ Harris, RP Singh, Shoaib Ahmed, PP Ojha</t>
  </si>
  <si>
    <t>S Sohal, KC Sangakkara, SM Katich, DPMD Jayawardene, Yuvraj Singh, IK Pathan, RR Powar, TM Srivastava, VS Malik, PP Chawla, YA Abdulla</t>
  </si>
  <si>
    <t>BB McCullum, CH Gayle, BJ Hodge, SC Ganguly, MN van Wyk, WP Saha, LR Shukla, AB Agarkar, M Kartik, I Sharma, AB Dinda</t>
  </si>
  <si>
    <t>ST Jayasuriya, SR Tendulkar, AM Rahane, JP Duminy, DJ Bravo, AM Nayar, S Dhawan, PR Shah, Harbhajan Singh, Z Khan, SL Malinga</t>
  </si>
  <si>
    <t>SB Jakati</t>
  </si>
  <si>
    <t>M Vijay, ML Hayden, SK Raina, S Badrinath, JA Morkel, MS Dhoni, JDP Oram, SB Jakati, L Balaji, M Muralitharan, S Tyagi</t>
  </si>
  <si>
    <t>G Gambhir, DA Warner, AB de Villiers, TM Dilshan, KD Karthik, M Manhas, R Bhatia, PJ Sangwan, A Mishra, A Nehra, DP Nannes</t>
  </si>
  <si>
    <t>HH Gibbs, AC Gilchrist, AA Bilakhia, RG Sharma, TL Suman, DR Smith, Y Venugopal Rao, Shoaib Ahmed, PP Ojha, RP Singh, FH Edwards</t>
  </si>
  <si>
    <t>GC Smith, SA Asnodkar, LA Carseldine, NV Ojha, RA Jadeja, SK Warne, AS Raut, YK Pathan, SM Harwood, SK Trivedi, MM Patel</t>
  </si>
  <si>
    <t>CH Gayle, SC Ganguly, BJ Hodge, MN van Wyk, LR Shukla, BB McCullum, WP Saha, AB Agarkar, M Kartik, I Sharma, AB Dinda</t>
  </si>
  <si>
    <t>ST Jayasuriya, SR Tendulkar, Harbhajan Singh, AM Nayar, JP Duminy, GR Napier, AM Rahane, Z Khan, SS Tiwary, PR Shah, SL Malinga</t>
  </si>
  <si>
    <t>JD Ryder, SP Goswami, R Bishnoi, JH Kallis, RV Uthappa, V Kohli, MV Boucher, RE van der Merwe, P Kumar, A Kumble, KP Appanna</t>
  </si>
  <si>
    <t>Yuvraj Singh, K Goel, SM Katich, KC Sangakkara, DPMD Jayawardene, IK Pathan, PP Chawla, RR Powar, TM Srivastava, VS Malik, YA Abdulla</t>
  </si>
  <si>
    <t>PA Patel, ML Hayden, SK Raina, S Badrinath, JDP Oram, MS Dhoni, JA Morkel, S Tyagi, SB Jakati, L Balaji, M Muralitharan</t>
  </si>
  <si>
    <t>RJ Quiney, GC Smith, SA Asnodkar, RA Jadeja, YK Pathan, AD Mascarenhas, SK Warne, M Rawat, MM Patel, SK Trivedi, Kamran Khan</t>
  </si>
  <si>
    <t>DP Nannes</t>
  </si>
  <si>
    <t>AC Gilchrist, HH Gibbs, AA Bilakhia, RG Sharma, TL Suman, DR Smith, Y Venugopal Rao, Shoaib Ahmed, RP Singh, PP Ojha, FH Edwards</t>
  </si>
  <si>
    <t>G Gambhir, V Sehwag, AB de Villiers, TM Dilshan, KD Karthik, M Manhas, DL Vettori, A Mishra, PJ Sangwan, A Nehra, DP Nannes</t>
  </si>
  <si>
    <t>RS Bopara, K Goel, KC Sangakkara, Yuvraj Singh, DPMD Jayawardene, IK Pathan, WA Mota, PP Chawla, RR Powar, VS Malik, YA Abdulla</t>
  </si>
  <si>
    <t>ST Jayasuriya, SR Tendulkar, S Dhawan, JP Duminy, DJ Bravo, AM Nayar, Harbhajan Singh, SS Tiwary, Z Khan, PR Shah, SL Malinga</t>
  </si>
  <si>
    <t>MV Boucher</t>
  </si>
  <si>
    <t>JH Kallis, SP Goswami, KP Pietersen, V Kohli, MV Boucher, RE van der Merwe, MK Pandey, P Kumar, Pankaj Singh, A Kumble, KP Appanna</t>
  </si>
  <si>
    <t>G Gambhir, V Sehwag, AB de Villiers, TM Dilshan, KD Karthik, DL Vettori, M Manhas, A Mishra, PJ Sangwan, A Nehra, DP Nannes</t>
  </si>
  <si>
    <t>RJ Quiney, GC Smith, SA Asnodkar, PC Valthaty, RA Jadeja, SK Warne, YK Pathan, AD Mascarenhas, M Rawat, MM Patel, Kamran Khan</t>
  </si>
  <si>
    <t>BB McCullum, CH Gayle, BJ Hodge, SC Ganguly, Yashpal Singh, AN Ghosh, LR Shukla, I Sharma, BAW Mendis, AB Dinda, Anureet Singh</t>
  </si>
  <si>
    <t>ST Jayasuriya, SR Tendulkar, Harbhajan Singh, JP Duminy, AM Nayar, DJ Bravo, S Dhawan, SS Tiwary, PR Shah, Z Khan, SL Malinga</t>
  </si>
  <si>
    <t>HH Gibbs</t>
  </si>
  <si>
    <t>PA Patel, ML Hayden, SK Raina, MS Dhoni, JDP Oram, JA Morkel, S Badrinath, MS Gony, Joginder Sharma, L Balaji, M Muralitharan</t>
  </si>
  <si>
    <t>AC Gilchrist, HH Gibbs, VVS Laxman, RG Sharma, DR Smith, AA Bilakhia, Y Venugopal Rao, PP Ojha, RP Singh, FH Edwards, Shoaib Ahmed</t>
  </si>
  <si>
    <t>Newlands</t>
  </si>
  <si>
    <t>Cape Town</t>
  </si>
  <si>
    <t>RS Bopara, K Goel, KC Sangakkara, Yuvraj Singh, DPMD Jayawardene, IK Pathan, PP Chawla, WA Mota, RR Powar, VRV Singh, YA Abdulla</t>
  </si>
  <si>
    <t>SA Asnodkar, GC Smith, RJ Quiney, YK Pathan, AD Mascarenhas, RA Jadeja, AS Raut, SK Warne, M Rawat, MM Patel, Kamran Khan</t>
  </si>
  <si>
    <t>TM Dilshan</t>
  </si>
  <si>
    <t>JH Kallis, RV Uthappa, KP Pietersen, LRPL Taylor, V Kohli, MV Boucher, B Akhil, R Vinay Kumar, Pankaj Singh, A Kumble, KP Appanna</t>
  </si>
  <si>
    <t>G Gambhir, V Sehwag, TM Dilshan, AB de Villiers, KD Karthik, M Manhas, A Mishra, DL Vettori, DP Nannes, PJ Sangwan, A Nehra</t>
  </si>
  <si>
    <t>PP Ojha</t>
  </si>
  <si>
    <t>AC Gilchrist, HH Gibbs, DR Smith, RG Sharma, VVS Laxman, Y Venugopal Rao, DB Ravi Teja, RP Singh, FH Edwards, PP Ojha, Harmeet Singh</t>
  </si>
  <si>
    <t>ST Jayasuriya, SR Tendulkar, JP Duminy, S Dhawan, DJ Bravo, AM Nayar, Harbhajan Singh, Z Khan, PR Shah, SL Malinga, DS Kulkarni</t>
  </si>
  <si>
    <t>RS Bopara</t>
  </si>
  <si>
    <t>JD Ryder, RV Uthappa, JH Kallis, KP Pietersen, R Dravid, LRPL Taylor, V Kohli, P Kumar, R Vinay Kumar, Pankaj Singh, A Kumble</t>
  </si>
  <si>
    <t>RS Bopara, K Goel, KC Sangakkara, Yuvraj Singh, DPMD Jayawardene, IK Pathan, WA Mota, PP Chawla, VRV Singh, RR Bose, YA Abdulla</t>
  </si>
  <si>
    <t>PA Patel, ML Hayden, SK Raina, MS Dhoni, A Flintoff, JA Morkel, S Badrinath, MS Gony, Joginder Sharma, L Balaji, M Muralitharan</t>
  </si>
  <si>
    <t>G Gambhir, V Sehwag, AB de Villiers, TM Dilshan, KD Karthik, MK Tiwary, DL Vettori, DP Nannes, AM Salvi, PJ Sangwan, A Nehra</t>
  </si>
  <si>
    <t>CH Gayle, BB McCullum, LR Shukla, BJ Hodge, SC Ganguly, SB Bangar, Yashpal Singh, AB Agarkar, I Sharma, BAW Mendis, Anureet Singh</t>
  </si>
  <si>
    <t>GC Smith, PC Valthaty, RJ Quiney, YK Pathan, RA Jadeja, AD Mascarenhas, AS Raut, SK Warne, M Rawat, MM Patel, Kamran Khan</t>
  </si>
  <si>
    <t>JD Ryder, RV Uthappa, JH Kallis, KP Pietersen, R Dravid, V Kohli, R Bishnoi, KV Sharma, P Kumar, A Kumble, DW Steyn</t>
  </si>
  <si>
    <t>AC Gilchrist, HH Gibbs, VVS Laxman, RG Sharma, SB Styris, Y Venugopal Rao, DB Ravi Teja, FH Edwards, Harmeet Singh, PP Ojha, RP Singh</t>
  </si>
  <si>
    <t>RS Bopara, K Goel, IK Pathan, KC Sangakkara, Yuvraj Singh, DPMD Jayawardene, T Kohli, PP Chawla, VS Malik, VRV Singh, YA Abdulla</t>
  </si>
  <si>
    <t>BB McCullum, CH Gayle, BJ Hodge, SC Ganguly, Yashpal Singh, A Chopra, MC Henriques, LR Shukla, I Sharma, M Kartik, AB Dinda</t>
  </si>
  <si>
    <t>P Kumar, RV Uthappa, JH Kallis, LRPL Taylor, KP Pietersen, R Dravid, V Kohli, R Bishnoi, R Vinay Kumar, DW Steyn, A Kumble</t>
  </si>
  <si>
    <t>PA Patel, ML Hayden, SK Raina, MS Dhoni, A Flintoff, JA Morkel, S Badrinath, Joginder Sharma, L Balaji, MS Gony, M Muralitharan</t>
  </si>
  <si>
    <t>DL Vettori</t>
  </si>
  <si>
    <t>G Gambhir, V Sehwag, TM Dilshan, AB de Villiers, MK Tiwary, KD Karthik, DP Nannes, DL Vettori, VY Mahesh, AM Salvi, PJ Sangwan</t>
  </si>
  <si>
    <t>RS Bopara, K Goel, Yuvraj Singh, KC Sangakkara, DPMD Jayawardene, IK Pathan, PP Chawla, T Kohli, VS Malik, VRV Singh, YA Abdulla</t>
  </si>
  <si>
    <t>RP Singh</t>
  </si>
  <si>
    <t>AC Gilchrist, HH Gibbs, VVS Laxman, RG Sharma, SB Styris, Y Venugopal Rao, Harmeet Singh, PP Ojha, RP Singh, DB Ravi Teja, FH Edwards</t>
  </si>
  <si>
    <t>BB McCullum, CH Gayle, SC Ganguly, BJ Hodge, A Chopra, LR Shukla, MC Henriques, AB Agarkar, M Kartik, I Sharma, AB Dinda</t>
  </si>
  <si>
    <t>PA Patel, ML Hayden, SK Raina, A Flintoff, MS Dhoni, JDP Oram, S Badrinath, Joginder Sharma, T Thushara, MS Gony, R Ashwin</t>
  </si>
  <si>
    <t>ST Jayasuriya, SR Tendulkar, S Dhawan, JP Duminy, DJ Bravo, AM Nayar, Harbhajan Singh, Z Khan, PR Shah, SL Malinga, RR Raje</t>
  </si>
  <si>
    <t>JD Ryder, RV Uthappa, LRPL Taylor, KP Pietersen, R Dravid, V Kohli, B Akhil, P Kumar, R Vinay Kumar, DW Steyn, A Kumble</t>
  </si>
  <si>
    <t>GC Smith, SA Asnodkar, NK Patel, T Henderson, YK Pathan, AD Mascarenhas, RA Jadeja, SK Warne, M Rawat, MM Patel, Kamran Khan</t>
  </si>
  <si>
    <t>PA Patel, S Vidyut, SK Raina, JA Morkel, MS Dhoni, CK Kapugedera, S Badrinath, MS Gony, L Balaji, M Muralitharan, M Ntini</t>
  </si>
  <si>
    <t>NK Patel, SA Asnodkar, Kamran Akmal, SR Watson, YK Pathan, M Kaif, RA Jadeja, SK Warne, Sohail Tanvir, SK Trivedi, MM Patel</t>
  </si>
  <si>
    <t>M Ntini</t>
  </si>
  <si>
    <t>PA Patel, S Vidyut, SK Raina, MS Dhoni, CK Kapugedera, S Badrinath, JA Morkel, MS Gony, L Balaji, M Muralitharan, M Ntini</t>
  </si>
  <si>
    <t>SE Marsh, JR Hopes, KC Sangakkara, Yuvraj Singh, DPMD Jayawardene, IK Pathan, WA Mota, PP Chawla, RR Powar, S Sreesanth, VRV Singh</t>
  </si>
  <si>
    <t>G Gambhir, V Sehwag, S Dhawan, MK Tiwary, TM Dilshan, KD Karthik, MF Maharoof, A Mishra, VY Mahesh, Mohammad Asif, GD McGrath</t>
  </si>
  <si>
    <t>GC Smith, SA Asnodkar, Sohail Tanvir, SR Watson, M Kaif, YK Pathan, RA Jadeja, SK Warne, M Rawat, MM Patel, SK Trivedi</t>
  </si>
  <si>
    <t>CRD Fernando</t>
  </si>
  <si>
    <t>MV Boucher, SP Goswami, Misbah-ul-Haq, R Dravid, CL White, V Kohli, B Akhil, P Kumar, R Vinay Kumar, A Kumble, DW Steyn</t>
  </si>
  <si>
    <t>ST Jayasuriya, SR Tendulkar, RV Uthappa, DR Smith, AM Nayar, SM Pollock, MK Pandey, YV Takawale, DS Kulkarni, CRD Fernando, A Nehra</t>
  </si>
  <si>
    <t>SE Marsh, JR Hopes, Yuvraj Singh, LA Pomersbach, KC Sangakkara, RR Powar, PP Chawla, IK Pathan, VRV Singh, S Sreesanth, WA Mota</t>
  </si>
  <si>
    <t>M Kaif, NK Patel, Younis Khan, SR Watson, YK Pathan, Kamran Akmal, M Rawat, D Salunkhe, Pankaj Singh, SK Trivedi, MM Patel</t>
  </si>
  <si>
    <t>AC Gilchrist, HH Gibbs, SB Styris, Y Venugopal Rao, DB Ravi Teja, Shahid Afridi, AS Yadav, RP Singh, PP Ojha, PM Sarvesh Kumar, DP Vijaykumar</t>
  </si>
  <si>
    <t>PA Patel, SP Fleming, SK Raina, MS Dhoni, JA Morkel, S Badrinath, A Mukund, M Ntini, M Muralitharan, MS Gony, L Balaji</t>
  </si>
  <si>
    <t>Sohail Tanvir</t>
  </si>
  <si>
    <t>Kamran Akmal, SA Asnodkar, YK Pathan, SR Watson, M Kaif, RA Jadeja, NK Patel, SK Warne, Sohail Tanvir, SK Trivedi, Pankaj Singh</t>
  </si>
  <si>
    <t>ST Jayasuriya, SR Tendulkar, AM Nayar, RV Uthappa, DR Smith, SM Pollock, MK Pandey, YV Takawale, RR Raje, CRD Fernando, A Nehra</t>
  </si>
  <si>
    <t>Umar Gul</t>
  </si>
  <si>
    <t>Salman Butt, SC Ganguly, DB Das, DJ Hussey, LR Shukla, WP Saha, A Chopra, Umar Gul, I Sharma, BAW Mendis, AB Dinda</t>
  </si>
  <si>
    <t>SE Marsh, JR Hopes, KC Sangakkara, Yuvraj Singh, DPMD Jayawardene, IK Pathan, PP Chawla, TM Srivastava, RR Powar, VRV Singh, S Sreesanth</t>
  </si>
  <si>
    <t>AC Gilchrist, HH Gibbs, RG Sharma, LPC Silva, Y Venugopal Rao, DB Ravi Teja, AS Yadav, SB Bangar, WPUJC Vaas, RP Singh, DP Vijaykumar</t>
  </si>
  <si>
    <t>JH Kallis, W Jaffer, Misbah-ul-Haq, R Dravid, CL White, V Kohli, B Akhil, SP Goswami, R Vinay Kumar, A Kumble, DW Steyn</t>
  </si>
  <si>
    <t>PA Patel, SP Fleming, SK Raina, JA Morkel, MS Dhoni, S Badrinath, MS Gony, A Mukund, L Balaji, M Muralitharan, M Ntini</t>
  </si>
  <si>
    <t>GC Smith, SA Asnodkar, Kamran Akmal, YK Pathan, M Kaif, T Kohli, D Salunkhe, SK Warne, Sohail Tanvir, Pankaj Singh, MM Patel</t>
  </si>
  <si>
    <t>G Gambhir, V Sehwag, S Dhawan, MK Tiwary, TM Dilshan, KD Karthik, MF Maharoof, B Geeves, VY Mahesh, A Mishra, GD McGrath</t>
  </si>
  <si>
    <t>ST Jayasuriya, SR Tendulkar, DR Smith, RV Uthappa, AM Nayar, SM Pollock, SD Chitnis, PR Shah, A Nel, DS Kulkarni, A Nehra</t>
  </si>
  <si>
    <t>SE Marsh, KC Sangakkara, Yuvraj Singh, LA Pomersbach, DPMD Jayawardene, PP Chawla, TM Srivastava, RR Powar, Gagandeep Singh, VRV Singh, S Sreesanth</t>
  </si>
  <si>
    <t>AC Gilchrist, HH Gibbs, RG Sharma, Y Venugopal Rao, LPC Silva, SB Styris, DB Ravi Teja, SB Bangar, RP Singh, PP Ojha, DP Vijaykumar</t>
  </si>
  <si>
    <t>PA Patel, SP Fleming, MS Dhoni, SK Raina, S Badrinath, JA Morkel, S Vidyut, MS Gony, L Balaji, M Ntini, M Muralitharan</t>
  </si>
  <si>
    <t>JH Kallis, SP Goswami, V Kohli, R Dravid, Misbah-ul-Haq, MV Boucher, B Akhil, P Kumar, R Vinay Kumar, A Kumble, DW Steyn</t>
  </si>
  <si>
    <t>ST Jayasuriya, SR Tendulkar, DR Smith, AM Nayar, RV Uthappa, SM Pollock, PR Shah, SD Chitnis, CRD Fernando, A Nehra, VS Yeligati</t>
  </si>
  <si>
    <t>SE Marsh, JR Hopes, LA Pomersbach, Yuvraj Singh, DPMD Jayawardene, IK Pathan, TM Srivastava, PP Chawla, U Kaul, S Sreesanth, VRV Singh</t>
  </si>
  <si>
    <t>Salman Butt, Mohammad Hafeez, SC Ganguly, DJ Hussey, DB Das, LR Shukla, WP Saha, AB Agarkar, Umar Gul, I Sharma, AB Dinda</t>
  </si>
  <si>
    <t>GC Smith, SA Asnodkar, Sohail Tanvir, M Kaif, SR Watson, YK Pathan, RA Jadeja, SK Warne, M Rawat, SK Trivedi, MM Patel</t>
  </si>
  <si>
    <t>SP Goswami</t>
  </si>
  <si>
    <t>JH Kallis, B Chipli, SP Goswami, R Dravid, Misbah-ul-Haq, CL White, B Akhil, P Kumar, Z Khan, A Kumble, DW Steyn</t>
  </si>
  <si>
    <t>G Gambhir, V Sehwag, AB de Villiers, TM Dilshan, S Dhawan, KD Karthik, MF Maharoof, R Bhatia, VY Mahesh, PJ Sangwan, GD McGrath</t>
  </si>
  <si>
    <t>Salman Butt, Mohammad Hafeez, SC Ganguly, DB Das, DJ Hussey, LR Shukla, WP Saha, AB Agarkar, I Sharma, AB Dinda, Shoaib Akhtar</t>
  </si>
  <si>
    <t>PA Patel, SP Fleming, S Vidyut, SK Raina, S Badrinath, MS Dhoni, JA Morkel, MS Gony, L Balaji, M Muralitharan, M Ntini</t>
  </si>
  <si>
    <t>AC Gilchrist, Shahid Afridi, RG Sharma, LPC Silva, Y Venugopal Rao, DB Ravi Teja, DNT Zoysa, H Das, RP Singh, PP Ojha, DP Vijaykumar</t>
  </si>
  <si>
    <t>ST Jayasuriya, SR Tendulkar, DJ Thornely, AM Nayar, RV Uthappa, DJ Bravo, PR Shah, YV Takawale, RR Raje, A Nehra, CRD Fernando</t>
  </si>
  <si>
    <t>G Gambhir, V Sehwag, S Dhawan, TM Dilshan, MF Maharoof, Shoaib Malik, PJ Sangwan, KD Karthik, A Mishra, R Bhatia, GD McGrath</t>
  </si>
  <si>
    <t>SE Marsh, JR Hopes, Yuvraj Singh, LA Pomersbach, DPMD Jayawardene, IK Pathan, RR Powar, PP Chawla, U Kaul, S Sreesanth, VRV Singh</t>
  </si>
  <si>
    <t>GC Smith, SA Asnodkar, SR Watson, YK Pathan, M Kaif, RA Jadeja, SK Warne, Sohail Tanvir, M Rawat, SK Trivedi, MM Patel</t>
  </si>
  <si>
    <t>J Arunkumar, V Kohli, Misbah-ul-Haq, JH Kallis, CL White, R Dravid, DT Patil, P Kumar, Z Khan, A Kumble, Abdur Razzak</t>
  </si>
  <si>
    <t>SM Pollock</t>
  </si>
  <si>
    <t>ST Jayasuriya, SR Tendulkar, RV Uthappa, DJ Thornely, DJ Bravo, AM Nayar, SM Pollock, RV Pawar, YV Takawale, RR Raje, A Nehra</t>
  </si>
  <si>
    <t>Salman Butt, A Chopra, SC Ganguly, DJ Hussey, Mohammad Hafeez, WP Saha, LR Shukla, AB Agarkar, Shoaib Akhtar, I Sharma, AB Dinda</t>
  </si>
  <si>
    <t>G Gambhir, V Sehwag, S Dhawan, MF Maharoof, TM Dilshan, MK Tiwary, KD Karthik, A Mishra, R Bhatia, GD McGrath, Mohammad Asif</t>
  </si>
  <si>
    <t>AC Gilchrist, Shahid Afridi, HH Gibbs, RG Sharma, SB Styris, Y Venugopal Rao, DB Ravi Teja, RP Singh, PP Ojha, DP Vijaykumar, PM Sarvesh Kumar</t>
  </si>
  <si>
    <t>ST Jayasuriya</t>
  </si>
  <si>
    <t>ST Jayasuriya, SR Tendulkar, RV Uthappa, DJ Thornely, DJ Bravo, AM Nayar, SM Pollock, YV Takawale, RR Raje, A Nehra, DS Kulkarni</t>
  </si>
  <si>
    <t>S Vidyut, SP Fleming, SK Raina, S Badrinath, CK Kapugedera, MS Dhoni, JA Morkel, Joginder Sharma, MS Gony, L Balaji, M Muralitharan</t>
  </si>
  <si>
    <t>Shoaib Akhtar</t>
  </si>
  <si>
    <t>Salman Butt, A Chopra, SC Ganguly, DJ Hussey, T Taibu, LR Shukla, WP Saha, Iqbal Abdulla, I Sharma, AB Dinda, Shoaib Akhtar</t>
  </si>
  <si>
    <t>G Gambhir, V Sehwag, AB de Villiers, MK Tiwary, S Dhawan, TM Dilshan, A Mishra, MF Maharoof, VY Mahesh, PJ Sangwan, GD McGrath</t>
  </si>
  <si>
    <t>J Arunkumar, V Kohli, Misbah-ul-Haq, CL White, R Dravid, MV Boucher, P Kumar, R Vinay Kumar, Z Khan, A Kumble, DW Steyn</t>
  </si>
  <si>
    <t>YK Pathan, GC Smith, M Kaif, SR Watson, RA Jadeja, AD Mascarenhas, SK Warne, NK Patel, M Rawat, SK Trivedi, MM Patel</t>
  </si>
  <si>
    <t>G Gambhir, V Sehwag, S Dhawan, AB de Villiers, KD Karthik, TM Dilshan, A Mishra, MF Maharoof, VY Mahesh, GD McGrath, PJ Sangwan</t>
  </si>
  <si>
    <t>AC Gilchrist, HH Gibbs, DB Ravi Teja, RG Sharma, SB Styris, Y Venugopal Rao, SB Bangar, WPUJC Vaas, RP Singh, DP Vijaykumar, PP Ojha</t>
  </si>
  <si>
    <t>Salman Butt, A Chopra, SC Ganguly, DJ Hussey, T Taibu, LR Shukla, WP Saha, Umar Gul, I Sharma, AB Dinda, M Kartik</t>
  </si>
  <si>
    <t>S Vidyut, SP Fleming, SK Raina, S Badrinath, MS Dhoni, JA Morkel, CK Kapugedera, P Amarnath, MS Gony, M Muralitharan, L Balaji</t>
  </si>
  <si>
    <t>SE Marsh, JR Hopes, K Goel, RR Sarwan, Yuvraj Singh, DPMD Jayawardene, IK Pathan, PP Chawla, S Sreesanth, VRV Singh, U Kaul</t>
  </si>
  <si>
    <t>GC Smith, YK Pathan, M Kaif, SR Watson, NK Patel, RA Jadeja, SK Warne, M Rawat, Sohail Tanvir, SK Trivedi, MM Patel</t>
  </si>
  <si>
    <t>AC Gilchrist, HH Gibbs, SB Styris, RG Sharma, Shahid Afridi, SB Bangar, DB Ravi Teja, Y Venugopal Rao, RP Singh, PP Ojha, DP Vijaykumar</t>
  </si>
  <si>
    <t>G Gambhir, V Sehwag, AB de Villiers, S Dhawan, Shoaib Malik, KD Karthik, MK Tiwary, VY Mahesh, GD McGrath, Mohammad Asif, PJ Sangwan</t>
  </si>
  <si>
    <t>S Vidyut, SP Fleming, MS Dhoni, SK Raina, JA Morkel, CK Kapugedera, S Badrinath, MS Gony, P Amarnath, M Muralitharan, L Balaji</t>
  </si>
  <si>
    <t>A Chopra, BJ Hodge, SC Ganguly, DJ Hussey, T Taibu, LR Shukla, WP Saha, M Kartik, Umar Gul, I Sharma, AB Dinda</t>
  </si>
  <si>
    <t>J Arunkumar, S Chanderpaul, MV Boucher, R Dravid, CL White, P Kumar, R Vinay Kumar, V Kohli, Z Khan, A Kumble, DW Steyn</t>
  </si>
  <si>
    <t>YV Takawale, ST Jayasuriya, RV Uthappa, DJ Bravo, AM Nayar, DJ Thornely, SM Pollock, SS Tiwary, RR Raje, A Nehra, DS Kulkarni</t>
  </si>
  <si>
    <t>GC Smith, SA Asnodkar, YK Pathan, SR Watson, M Kaif, RA Jadeja, SK Warne, Sohail Tanvir, M Rawat, SK Trivedi, MM Patel</t>
  </si>
  <si>
    <t>PA Patel, SP Fleming, S Anirudha, SK Raina, S Badrinath, MS Dhoni, JA Morkel, Joginder Sharma, MS Gony, M Ntini, M Muralitharan</t>
  </si>
  <si>
    <t>AC Gilchrist, HH Gibbs, SB Styris, RG Sharma, Shahid Afridi, Y Venugopal Rao, SB Bangar, AS Yadav, RP Singh, DP Vijaykumar, PP Ojha</t>
  </si>
  <si>
    <t>S Sreesanth</t>
  </si>
  <si>
    <t>W Jaffer, V Kohli, CL White, JH Kallis, R Dravid, Misbah-ul-Haq, P Kumar, DT Patil, Z Khan, A Kumble, DW Steyn</t>
  </si>
  <si>
    <t>SE Marsh, JR Hopes, RR Sarwan, Yuvraj Singh, DPMD Jayawardene, IK Pathan, PP Chawla, U Kaul, Gagandeep Singh, S Sreesanth, VRV Singh</t>
  </si>
  <si>
    <t>YV Takawale, ST Jayasuriya, DJ Thornely, RV Uthappa, DJ Bravo, AM Nayar, SM Pollock, SS Tiwary, RR Raje, A Nehra, DS Kulkarni</t>
  </si>
  <si>
    <t>G Gambhir, V Sehwag, S Dhawan, AB de Villiers, Shoaib Malik, KD Karthik, R Bhatia, PJ Sangwan, VY Mahesh, Mohammad Asif, GD McGrath</t>
  </si>
  <si>
    <t>GC Smith, SA Asnodkar, YK Pathan, SR Watson, M Rawat, M Kaif, RA Jadeja, SK Warne, Sohail Tanvir, SK Trivedi, MM Patel</t>
  </si>
  <si>
    <t>PA Patel, SP Fleming, S Vidyut, SK Raina, S Badrinath, MS Dhoni, JA Morkel, Joginder Sharma, MS Gony, M Muralitharan, M Ntini</t>
  </si>
  <si>
    <t>SE Marsh, JR Hopes, KC Sangakkara, Yuvraj Singh, DPMD Jayawardene, K Goel, IK Pathan, PP Chawla, S Sreesanth, VRV Singh, Gagandeep Singh</t>
  </si>
  <si>
    <t>Mohammad Hafeez, SC Ganguly, DB Das, BJ Hodge, DJ Hussey, LR Shukla, WP Saha, AB Agarkar, Umar Gul, I Sharma, AB Dinda</t>
  </si>
  <si>
    <t>B Chipli, W Jaffer, V Kohli, JH Kallis, Misbah-ul-Haq, R Dravid, MV Boucher, P Kumar, Z Khan, DW Steyn, A Kumble</t>
  </si>
  <si>
    <t>AC Gilchrist, VVS Laxman, HH Gibbs, RG Sharma, Shahid Afridi, SB Styris, AS Yadav, SB Bangar, RP Singh, DP Vijaykumar, PP Ojha</t>
  </si>
  <si>
    <t>PA Patel, SP Fleming, S Vidyut, MS Dhoni, JA Morkel, SK Raina, S Badrinath, Joginder Sharma, M Ntini, MS Gony, M Muralitharan</t>
  </si>
  <si>
    <t>G Gambhir, V Sehwag, AB de Villiers, S Dhawan, Shoaib Malik, KD Karthik, R Bhatia, VY Mahesh, GD McGrath, PJ Sangwan, Mohammad Asif</t>
  </si>
  <si>
    <t>SA Asnodkar</t>
  </si>
  <si>
    <t>GC Smith, SA Asnodkar, M Kaif, YK Pathan, SR Watson, RA Jadeja, SK Warne, Sohail Tanvir, M Rawat, SK Trivedi, MM Patel</t>
  </si>
  <si>
    <t>Salman Butt, SC Ganguly, AB Agarkar, BJ Hodge, DJ Hussey, LR Shukla, DB Das, WP Saha, Umar Gul, I Sharma, AB Dinda</t>
  </si>
  <si>
    <t>AC Gilchrist, VVS Laxman, HH Gibbs, RG Sharma, Shahid Afridi, Y Venugopal Rao, SB Bangar, DNT Zoysa, D Kalyankrishna, RP Singh, PP Ojha</t>
  </si>
  <si>
    <t>SE Marsh, RR Sarwan, KC Sangakkara, Yuvraj Singh, DPMD Jayawardene, K Goel, IK Pathan, PP Chawla, S Sreesanth, VRV Singh, Gagandeep Singh</t>
  </si>
  <si>
    <t>GD McGrath</t>
  </si>
  <si>
    <t>G Gambhir, V Sehwag, S Dhawan, Shoaib Malik, KD Karthik, MK Tiwary, R Bhatia, DL Vettori, Mohammad Asif, VY Mahesh, GD McGrath</t>
  </si>
  <si>
    <t>P Kumar, W Jaffer, LRPL Taylor, JH Kallis, R Dravid, MV Boucher, V Kohli, Z Khan, DW Steyn, R Vinay Kumar, SB Joshi</t>
  </si>
  <si>
    <t>BB McCullum, SC Ganguly, RT Ponting, DB Das, DJ Hussey, Mohammad Hafeez, LR Shukla, AB Agarkar, M Kartik, I Sharma, AB Dinda</t>
  </si>
  <si>
    <t>AM Rahane, ST Jayasuriya, MK Pandey, RV Uthappa, DJ Bravo, SM Pollock, AM Nayar, A Nehra, DS Kulkarni, CRD Fernando, PR Shah</t>
  </si>
  <si>
    <t>B Chipli, W Jaffer, LRPL Taylor, JH Kallis, MV Boucher, V Kohli, R Dravid, P Kumar, Z Khan, B Akhil, DW Steyn</t>
  </si>
  <si>
    <t>PA Patel, ML Hayden, MEK Hussey, SK Raina, MS Dhoni, JDP Oram, S Badrinath, JA Morkel, Joginder Sharma, P Amarnath, MS Gony</t>
  </si>
  <si>
    <t>SM Katich</t>
  </si>
  <si>
    <t>K Goel, SM Katich, KC Sangakkara, DPMD Jayawardene, Yuvraj Singh, TM Srivastava, IK Pathan, B Lee, PP Chawla, S Sreesanth, VRV Singh</t>
  </si>
  <si>
    <t>G Gambhir, V Sehwag, S Dhawan, Shoaib Malik, MK Tiwary, KD Karthik, R Bhatia, MF Maharoof, VY Mahesh, Mohammad Asif, GD McGrath</t>
  </si>
  <si>
    <t>L Ronchi, ST Jayasuriya, AM Rahane, RV Uthappa, SM Pollock, AM Nayar, DJ Bravo, MA Khote, A Nehra, DS Kulkarni, SD Chitnis</t>
  </si>
  <si>
    <t>AC Gilchrist, VVS Laxman, A Symonds, RG Sharma, Shahid Afridi, SB Bangar, AS Yadav, RP Singh, PP Ojha, D Kalyankrishna, DNT Zoysa</t>
  </si>
  <si>
    <t>S Chanderpaul, R Dravid, LRPL Taylor, JH Kallis, V Kohli, MV Boucher, P Kumar, SB Joshi, Z Khan, R Vinay Kumar, A Kumble</t>
  </si>
  <si>
    <t>GC Smith, M Rawat, YK Pathan, SR Watson, M Kaif, RA Jadeja, D Salunkhe, SK Warne, Sohail Tanvir, SK Trivedi, MM Patel</t>
  </si>
  <si>
    <t>JDP Oram</t>
  </si>
  <si>
    <t>PA Patel, ML Hayden, MS Dhoni, MEK Hussey, S Badrinath, SK Raina, JDP Oram, Joginder Sharma, P Amarnath, MS Gony, M Muralitharan</t>
  </si>
  <si>
    <t>SC Ganguly, BB McCullum, RT Ponting, WP Saha, DJ Hussey, Mohammad Hafeez, LR Shukla, AB Agarkar, M Kartik, I Sharma, AB Dinda</t>
  </si>
  <si>
    <t>K Goel, IK Pathan, KC Sangakkara, Yuvraj Singh, RR Sarwan, DPMD Jayawardene, S Sohal, B Lee, PP Chawla, S Sreesanth, VRV Singh</t>
  </si>
  <si>
    <t>L Ronchi, ST Jayasuriya, RV Uthappa, DJ Bravo, SS Tiwary, SM Pollock, AM Nayar, Harbhajan Singh, MA Khote, DS Kulkarni, A Nehra</t>
  </si>
  <si>
    <t>AC Gilchrist, VVS Laxman, Shahid Afridi, A Symonds, RG Sharma, AS Yadav, SB Bangar, WPUJC Vaas, RP Singh, PP Ojha, D Kalyankrishna</t>
  </si>
  <si>
    <t>Kamran Akmal, GC Smith, YK Pathan, SR Watson, M Kaif, RA Jadeja, SK Warne, D Salunkhe, Pankaj Singh, SK Trivedi, MM Patel</t>
  </si>
  <si>
    <t>PA Patel, ML Hayden, MEK Hussey, SK Raina, MS Dhoni, JDP Oram, S Badrinath, Joginder Sharma, P Amarnath, MS Gony, M Muralitharan</t>
  </si>
  <si>
    <t>L Ronchi, ST Jayasuriya, RV Uthappa, SM Pollock, DJ Bravo, AM Nayar, MA Khote, Harbhajan Singh, A Nehra, VS Yeligati, DS Kulkarni</t>
  </si>
  <si>
    <t>AC Gilchrist, Y Venugopal Rao, VVS Laxman, A Symonds, RG Sharma, Shahid Afridi, SB Bangar, AS Yadav, WPUJC Vaas, RP Singh, PP Ojha</t>
  </si>
  <si>
    <t>G Gambhir, V Sehwag, S Dhawan, Shoaib Malik, KD Karthik, MK Tiwary, R Bhatia, MF Maharoof, Mohammad Asif, VY Mahesh, GD McGrath</t>
  </si>
  <si>
    <t>M Kaif, Kamran Akmal, YK Pathan, SR Watson, DS Lehmann, RA Jadeja, Pankaj Singh, D Salunkhe, SK Warne, SK Trivedi, MM Patel</t>
  </si>
  <si>
    <t>K Goel, JR Hopes, KC Sangakkara, DPMD Jayawardene, Yuvraj Singh, IK Pathan, S Sohal, B Lee, PP Chawla, WA Mota, S Sreesanth</t>
  </si>
  <si>
    <t>L Ronchi, ST Jayasuriya, DJ Thornely, RV Uthappa, PR Shah, AM Nayar, SM Pollock, Harbhajan Singh, MA Khote, A Nehra, DS Kulkarni</t>
  </si>
  <si>
    <t>S Chanderpaul, R Dravid, LRPL Taylor, JH Kallis, V Kohli, MV Boucher, B Akhil, P Kumar, Z Khan, SB Joshi, R Vinay Kumar</t>
  </si>
  <si>
    <t>WP Saha, BB McCullum, RT Ponting, SC Ganguly, DJ Hussey, Mohammad Hafeez, LR Shukla, AB Agarkar, AB Dinda, M Kartik, I Sharma</t>
  </si>
  <si>
    <t>AC Gilchrist, Y Venugopal Rao, VVS Laxman, A Symonds, RG Sharma, SB Styris, AS Yadav, SB Bangar, WPUJC Vaas, RP Singh, PP Ojha</t>
  </si>
  <si>
    <t>MF Maharoof</t>
  </si>
  <si>
    <t>G Gambhir, V Sehwag, S Dhawan, MK Tiwary, KD Karthik, R Bhatia, M Manhas, DL Vettori, MF Maharoof, B Geeves, GD McGrath</t>
  </si>
  <si>
    <t>T Kohli, YK Pathan, SR Watson, M Kaif, DS Lehmann, RA Jadeja, M Rawat, D Salunkhe, SK Warne, SK Trivedi, MM Patel</t>
  </si>
  <si>
    <t>K Goel, JR Hopes, KC Sangakkara, Yuvraj Singh, SM Katich, IK Pathan, P Dharmani, B Lee, PP Chawla, WA Mota, S Sreesanth</t>
  </si>
  <si>
    <t>PA Patel, ML Hayden, MEK Hussey, MS Dhoni, SK Raina, JDP Oram, S Badrinath, Joginder Sharma, P Amarnath, MS Gony, M Muralitharan</t>
  </si>
  <si>
    <t>R Dravid, W Jaffer, V Kohli, JH Kallis, CL White, MV Boucher, B Akhil, AA Noffke, P Kumar, Z Khan, SB Joshi</t>
  </si>
  <si>
    <t>SC Ganguly, BB McCullum, RT Ponting, DJ Hussey, Mohammad Hafeez, LR Shukla, WP Saha, AB Agarkar, AB Dinda, M Kartik, I Sharma</t>
  </si>
  <si>
    <t>Row Labels</t>
  </si>
  <si>
    <t>Grand Total</t>
  </si>
  <si>
    <t>Count of toss_winner</t>
  </si>
  <si>
    <t>Column Labels</t>
  </si>
  <si>
    <t>toss decission</t>
  </si>
  <si>
    <t>IPL-2008</t>
  </si>
  <si>
    <t>IPL-2011</t>
  </si>
  <si>
    <t>IPL-2012</t>
  </si>
  <si>
    <t>IPL-2013</t>
  </si>
  <si>
    <t>IPL-2014</t>
  </si>
  <si>
    <t>IPL-2015</t>
  </si>
  <si>
    <t>IPL-2016</t>
  </si>
  <si>
    <t>IPL-2017</t>
  </si>
  <si>
    <t>player_name</t>
  </si>
  <si>
    <t>no.of MOM</t>
  </si>
  <si>
    <t>mom</t>
  </si>
  <si>
    <t>Winner</t>
  </si>
  <si>
    <t>Runner-up</t>
  </si>
  <si>
    <t>Player of the Season</t>
  </si>
  <si>
    <t>Shane Watson</t>
  </si>
  <si>
    <t>Adam Gilchrist</t>
  </si>
  <si>
    <t>Sachin Tendulkar</t>
  </si>
  <si>
    <t>Chris Gayle</t>
  </si>
  <si>
    <t>Sunil Narine</t>
  </si>
  <si>
    <t>Glenn Maxwell</t>
  </si>
  <si>
    <t>Andre Russell</t>
  </si>
  <si>
    <t>Virat Kohli</t>
  </si>
  <si>
    <t>Ben Stokes</t>
  </si>
  <si>
    <t>Jofra Archer</t>
  </si>
  <si>
    <t>Harshal Patel</t>
  </si>
  <si>
    <t>Jos Buttler</t>
  </si>
  <si>
    <t>Suryakumar Yadav</t>
  </si>
  <si>
    <t>Count of Winner</t>
  </si>
  <si>
    <t>Team Name</t>
  </si>
  <si>
    <t>No.of Wins</t>
  </si>
  <si>
    <t>IPL-2009</t>
  </si>
  <si>
    <t>IPL-2010</t>
  </si>
  <si>
    <t>IPL-2018</t>
  </si>
  <si>
    <t>IPL-2019</t>
  </si>
  <si>
    <t>IPL-2020</t>
  </si>
  <si>
    <t>IPL-2021</t>
  </si>
  <si>
    <t>IPL-2022</t>
  </si>
  <si>
    <t>IPL-2023</t>
  </si>
  <si>
    <t>IPL-2024</t>
  </si>
  <si>
    <t>IPL-2025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</si>
</sst>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0"/>
      <color rgb="FF000000"/>
      <name val="Arial"/>
      <scheme val="minor"/>
    </font>
    <font>
      <sz val="11"/>
      <color theme="1"/>
      <name val="Arial"/>
      <family val="2"/>
      <scheme val="minor"/>
    </font>
    <font>
      <sz val="10"/>
      <color rgb="FFFFFFFF"/>
      <name val="Arial"/>
      <scheme val="minor"/>
    </font>
    <font>
      <sz val="10"/>
      <color theme="1"/>
      <name val="Arial"/>
      <scheme val="minor"/>
    </font>
    <font>
      <sz val="12"/>
      <color theme="1"/>
      <name val="Calibri"/>
    </font>
    <font>
      <sz val="8"/>
      <name val="Arial"/>
      <scheme val="minor"/>
    </font>
  </fonts>
  <fills count="5">
    <fill>
      <patternFill patternType="none"/>
    </fill>
    <fill>
      <patternFill patternType="gray125"/>
    </fill>
    <fill>
      <patternFill patternType="solid">
        <fgColor theme="4"/>
        <bgColor theme="4"/>
      </patternFill>
    </fill>
    <fill>
      <patternFill patternType="solid">
        <fgColor rgb="FFD9E2F3"/>
        <bgColor rgb="FFD9E2F3"/>
      </patternFill>
    </fill>
    <fill>
      <patternFill patternType="solid">
        <fgColor theme="0"/>
        <bgColor theme="0"/>
      </patternFill>
    </fill>
  </fills>
  <borders count="12">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rgb="FFABABAB"/>
      </left>
      <right style="thin">
        <color rgb="FFABABAB"/>
      </right>
      <top style="thin">
        <color rgb="FFABABAB"/>
      </top>
      <bottom/>
      <diagonal/>
    </border>
    <border>
      <left style="thin">
        <color rgb="FFABABAB"/>
      </left>
      <right style="thin">
        <color rgb="FFABABAB"/>
      </right>
      <top style="thin">
        <color indexed="65"/>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rgb="FFABABAB"/>
      </bottom>
      <diagonal/>
    </border>
    <border>
      <left/>
      <right/>
      <top style="thin">
        <color rgb="FFABABAB"/>
      </top>
      <bottom/>
      <diagonal/>
    </border>
    <border>
      <left/>
      <right/>
      <top style="thin">
        <color indexed="65"/>
      </top>
      <bottom/>
      <diagonal/>
    </border>
    <border>
      <left/>
      <right/>
      <top style="thin">
        <color rgb="FFABABAB"/>
      </top>
      <bottom style="thin">
        <color rgb="FFABABAB"/>
      </bottom>
      <diagonal/>
    </border>
  </borders>
  <cellStyleXfs count="2">
    <xf numFmtId="0" fontId="0" fillId="0" borderId="0"/>
    <xf numFmtId="0" fontId="1" fillId="0" borderId="0"/>
  </cellStyleXfs>
  <cellXfs count="30">
    <xf numFmtId="0" fontId="0" fillId="0" borderId="0" xfId="0"/>
    <xf numFmtId="0" fontId="2" fillId="2" borderId="0" xfId="0" applyFont="1" applyFill="1"/>
    <xf numFmtId="0" fontId="3" fillId="3" borderId="0" xfId="0" applyFont="1" applyFill="1"/>
    <xf numFmtId="14" fontId="4" fillId="3" borderId="0" xfId="0" applyNumberFormat="1" applyFont="1" applyFill="1"/>
    <xf numFmtId="0" fontId="3" fillId="4" borderId="0" xfId="0" applyFont="1" applyFill="1"/>
    <xf numFmtId="14" fontId="4" fillId="4" borderId="0" xfId="0" applyNumberFormat="1" applyFont="1" applyFill="1"/>
    <xf numFmtId="0" fontId="0" fillId="0" borderId="1" xfId="0" applyBorder="1"/>
    <xf numFmtId="0" fontId="0" fillId="0" borderId="2" xfId="0" applyBorder="1"/>
    <xf numFmtId="0" fontId="0" fillId="0" borderId="3" xfId="0" applyBorder="1"/>
    <xf numFmtId="0" fontId="0" fillId="0" borderId="5" xfId="0" pivotButton="1" applyBorder="1"/>
    <xf numFmtId="0" fontId="0" fillId="0" borderId="5" xfId="0" applyBorder="1" applyAlignment="1">
      <alignment horizontal="left"/>
    </xf>
    <xf numFmtId="0" fontId="0" fillId="0" borderId="7" xfId="0" applyBorder="1" applyAlignment="1">
      <alignment horizontal="left"/>
    </xf>
    <xf numFmtId="0" fontId="0" fillId="0" borderId="1" xfId="0" pivotButton="1" applyBorder="1"/>
    <xf numFmtId="0" fontId="0" fillId="0" borderId="5" xfId="0" applyBorder="1"/>
    <xf numFmtId="0" fontId="0" fillId="0" borderId="1" xfId="0" applyBorder="1" applyAlignment="1">
      <alignment horizontal="left"/>
    </xf>
    <xf numFmtId="0" fontId="0" fillId="0" borderId="4" xfId="0" applyBorder="1" applyAlignment="1">
      <alignment horizontal="left"/>
    </xf>
    <xf numFmtId="0" fontId="0" fillId="0" borderId="6" xfId="0" applyBorder="1"/>
    <xf numFmtId="0" fontId="0" fillId="0" borderId="8" xfId="0" applyBorder="1" applyAlignment="1">
      <alignment horizontal="left"/>
    </xf>
    <xf numFmtId="0" fontId="0" fillId="0" borderId="7" xfId="0" applyBorder="1"/>
    <xf numFmtId="0" fontId="0" fillId="0" borderId="9" xfId="0" applyBorder="1"/>
    <xf numFmtId="0" fontId="1" fillId="0" borderId="0" xfId="1"/>
    <xf numFmtId="0" fontId="0" fillId="0" borderId="1" xfId="0" applyNumberFormat="1" applyBorder="1"/>
    <xf numFmtId="0" fontId="0" fillId="0" borderId="9" xfId="0" applyNumberFormat="1" applyBorder="1"/>
    <xf numFmtId="0" fontId="0" fillId="0" borderId="5" xfId="0" applyNumberFormat="1" applyBorder="1"/>
    <xf numFmtId="0" fontId="0" fillId="0" borderId="4" xfId="0" applyNumberFormat="1" applyBorder="1"/>
    <xf numFmtId="0" fontId="0" fillId="0" borderId="10" xfId="0" applyNumberFormat="1" applyBorder="1"/>
    <xf numFmtId="0" fontId="0" fillId="0" borderId="6" xfId="0" applyNumberFormat="1" applyBorder="1"/>
    <xf numFmtId="0" fontId="0" fillId="0" borderId="8" xfId="0" applyNumberFormat="1" applyBorder="1"/>
    <xf numFmtId="0" fontId="0" fillId="0" borderId="11" xfId="0" applyNumberFormat="1" applyBorder="1"/>
    <xf numFmtId="0" fontId="0" fillId="0" borderId="7" xfId="0" applyNumberFormat="1" applyBorder="1"/>
  </cellXfs>
  <cellStyles count="2">
    <cellStyle name="Normal" xfId="0" builtinId="0"/>
    <cellStyle name="Normal 2" xfId="1" xr:uid="{15E60D4F-84A1-49F5-BC8C-721C7F60913F}"/>
  </cellStyles>
  <dxfs count="21">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2"/>
        <color theme="1"/>
        <name val="Calibri"/>
        <scheme val="none"/>
      </font>
      <numFmt numFmtId="19" formatCode="dd/mm/yyyy"/>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theme="1"/>
        <name val="Arial"/>
        <scheme val="minor"/>
      </font>
      <fill>
        <patternFill patternType="solid">
          <fgColor rgb="FFD9E2F3"/>
          <bgColor rgb="FFD9E2F3"/>
        </patternFill>
      </fill>
    </dxf>
    <dxf>
      <font>
        <b val="0"/>
        <i val="0"/>
        <strike val="0"/>
        <condense val="0"/>
        <extend val="0"/>
        <outline val="0"/>
        <shadow val="0"/>
        <u val="none"/>
        <vertAlign val="baseline"/>
        <sz val="10"/>
        <color rgb="FFFFFFFF"/>
        <name val="Arial"/>
        <scheme val="minor"/>
      </font>
      <fill>
        <patternFill patternType="solid">
          <fgColor theme="4"/>
          <bgColor theme="4"/>
        </patternFill>
      </fill>
    </dxf>
    <dxf>
      <fill>
        <patternFill patternType="solid">
          <fgColor theme="0"/>
          <bgColor theme="0"/>
        </patternFill>
      </fill>
    </dxf>
    <dxf>
      <fill>
        <patternFill patternType="solid">
          <fgColor rgb="FFD9E2F3"/>
          <bgColor rgb="FFD9E2F3"/>
        </patternFill>
      </fill>
    </dxf>
    <dxf>
      <fill>
        <patternFill patternType="solid">
          <fgColor theme="4"/>
          <bgColor theme="4"/>
        </patternFill>
      </fill>
    </dxf>
  </dxfs>
  <tableStyles count="1">
    <tableStyle name="IPL Info-style" pivot="0" count="3" xr9:uid="{00000000-0011-0000-FFFF-FFFF00000000}">
      <tableStyleElement type="headerRow" dxfId="20"/>
      <tableStyleElement type="firstRowStripe" dxfId="19"/>
      <tableStyleElement type="secondRowStripe" dxfId="1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PROJECT.xlsx]matches win by team!PivotTable1</c:name>
    <c:fmtId val="5"/>
  </c:pivotSource>
  <c:chart>
    <c:title>
      <c:tx>
        <c:rich>
          <a:bodyPr rot="0" spcFirstLastPara="1" vertOverflow="ellipsis" vert="horz" wrap="square" anchor="ctr" anchorCtr="1"/>
          <a:lstStyle/>
          <a:p>
            <a:pPr>
              <a:defRPr sz="1400" b="0" i="0" u="none" strike="noStrike" kern="1200" spc="0" baseline="0">
                <a:ln>
                  <a:solidFill>
                    <a:schemeClr val="bg2">
                      <a:lumMod val="50000"/>
                    </a:schemeClr>
                  </a:solidFill>
                </a:ln>
                <a:solidFill>
                  <a:schemeClr val="tx1"/>
                </a:solidFill>
                <a:latin typeface="+mn-lt"/>
                <a:ea typeface="+mn-ea"/>
                <a:cs typeface="+mn-cs"/>
              </a:defRPr>
            </a:pPr>
            <a:r>
              <a:rPr lang="en-IN" b="1"/>
              <a:t>MATCHES WIN BY TEAM WRT BAT FIRST &amp; </a:t>
            </a:r>
          </a:p>
          <a:p>
            <a:pPr>
              <a:defRPr/>
            </a:pPr>
            <a:r>
              <a:rPr lang="en-IN" b="1"/>
              <a:t>BOWL FIRST SINCE 2008</a:t>
            </a:r>
          </a:p>
        </c:rich>
      </c:tx>
      <c:layout>
        <c:manualLayout>
          <c:xMode val="edge"/>
          <c:yMode val="edge"/>
          <c:x val="0.25680559369287131"/>
          <c:y val="7.8016822700312072E-2"/>
        </c:manualLayout>
      </c:layout>
      <c:overlay val="0"/>
      <c:spPr>
        <a:noFill/>
        <a:ln>
          <a:noFill/>
        </a:ln>
        <a:effectLst/>
      </c:spPr>
      <c:txPr>
        <a:bodyPr rot="0" spcFirstLastPara="1" vertOverflow="ellipsis" vert="horz" wrap="square" anchor="ctr" anchorCtr="1"/>
        <a:lstStyle/>
        <a:p>
          <a:pPr>
            <a:defRPr sz="1400" b="0" i="0" u="none" strike="noStrike" kern="1200" spc="0" baseline="0">
              <a:ln>
                <a:solidFill>
                  <a:schemeClr val="bg2">
                    <a:lumMod val="50000"/>
                  </a:schemeClr>
                </a:solidFill>
              </a:ln>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'matches win by team'!$B$3:$B$4</c:f>
              <c:strCache>
                <c:ptCount val="1"/>
                <c:pt idx="0">
                  <c:v>bat</c:v>
                </c:pt>
              </c:strCache>
            </c:strRef>
          </c:tx>
          <c:spPr>
            <a:solidFill>
              <a:schemeClr val="accent1"/>
            </a:solidFill>
            <a:ln>
              <a:noFill/>
            </a:ln>
            <a:effectLst/>
          </c:spPr>
          <c:invertIfNegative val="0"/>
          <c:cat>
            <c:strRef>
              <c:f>'matches win by team'!$A$5:$A$14</c:f>
              <c:strCache>
                <c:ptCount val="9"/>
                <c:pt idx="0">
                  <c:v>Chennai Super Kings</c:v>
                </c:pt>
                <c:pt idx="1">
                  <c:v>Mumbai Indians</c:v>
                </c:pt>
                <c:pt idx="2">
                  <c:v>Delhi Capitals</c:v>
                </c:pt>
                <c:pt idx="3">
                  <c:v>Sunrisers Hyderabad</c:v>
                </c:pt>
                <c:pt idx="4">
                  <c:v>Kolkata Knight Riders</c:v>
                </c:pt>
                <c:pt idx="5">
                  <c:v>Kings XI Punjab</c:v>
                </c:pt>
                <c:pt idx="6">
                  <c:v>Royal Challengers Bangalore</c:v>
                </c:pt>
                <c:pt idx="7">
                  <c:v>Rajasthan Royals</c:v>
                </c:pt>
                <c:pt idx="8">
                  <c:v>NA</c:v>
                </c:pt>
              </c:strCache>
            </c:strRef>
          </c:cat>
          <c:val>
            <c:numRef>
              <c:f>'matches win by team'!$B$5:$B$14</c:f>
              <c:numCache>
                <c:formatCode>General</c:formatCode>
                <c:ptCount val="9"/>
                <c:pt idx="0">
                  <c:v>2</c:v>
                </c:pt>
                <c:pt idx="1">
                  <c:v>3</c:v>
                </c:pt>
                <c:pt idx="2">
                  <c:v>2</c:v>
                </c:pt>
                <c:pt idx="3">
                  <c:v>2</c:v>
                </c:pt>
                <c:pt idx="8">
                  <c:v>1</c:v>
                </c:pt>
              </c:numCache>
            </c:numRef>
          </c:val>
          <c:extLst>
            <c:ext xmlns:c16="http://schemas.microsoft.com/office/drawing/2014/chart" uri="{C3380CC4-5D6E-409C-BE32-E72D297353CC}">
              <c16:uniqueId val="{00000000-1392-4870-98AD-7C282D1A8CF7}"/>
            </c:ext>
          </c:extLst>
        </c:ser>
        <c:ser>
          <c:idx val="1"/>
          <c:order val="1"/>
          <c:tx>
            <c:strRef>
              <c:f>'matches win by team'!$C$3:$C$4</c:f>
              <c:strCache>
                <c:ptCount val="1"/>
                <c:pt idx="0">
                  <c:v>field</c:v>
                </c:pt>
              </c:strCache>
            </c:strRef>
          </c:tx>
          <c:spPr>
            <a:solidFill>
              <a:schemeClr val="accent3"/>
            </a:solidFill>
            <a:ln>
              <a:noFill/>
            </a:ln>
            <a:effectLst/>
          </c:spPr>
          <c:invertIfNegative val="0"/>
          <c:cat>
            <c:strRef>
              <c:f>'matches win by team'!$A$5:$A$14</c:f>
              <c:strCache>
                <c:ptCount val="9"/>
                <c:pt idx="0">
                  <c:v>Chennai Super Kings</c:v>
                </c:pt>
                <c:pt idx="1">
                  <c:v>Mumbai Indians</c:v>
                </c:pt>
                <c:pt idx="2">
                  <c:v>Delhi Capitals</c:v>
                </c:pt>
                <c:pt idx="3">
                  <c:v>Sunrisers Hyderabad</c:v>
                </c:pt>
                <c:pt idx="4">
                  <c:v>Kolkata Knight Riders</c:v>
                </c:pt>
                <c:pt idx="5">
                  <c:v>Kings XI Punjab</c:v>
                </c:pt>
                <c:pt idx="6">
                  <c:v>Royal Challengers Bangalore</c:v>
                </c:pt>
                <c:pt idx="7">
                  <c:v>Rajasthan Royals</c:v>
                </c:pt>
                <c:pt idx="8">
                  <c:v>NA</c:v>
                </c:pt>
              </c:strCache>
            </c:strRef>
          </c:cat>
          <c:val>
            <c:numRef>
              <c:f>'matches win by team'!$C$5:$C$14</c:f>
              <c:numCache>
                <c:formatCode>General</c:formatCode>
                <c:ptCount val="9"/>
                <c:pt idx="0">
                  <c:v>8</c:v>
                </c:pt>
                <c:pt idx="1">
                  <c:v>7</c:v>
                </c:pt>
                <c:pt idx="2">
                  <c:v>7</c:v>
                </c:pt>
                <c:pt idx="3">
                  <c:v>4</c:v>
                </c:pt>
                <c:pt idx="4">
                  <c:v>6</c:v>
                </c:pt>
                <c:pt idx="5">
                  <c:v>6</c:v>
                </c:pt>
                <c:pt idx="6">
                  <c:v>5</c:v>
                </c:pt>
                <c:pt idx="7">
                  <c:v>5</c:v>
                </c:pt>
                <c:pt idx="8">
                  <c:v>2</c:v>
                </c:pt>
              </c:numCache>
            </c:numRef>
          </c:val>
          <c:extLst>
            <c:ext xmlns:c16="http://schemas.microsoft.com/office/drawing/2014/chart" uri="{C3380CC4-5D6E-409C-BE32-E72D297353CC}">
              <c16:uniqueId val="{00000001-1392-4870-98AD-7C282D1A8CF7}"/>
            </c:ext>
          </c:extLst>
        </c:ser>
        <c:dLbls>
          <c:showLegendKey val="0"/>
          <c:showVal val="0"/>
          <c:showCatName val="0"/>
          <c:showSerName val="0"/>
          <c:showPercent val="0"/>
          <c:showBubbleSize val="0"/>
        </c:dLbls>
        <c:gapWidth val="150"/>
        <c:overlap val="100"/>
        <c:axId val="1865662623"/>
        <c:axId val="1865665023"/>
      </c:barChart>
      <c:catAx>
        <c:axId val="1865662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crossAx val="1865665023"/>
        <c:crosses val="autoZero"/>
        <c:auto val="1"/>
        <c:lblAlgn val="ctr"/>
        <c:lblOffset val="100"/>
        <c:noMultiLvlLbl val="0"/>
      </c:catAx>
      <c:valAx>
        <c:axId val="186566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crossAx val="1865662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solidFill>
              <a:schemeClr val="bg2">
                <a:lumMod val="50000"/>
              </a:schemeClr>
            </a:solid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PROJECT.xlsx]toss decission1!PivotTable2</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Toss decission based on winners % </a:t>
            </a:r>
          </a:p>
        </c:rich>
      </c:tx>
      <c:layout>
        <c:manualLayout>
          <c:xMode val="edge"/>
          <c:yMode val="edge"/>
          <c:x val="0.13052777777777777"/>
          <c:y val="0.10083114610673666"/>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FFC000"/>
          </a:soli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solidFill>
            <a:srgbClr val="FFC000"/>
          </a:soli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solidFill>
            <a:srgbClr val="FFC000"/>
          </a:solidFill>
          <a:ln>
            <a:noFill/>
          </a:ln>
          <a:effectLst/>
        </c:spPr>
      </c:pivotFmt>
    </c:pivotFmts>
    <c:plotArea>
      <c:layout>
        <c:manualLayout>
          <c:layoutTarget val="inner"/>
          <c:xMode val="edge"/>
          <c:yMode val="edge"/>
          <c:x val="0.19948534558180228"/>
          <c:y val="0.23092373869932925"/>
          <c:w val="0.41422353455818023"/>
          <c:h val="0.69037255759696703"/>
        </c:manualLayout>
      </c:layout>
      <c:doughnutChart>
        <c:varyColors val="1"/>
        <c:ser>
          <c:idx val="0"/>
          <c:order val="0"/>
          <c:tx>
            <c:strRef>
              <c:f>'toss decission1'!$B$3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7FB4-44EF-8A0E-C356CC541AAF}"/>
              </c:ext>
            </c:extLst>
          </c:dPt>
          <c:dPt>
            <c:idx val="1"/>
            <c:bubble3D val="0"/>
            <c:spPr>
              <a:solidFill>
                <a:srgbClr val="FFC000"/>
              </a:solidFill>
              <a:ln>
                <a:noFill/>
              </a:ln>
              <a:effectLst/>
            </c:spPr>
            <c:extLst>
              <c:ext xmlns:c16="http://schemas.microsoft.com/office/drawing/2014/chart" uri="{C3380CC4-5D6E-409C-BE32-E72D297353CC}">
                <c16:uniqueId val="{00000003-7FB4-44EF-8A0E-C356CC541AA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'toss decission1'!$A$4:$A$6</c:f>
              <c:strCache>
                <c:ptCount val="2"/>
                <c:pt idx="0">
                  <c:v>bat</c:v>
                </c:pt>
                <c:pt idx="1">
                  <c:v>field</c:v>
                </c:pt>
              </c:strCache>
            </c:strRef>
          </c:cat>
          <c:val>
            <c:numRef>
              <c:f>'toss decission1'!$B$4:$B$6</c:f>
              <c:numCache>
                <c:formatCode>General</c:formatCode>
                <c:ptCount val="2"/>
                <c:pt idx="0">
                  <c:v>10</c:v>
                </c:pt>
                <c:pt idx="1">
                  <c:v>50</c:v>
                </c:pt>
              </c:numCache>
            </c:numRef>
          </c:val>
          <c:extLst>
            <c:ext xmlns:c16="http://schemas.microsoft.com/office/drawing/2014/chart" uri="{C3380CC4-5D6E-409C-BE32-E72D297353CC}">
              <c16:uniqueId val="{00000004-7FB4-44EF-8A0E-C356CC541AAF}"/>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layout>
        <c:manualLayout>
          <c:xMode val="edge"/>
          <c:yMode val="edge"/>
          <c:x val="0.26491477272727271"/>
          <c:y val="0.82557582087953296"/>
          <c:w val="0.30421401515151514"/>
          <c:h val="0.125121524987947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PROJECT.xlsx]top 10 venues1!PivotTable3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TOP 10 VENUES WITH MOST MATCHES &amp; WINNING</a:t>
            </a:r>
          </a:p>
          <a:p>
            <a:pPr>
              <a:defRPr/>
            </a:pPr>
            <a:r>
              <a:rPr lang="en-IN" sz="1050" b="1"/>
              <a:t>BASED ON BAT OR BOWL FIRST</a:t>
            </a:r>
          </a:p>
        </c:rich>
      </c:tx>
      <c:layout>
        <c:manualLayout>
          <c:xMode val="edge"/>
          <c:yMode val="edge"/>
          <c:x val="0.14793024553828837"/>
          <c:y val="0.10215323174705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10 venues1'!$B$3:$B$4</c:f>
              <c:strCache>
                <c:ptCount val="1"/>
                <c:pt idx="0">
                  <c:v>bat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venues1'!$A$5:$A$14</c:f>
              <c:strCache>
                <c:ptCount val="9"/>
                <c:pt idx="0">
                  <c:v>Dr. Y.S. Rajasekhara Reddy ACA-VDCA Cricket Stadium</c:v>
                </c:pt>
                <c:pt idx="1">
                  <c:v>M.Chinnaswamy Stadium</c:v>
                </c:pt>
                <c:pt idx="2">
                  <c:v>Arun Jaitley Stadium</c:v>
                </c:pt>
                <c:pt idx="3">
                  <c:v>Eden Gardens</c:v>
                </c:pt>
                <c:pt idx="4">
                  <c:v>Punjab Cricket Association IS Bindra Stadium</c:v>
                </c:pt>
                <c:pt idx="5">
                  <c:v>Wankhede Stadium</c:v>
                </c:pt>
                <c:pt idx="6">
                  <c:v>Sawai Mansingh Stadium</c:v>
                </c:pt>
                <c:pt idx="7">
                  <c:v>MA Chidambaram Stadium</c:v>
                </c:pt>
                <c:pt idx="8">
                  <c:v>Rajiv Gandhi International Stadium</c:v>
                </c:pt>
              </c:strCache>
            </c:strRef>
          </c:cat>
          <c:val>
            <c:numRef>
              <c:f>'top 10 venues1'!$B$5:$B$14</c:f>
              <c:numCache>
                <c:formatCode>General</c:formatCode>
                <c:ptCount val="9"/>
                <c:pt idx="2">
                  <c:v>4</c:v>
                </c:pt>
                <c:pt idx="5">
                  <c:v>1</c:v>
                </c:pt>
                <c:pt idx="7">
                  <c:v>2</c:v>
                </c:pt>
                <c:pt idx="8">
                  <c:v>3</c:v>
                </c:pt>
              </c:numCache>
            </c:numRef>
          </c:val>
          <c:extLst>
            <c:ext xmlns:c16="http://schemas.microsoft.com/office/drawing/2014/chart" uri="{C3380CC4-5D6E-409C-BE32-E72D297353CC}">
              <c16:uniqueId val="{00000000-EF7E-45BC-9963-E9470D1E7F2D}"/>
            </c:ext>
          </c:extLst>
        </c:ser>
        <c:ser>
          <c:idx val="1"/>
          <c:order val="1"/>
          <c:tx>
            <c:strRef>
              <c:f>'top 10 venues1'!$C$3:$C$4</c:f>
              <c:strCache>
                <c:ptCount val="1"/>
                <c:pt idx="0">
                  <c:v>field</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venues1'!$A$5:$A$14</c:f>
              <c:strCache>
                <c:ptCount val="9"/>
                <c:pt idx="0">
                  <c:v>Dr. Y.S. Rajasekhara Reddy ACA-VDCA Cricket Stadium</c:v>
                </c:pt>
                <c:pt idx="1">
                  <c:v>M.Chinnaswamy Stadium</c:v>
                </c:pt>
                <c:pt idx="2">
                  <c:v>Arun Jaitley Stadium</c:v>
                </c:pt>
                <c:pt idx="3">
                  <c:v>Eden Gardens</c:v>
                </c:pt>
                <c:pt idx="4">
                  <c:v>Punjab Cricket Association IS Bindra Stadium</c:v>
                </c:pt>
                <c:pt idx="5">
                  <c:v>Wankhede Stadium</c:v>
                </c:pt>
                <c:pt idx="6">
                  <c:v>Sawai Mansingh Stadium</c:v>
                </c:pt>
                <c:pt idx="7">
                  <c:v>MA Chidambaram Stadium</c:v>
                </c:pt>
                <c:pt idx="8">
                  <c:v>Rajiv Gandhi International Stadium</c:v>
                </c:pt>
              </c:strCache>
            </c:strRef>
          </c:cat>
          <c:val>
            <c:numRef>
              <c:f>'top 10 venues1'!$C$5:$C$14</c:f>
              <c:numCache>
                <c:formatCode>General</c:formatCode>
                <c:ptCount val="9"/>
                <c:pt idx="0">
                  <c:v>2</c:v>
                </c:pt>
                <c:pt idx="1">
                  <c:v>7</c:v>
                </c:pt>
                <c:pt idx="2">
                  <c:v>3</c:v>
                </c:pt>
                <c:pt idx="3">
                  <c:v>7</c:v>
                </c:pt>
                <c:pt idx="4">
                  <c:v>7</c:v>
                </c:pt>
                <c:pt idx="5">
                  <c:v>6</c:v>
                </c:pt>
                <c:pt idx="6">
                  <c:v>7</c:v>
                </c:pt>
                <c:pt idx="7">
                  <c:v>6</c:v>
                </c:pt>
                <c:pt idx="8">
                  <c:v>5</c:v>
                </c:pt>
              </c:numCache>
            </c:numRef>
          </c:val>
          <c:extLst>
            <c:ext xmlns:c16="http://schemas.microsoft.com/office/drawing/2014/chart" uri="{C3380CC4-5D6E-409C-BE32-E72D297353CC}">
              <c16:uniqueId val="{00000001-EF7E-45BC-9963-E9470D1E7F2D}"/>
            </c:ext>
          </c:extLst>
        </c:ser>
        <c:dLbls>
          <c:dLblPos val="ctr"/>
          <c:showLegendKey val="0"/>
          <c:showVal val="1"/>
          <c:showCatName val="0"/>
          <c:showSerName val="0"/>
          <c:showPercent val="0"/>
          <c:showBubbleSize val="0"/>
        </c:dLbls>
        <c:gapWidth val="150"/>
        <c:overlap val="100"/>
        <c:axId val="1684166399"/>
        <c:axId val="1684165919"/>
      </c:barChart>
      <c:catAx>
        <c:axId val="168416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165919"/>
        <c:crosses val="autoZero"/>
        <c:auto val="1"/>
        <c:lblAlgn val="ctr"/>
        <c:lblOffset val="100"/>
        <c:noMultiLvlLbl val="0"/>
      </c:catAx>
      <c:valAx>
        <c:axId val="1684165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166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b="1"/>
              <a:t>MAN OFTHE MATCH</a:t>
            </a:r>
          </a:p>
        </c:rich>
      </c:tx>
      <c:layout>
        <c:manualLayout>
          <c:xMode val="edge"/>
          <c:yMode val="edge"/>
          <c:x val="0.36773290139431869"/>
          <c:y val="4.2982375450732212E-2"/>
        </c:manualLayout>
      </c:layout>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manualLayout>
          <c:layoutTarget val="inner"/>
          <c:xMode val="edge"/>
          <c:yMode val="edge"/>
          <c:x val="3.348591361384818E-2"/>
          <c:y val="0.19776314725365213"/>
          <c:w val="0.93578517221249269"/>
          <c:h val="0.66192074948964708"/>
        </c:manualLayout>
      </c:layout>
      <c:barChart>
        <c:barDir val="col"/>
        <c:grouping val="clustered"/>
        <c:varyColors val="0"/>
        <c:ser>
          <c:idx val="0"/>
          <c:order val="0"/>
          <c:tx>
            <c:strRef>
              <c:f>mom!$F$3</c:f>
              <c:strCache>
                <c:ptCount val="1"/>
                <c:pt idx="0">
                  <c:v>no.of MOM</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mom!$E$4:$E$13</c:f>
              <c:strCache>
                <c:ptCount val="10"/>
                <c:pt idx="0">
                  <c:v>AD Russell</c:v>
                </c:pt>
                <c:pt idx="1">
                  <c:v>RR Pant</c:v>
                </c:pt>
                <c:pt idx="2">
                  <c:v>MS Dhoni</c:v>
                </c:pt>
                <c:pt idx="3">
                  <c:v>HH Pandya</c:v>
                </c:pt>
                <c:pt idx="4">
                  <c:v>JJ Bumrah</c:v>
                </c:pt>
                <c:pt idx="5">
                  <c:v>AB de Villiers</c:v>
                </c:pt>
                <c:pt idx="6">
                  <c:v>S Dhawan</c:v>
                </c:pt>
                <c:pt idx="7">
                  <c:v>DA Warner</c:v>
                </c:pt>
                <c:pt idx="8">
                  <c:v>JM Bairstow</c:v>
                </c:pt>
                <c:pt idx="9">
                  <c:v>SR Watson</c:v>
                </c:pt>
              </c:strCache>
            </c:strRef>
          </c:cat>
          <c:val>
            <c:numRef>
              <c:f>mom!$F$4:$F$13</c:f>
              <c:numCache>
                <c:formatCode>General</c:formatCode>
                <c:ptCount val="10"/>
                <c:pt idx="0">
                  <c:v>4</c:v>
                </c:pt>
                <c:pt idx="1">
                  <c:v>3</c:v>
                </c:pt>
                <c:pt idx="2">
                  <c:v>3</c:v>
                </c:pt>
                <c:pt idx="3">
                  <c:v>3</c:v>
                </c:pt>
                <c:pt idx="4">
                  <c:v>3</c:v>
                </c:pt>
                <c:pt idx="5">
                  <c:v>2</c:v>
                </c:pt>
                <c:pt idx="6">
                  <c:v>2</c:v>
                </c:pt>
                <c:pt idx="7">
                  <c:v>2</c:v>
                </c:pt>
                <c:pt idx="8">
                  <c:v>2</c:v>
                </c:pt>
                <c:pt idx="9">
                  <c:v>2</c:v>
                </c:pt>
              </c:numCache>
            </c:numRef>
          </c:val>
          <c:extLst>
            <c:ext xmlns:c16="http://schemas.microsoft.com/office/drawing/2014/chart" uri="{C3380CC4-5D6E-409C-BE32-E72D297353CC}">
              <c16:uniqueId val="{00000000-F79D-489C-958F-E4A521E601DB}"/>
            </c:ext>
          </c:extLst>
        </c:ser>
        <c:dLbls>
          <c:dLblPos val="inEnd"/>
          <c:showLegendKey val="0"/>
          <c:showVal val="1"/>
          <c:showCatName val="0"/>
          <c:showSerName val="0"/>
          <c:showPercent val="0"/>
          <c:showBubbleSize val="0"/>
        </c:dLbls>
        <c:gapWidth val="41"/>
        <c:axId val="122005087"/>
        <c:axId val="122007007"/>
      </c:barChart>
      <c:catAx>
        <c:axId val="1220050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22007007"/>
        <c:crosses val="autoZero"/>
        <c:auto val="1"/>
        <c:lblAlgn val="ctr"/>
        <c:lblOffset val="100"/>
        <c:noMultiLvlLbl val="0"/>
      </c:catAx>
      <c:valAx>
        <c:axId val="122007007"/>
        <c:scaling>
          <c:orientation val="minMax"/>
        </c:scaling>
        <c:delete val="1"/>
        <c:axPos val="l"/>
        <c:numFmt formatCode="General" sourceLinked="1"/>
        <c:majorTickMark val="none"/>
        <c:minorTickMark val="none"/>
        <c:tickLblPos val="nextTo"/>
        <c:crossAx val="122005087"/>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PROJECT.xlsx]matches win by team!PivotTable1</c:name>
    <c:fmtId val="0"/>
  </c:pivotSource>
  <c:chart>
    <c:title>
      <c:tx>
        <c:rich>
          <a:bodyPr rot="0" spcFirstLastPara="1" vertOverflow="ellipsis" vert="horz" wrap="square" anchor="ctr" anchorCtr="1"/>
          <a:lstStyle/>
          <a:p>
            <a:pPr>
              <a:defRPr sz="1400" b="0" i="0" u="none" strike="noStrike" kern="1200" spc="0" baseline="0">
                <a:ln>
                  <a:solidFill>
                    <a:schemeClr val="bg2">
                      <a:lumMod val="50000"/>
                    </a:schemeClr>
                  </a:solidFill>
                </a:ln>
                <a:solidFill>
                  <a:schemeClr val="tx1"/>
                </a:solidFill>
                <a:latin typeface="+mn-lt"/>
                <a:ea typeface="+mn-ea"/>
                <a:cs typeface="+mn-cs"/>
              </a:defRPr>
            </a:pPr>
            <a:r>
              <a:rPr lang="en-IN"/>
              <a:t>MATCHES WIN BY TEAM WRT BAT FIRST &amp; </a:t>
            </a:r>
          </a:p>
          <a:p>
            <a:pPr>
              <a:defRPr/>
            </a:pPr>
            <a:r>
              <a:rPr lang="en-IN"/>
              <a:t>BOWL FIRST SINCE 2008</a:t>
            </a:r>
          </a:p>
        </c:rich>
      </c:tx>
      <c:layout>
        <c:manualLayout>
          <c:xMode val="edge"/>
          <c:yMode val="edge"/>
          <c:x val="0.25680559369287131"/>
          <c:y val="7.8016822700312072E-2"/>
        </c:manualLayout>
      </c:layout>
      <c:overlay val="0"/>
      <c:spPr>
        <a:noFill/>
        <a:ln>
          <a:noFill/>
        </a:ln>
        <a:effectLst/>
      </c:spPr>
      <c:txPr>
        <a:bodyPr rot="0" spcFirstLastPara="1" vertOverflow="ellipsis" vert="horz" wrap="square" anchor="ctr" anchorCtr="1"/>
        <a:lstStyle/>
        <a:p>
          <a:pPr>
            <a:defRPr sz="1400" b="0" i="0" u="none" strike="noStrike" kern="1200" spc="0" baseline="0">
              <a:ln>
                <a:solidFill>
                  <a:schemeClr val="bg2">
                    <a:lumMod val="50000"/>
                  </a:schemeClr>
                </a:solidFill>
              </a:ln>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'matches win by team'!$B$3:$B$4</c:f>
              <c:strCache>
                <c:ptCount val="1"/>
                <c:pt idx="0">
                  <c:v>bat</c:v>
                </c:pt>
              </c:strCache>
            </c:strRef>
          </c:tx>
          <c:spPr>
            <a:solidFill>
              <a:schemeClr val="accent1"/>
            </a:solidFill>
            <a:ln>
              <a:noFill/>
            </a:ln>
            <a:effectLst/>
          </c:spPr>
          <c:invertIfNegative val="0"/>
          <c:cat>
            <c:strRef>
              <c:f>'matches win by team'!$A$5:$A$14</c:f>
              <c:strCache>
                <c:ptCount val="9"/>
                <c:pt idx="0">
                  <c:v>Chennai Super Kings</c:v>
                </c:pt>
                <c:pt idx="1">
                  <c:v>Mumbai Indians</c:v>
                </c:pt>
                <c:pt idx="2">
                  <c:v>Delhi Capitals</c:v>
                </c:pt>
                <c:pt idx="3">
                  <c:v>Sunrisers Hyderabad</c:v>
                </c:pt>
                <c:pt idx="4">
                  <c:v>Kolkata Knight Riders</c:v>
                </c:pt>
                <c:pt idx="5">
                  <c:v>Kings XI Punjab</c:v>
                </c:pt>
                <c:pt idx="6">
                  <c:v>Royal Challengers Bangalore</c:v>
                </c:pt>
                <c:pt idx="7">
                  <c:v>Rajasthan Royals</c:v>
                </c:pt>
                <c:pt idx="8">
                  <c:v>NA</c:v>
                </c:pt>
              </c:strCache>
            </c:strRef>
          </c:cat>
          <c:val>
            <c:numRef>
              <c:f>'matches win by team'!$B$5:$B$14</c:f>
              <c:numCache>
                <c:formatCode>General</c:formatCode>
                <c:ptCount val="9"/>
                <c:pt idx="0">
                  <c:v>2</c:v>
                </c:pt>
                <c:pt idx="1">
                  <c:v>3</c:v>
                </c:pt>
                <c:pt idx="2">
                  <c:v>2</c:v>
                </c:pt>
                <c:pt idx="3">
                  <c:v>2</c:v>
                </c:pt>
                <c:pt idx="8">
                  <c:v>1</c:v>
                </c:pt>
              </c:numCache>
            </c:numRef>
          </c:val>
          <c:extLst>
            <c:ext xmlns:c16="http://schemas.microsoft.com/office/drawing/2014/chart" uri="{C3380CC4-5D6E-409C-BE32-E72D297353CC}">
              <c16:uniqueId val="{00000000-18DF-40F1-AABD-0E2906FFC94C}"/>
            </c:ext>
          </c:extLst>
        </c:ser>
        <c:ser>
          <c:idx val="1"/>
          <c:order val="1"/>
          <c:tx>
            <c:strRef>
              <c:f>'matches win by team'!$C$3:$C$4</c:f>
              <c:strCache>
                <c:ptCount val="1"/>
                <c:pt idx="0">
                  <c:v>field</c:v>
                </c:pt>
              </c:strCache>
            </c:strRef>
          </c:tx>
          <c:spPr>
            <a:solidFill>
              <a:schemeClr val="accent3"/>
            </a:solidFill>
            <a:ln>
              <a:noFill/>
            </a:ln>
            <a:effectLst/>
          </c:spPr>
          <c:invertIfNegative val="0"/>
          <c:cat>
            <c:strRef>
              <c:f>'matches win by team'!$A$5:$A$14</c:f>
              <c:strCache>
                <c:ptCount val="9"/>
                <c:pt idx="0">
                  <c:v>Chennai Super Kings</c:v>
                </c:pt>
                <c:pt idx="1">
                  <c:v>Mumbai Indians</c:v>
                </c:pt>
                <c:pt idx="2">
                  <c:v>Delhi Capitals</c:v>
                </c:pt>
                <c:pt idx="3">
                  <c:v>Sunrisers Hyderabad</c:v>
                </c:pt>
                <c:pt idx="4">
                  <c:v>Kolkata Knight Riders</c:v>
                </c:pt>
                <c:pt idx="5">
                  <c:v>Kings XI Punjab</c:v>
                </c:pt>
                <c:pt idx="6">
                  <c:v>Royal Challengers Bangalore</c:v>
                </c:pt>
                <c:pt idx="7">
                  <c:v>Rajasthan Royals</c:v>
                </c:pt>
                <c:pt idx="8">
                  <c:v>NA</c:v>
                </c:pt>
              </c:strCache>
            </c:strRef>
          </c:cat>
          <c:val>
            <c:numRef>
              <c:f>'matches win by team'!$C$5:$C$14</c:f>
              <c:numCache>
                <c:formatCode>General</c:formatCode>
                <c:ptCount val="9"/>
                <c:pt idx="0">
                  <c:v>8</c:v>
                </c:pt>
                <c:pt idx="1">
                  <c:v>7</c:v>
                </c:pt>
                <c:pt idx="2">
                  <c:v>7</c:v>
                </c:pt>
                <c:pt idx="3">
                  <c:v>4</c:v>
                </c:pt>
                <c:pt idx="4">
                  <c:v>6</c:v>
                </c:pt>
                <c:pt idx="5">
                  <c:v>6</c:v>
                </c:pt>
                <c:pt idx="6">
                  <c:v>5</c:v>
                </c:pt>
                <c:pt idx="7">
                  <c:v>5</c:v>
                </c:pt>
                <c:pt idx="8">
                  <c:v>2</c:v>
                </c:pt>
              </c:numCache>
            </c:numRef>
          </c:val>
          <c:extLst>
            <c:ext xmlns:c16="http://schemas.microsoft.com/office/drawing/2014/chart" uri="{C3380CC4-5D6E-409C-BE32-E72D297353CC}">
              <c16:uniqueId val="{00000001-18DF-40F1-AABD-0E2906FFC94C}"/>
            </c:ext>
          </c:extLst>
        </c:ser>
        <c:dLbls>
          <c:showLegendKey val="0"/>
          <c:showVal val="0"/>
          <c:showCatName val="0"/>
          <c:showSerName val="0"/>
          <c:showPercent val="0"/>
          <c:showBubbleSize val="0"/>
        </c:dLbls>
        <c:gapWidth val="150"/>
        <c:overlap val="100"/>
        <c:axId val="1865662623"/>
        <c:axId val="1865665023"/>
      </c:barChart>
      <c:catAx>
        <c:axId val="1865662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crossAx val="1865665023"/>
        <c:crosses val="autoZero"/>
        <c:auto val="1"/>
        <c:lblAlgn val="ctr"/>
        <c:lblOffset val="100"/>
        <c:noMultiLvlLbl val="0"/>
      </c:catAx>
      <c:valAx>
        <c:axId val="186566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crossAx val="1865662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solidFill>
                  <a:schemeClr val="bg2">
                    <a:lumMod val="50000"/>
                  </a:schemeClr>
                </a:solid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solidFill>
              <a:schemeClr val="bg2">
                <a:lumMod val="50000"/>
              </a:schemeClr>
            </a:solid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PROJECT.xlsx]toss decission1!PivotTable2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Toss decission based on winners % </a:t>
            </a:r>
          </a:p>
        </c:rich>
      </c:tx>
      <c:layout>
        <c:manualLayout>
          <c:xMode val="edge"/>
          <c:yMode val="edge"/>
          <c:x val="0.13052777777777777"/>
          <c:y val="0.10083114610673666"/>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FFC000"/>
          </a:soli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manualLayout>
          <c:layoutTarget val="inner"/>
          <c:xMode val="edge"/>
          <c:yMode val="edge"/>
          <c:x val="0.19948534558180228"/>
          <c:y val="0.23092373869932925"/>
          <c:w val="0.41422353455818023"/>
          <c:h val="0.69037255759696703"/>
        </c:manualLayout>
      </c:layout>
      <c:doughnutChart>
        <c:varyColors val="1"/>
        <c:ser>
          <c:idx val="0"/>
          <c:order val="0"/>
          <c:tx>
            <c:strRef>
              <c:f>'toss decission1'!$B$3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33F6-4E9D-B084-53813D5A43FD}"/>
              </c:ext>
            </c:extLst>
          </c:dPt>
          <c:dPt>
            <c:idx val="1"/>
            <c:bubble3D val="0"/>
            <c:spPr>
              <a:solidFill>
                <a:srgbClr val="FFC000"/>
              </a:solidFill>
              <a:ln>
                <a:noFill/>
              </a:ln>
              <a:effectLst/>
            </c:spPr>
            <c:extLst>
              <c:ext xmlns:c16="http://schemas.microsoft.com/office/drawing/2014/chart" uri="{C3380CC4-5D6E-409C-BE32-E72D297353CC}">
                <c16:uniqueId val="{00000002-7063-49F1-B4A3-E19DB4E3E12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'toss decission1'!$A$4:$A$6</c:f>
              <c:strCache>
                <c:ptCount val="2"/>
                <c:pt idx="0">
                  <c:v>bat</c:v>
                </c:pt>
                <c:pt idx="1">
                  <c:v>field</c:v>
                </c:pt>
              </c:strCache>
            </c:strRef>
          </c:cat>
          <c:val>
            <c:numRef>
              <c:f>'toss decission1'!$B$4:$B$6</c:f>
              <c:numCache>
                <c:formatCode>General</c:formatCode>
                <c:ptCount val="2"/>
                <c:pt idx="0">
                  <c:v>10</c:v>
                </c:pt>
                <c:pt idx="1">
                  <c:v>50</c:v>
                </c:pt>
              </c:numCache>
            </c:numRef>
          </c:val>
          <c:extLst>
            <c:ext xmlns:c16="http://schemas.microsoft.com/office/drawing/2014/chart" uri="{C3380CC4-5D6E-409C-BE32-E72D297353CC}">
              <c16:uniqueId val="{00000000-7063-49F1-B4A3-E19DB4E3E126}"/>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PROJECT.xlsx]top 10 venues1!PivotTable3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Top 10 venues with most matches &amp; winning</a:t>
            </a:r>
          </a:p>
          <a:p>
            <a:pPr>
              <a:defRPr/>
            </a:pPr>
            <a:r>
              <a:rPr lang="en-IN" sz="1200" b="1"/>
              <a:t>based on bat or bowl first</a:t>
            </a:r>
          </a:p>
        </c:rich>
      </c:tx>
      <c:layout>
        <c:manualLayout>
          <c:xMode val="edge"/>
          <c:yMode val="edge"/>
          <c:x val="0.21184425444673494"/>
          <c:y val="8.63654512013928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10 venues1'!$B$3:$B$4</c:f>
              <c:strCache>
                <c:ptCount val="1"/>
                <c:pt idx="0">
                  <c:v>bat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venues1'!$A$5:$A$14</c:f>
              <c:strCache>
                <c:ptCount val="9"/>
                <c:pt idx="0">
                  <c:v>Dr. Y.S. Rajasekhara Reddy ACA-VDCA Cricket Stadium</c:v>
                </c:pt>
                <c:pt idx="1">
                  <c:v>M.Chinnaswamy Stadium</c:v>
                </c:pt>
                <c:pt idx="2">
                  <c:v>Arun Jaitley Stadium</c:v>
                </c:pt>
                <c:pt idx="3">
                  <c:v>Eden Gardens</c:v>
                </c:pt>
                <c:pt idx="4">
                  <c:v>Punjab Cricket Association IS Bindra Stadium</c:v>
                </c:pt>
                <c:pt idx="5">
                  <c:v>Wankhede Stadium</c:v>
                </c:pt>
                <c:pt idx="6">
                  <c:v>Sawai Mansingh Stadium</c:v>
                </c:pt>
                <c:pt idx="7">
                  <c:v>MA Chidambaram Stadium</c:v>
                </c:pt>
                <c:pt idx="8">
                  <c:v>Rajiv Gandhi International Stadium</c:v>
                </c:pt>
              </c:strCache>
            </c:strRef>
          </c:cat>
          <c:val>
            <c:numRef>
              <c:f>'top 10 venues1'!$B$5:$B$14</c:f>
              <c:numCache>
                <c:formatCode>General</c:formatCode>
                <c:ptCount val="9"/>
                <c:pt idx="2">
                  <c:v>4</c:v>
                </c:pt>
                <c:pt idx="5">
                  <c:v>1</c:v>
                </c:pt>
                <c:pt idx="7">
                  <c:v>2</c:v>
                </c:pt>
                <c:pt idx="8">
                  <c:v>3</c:v>
                </c:pt>
              </c:numCache>
            </c:numRef>
          </c:val>
          <c:extLst>
            <c:ext xmlns:c16="http://schemas.microsoft.com/office/drawing/2014/chart" uri="{C3380CC4-5D6E-409C-BE32-E72D297353CC}">
              <c16:uniqueId val="{00000000-1537-4A44-8BCB-1D8612BFAA1A}"/>
            </c:ext>
          </c:extLst>
        </c:ser>
        <c:ser>
          <c:idx val="1"/>
          <c:order val="1"/>
          <c:tx>
            <c:strRef>
              <c:f>'top 10 venues1'!$C$3:$C$4</c:f>
              <c:strCache>
                <c:ptCount val="1"/>
                <c:pt idx="0">
                  <c:v>field</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venues1'!$A$5:$A$14</c:f>
              <c:strCache>
                <c:ptCount val="9"/>
                <c:pt idx="0">
                  <c:v>Dr. Y.S. Rajasekhara Reddy ACA-VDCA Cricket Stadium</c:v>
                </c:pt>
                <c:pt idx="1">
                  <c:v>M.Chinnaswamy Stadium</c:v>
                </c:pt>
                <c:pt idx="2">
                  <c:v>Arun Jaitley Stadium</c:v>
                </c:pt>
                <c:pt idx="3">
                  <c:v>Eden Gardens</c:v>
                </c:pt>
                <c:pt idx="4">
                  <c:v>Punjab Cricket Association IS Bindra Stadium</c:v>
                </c:pt>
                <c:pt idx="5">
                  <c:v>Wankhede Stadium</c:v>
                </c:pt>
                <c:pt idx="6">
                  <c:v>Sawai Mansingh Stadium</c:v>
                </c:pt>
                <c:pt idx="7">
                  <c:v>MA Chidambaram Stadium</c:v>
                </c:pt>
                <c:pt idx="8">
                  <c:v>Rajiv Gandhi International Stadium</c:v>
                </c:pt>
              </c:strCache>
            </c:strRef>
          </c:cat>
          <c:val>
            <c:numRef>
              <c:f>'top 10 venues1'!$C$5:$C$14</c:f>
              <c:numCache>
                <c:formatCode>General</c:formatCode>
                <c:ptCount val="9"/>
                <c:pt idx="0">
                  <c:v>2</c:v>
                </c:pt>
                <c:pt idx="1">
                  <c:v>7</c:v>
                </c:pt>
                <c:pt idx="2">
                  <c:v>3</c:v>
                </c:pt>
                <c:pt idx="3">
                  <c:v>7</c:v>
                </c:pt>
                <c:pt idx="4">
                  <c:v>7</c:v>
                </c:pt>
                <c:pt idx="5">
                  <c:v>6</c:v>
                </c:pt>
                <c:pt idx="6">
                  <c:v>7</c:v>
                </c:pt>
                <c:pt idx="7">
                  <c:v>6</c:v>
                </c:pt>
                <c:pt idx="8">
                  <c:v>5</c:v>
                </c:pt>
              </c:numCache>
            </c:numRef>
          </c:val>
          <c:extLst>
            <c:ext xmlns:c16="http://schemas.microsoft.com/office/drawing/2014/chart" uri="{C3380CC4-5D6E-409C-BE32-E72D297353CC}">
              <c16:uniqueId val="{00000001-1537-4A44-8BCB-1D8612BFAA1A}"/>
            </c:ext>
          </c:extLst>
        </c:ser>
        <c:dLbls>
          <c:dLblPos val="ctr"/>
          <c:showLegendKey val="0"/>
          <c:showVal val="1"/>
          <c:showCatName val="0"/>
          <c:showSerName val="0"/>
          <c:showPercent val="0"/>
          <c:showBubbleSize val="0"/>
        </c:dLbls>
        <c:gapWidth val="150"/>
        <c:overlap val="100"/>
        <c:axId val="1684166399"/>
        <c:axId val="1684165919"/>
      </c:barChart>
      <c:catAx>
        <c:axId val="168416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165919"/>
        <c:crosses val="autoZero"/>
        <c:auto val="1"/>
        <c:lblAlgn val="ctr"/>
        <c:lblOffset val="100"/>
        <c:noMultiLvlLbl val="0"/>
      </c:catAx>
      <c:valAx>
        <c:axId val="1684165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166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b="1"/>
              <a:t>MAN OFTHE MATCH</a:t>
            </a:r>
          </a:p>
        </c:rich>
      </c:tx>
      <c:layout>
        <c:manualLayout>
          <c:xMode val="edge"/>
          <c:yMode val="edge"/>
          <c:x val="0.24215966754155735"/>
          <c:y val="6.9444444444444448E-2"/>
        </c:manualLayout>
      </c:layout>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manualLayout>
          <c:layoutTarget val="inner"/>
          <c:xMode val="edge"/>
          <c:yMode val="edge"/>
          <c:x val="3.5026269702276708E-2"/>
          <c:y val="0.18842592592592591"/>
          <c:w val="0.93578517221249269"/>
          <c:h val="0.66192074948964708"/>
        </c:manualLayout>
      </c:layout>
      <c:barChart>
        <c:barDir val="col"/>
        <c:grouping val="clustered"/>
        <c:varyColors val="0"/>
        <c:ser>
          <c:idx val="0"/>
          <c:order val="0"/>
          <c:tx>
            <c:strRef>
              <c:f>mom!$F$3</c:f>
              <c:strCache>
                <c:ptCount val="1"/>
                <c:pt idx="0">
                  <c:v>no.of MOM</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mom!$E$4:$E$13</c:f>
              <c:strCache>
                <c:ptCount val="10"/>
                <c:pt idx="0">
                  <c:v>AD Russell</c:v>
                </c:pt>
                <c:pt idx="1">
                  <c:v>RR Pant</c:v>
                </c:pt>
                <c:pt idx="2">
                  <c:v>MS Dhoni</c:v>
                </c:pt>
                <c:pt idx="3">
                  <c:v>HH Pandya</c:v>
                </c:pt>
                <c:pt idx="4">
                  <c:v>JJ Bumrah</c:v>
                </c:pt>
                <c:pt idx="5">
                  <c:v>AB de Villiers</c:v>
                </c:pt>
                <c:pt idx="6">
                  <c:v>S Dhawan</c:v>
                </c:pt>
                <c:pt idx="7">
                  <c:v>DA Warner</c:v>
                </c:pt>
                <c:pt idx="8">
                  <c:v>JM Bairstow</c:v>
                </c:pt>
                <c:pt idx="9">
                  <c:v>SR Watson</c:v>
                </c:pt>
              </c:strCache>
            </c:strRef>
          </c:cat>
          <c:val>
            <c:numRef>
              <c:f>mom!$F$4:$F$13</c:f>
              <c:numCache>
                <c:formatCode>General</c:formatCode>
                <c:ptCount val="10"/>
                <c:pt idx="0">
                  <c:v>4</c:v>
                </c:pt>
                <c:pt idx="1">
                  <c:v>3</c:v>
                </c:pt>
                <c:pt idx="2">
                  <c:v>3</c:v>
                </c:pt>
                <c:pt idx="3">
                  <c:v>3</c:v>
                </c:pt>
                <c:pt idx="4">
                  <c:v>3</c:v>
                </c:pt>
                <c:pt idx="5">
                  <c:v>2</c:v>
                </c:pt>
                <c:pt idx="6">
                  <c:v>2</c:v>
                </c:pt>
                <c:pt idx="7">
                  <c:v>2</c:v>
                </c:pt>
                <c:pt idx="8">
                  <c:v>2</c:v>
                </c:pt>
                <c:pt idx="9">
                  <c:v>2</c:v>
                </c:pt>
              </c:numCache>
            </c:numRef>
          </c:val>
          <c:extLst>
            <c:ext xmlns:c16="http://schemas.microsoft.com/office/drawing/2014/chart" uri="{C3380CC4-5D6E-409C-BE32-E72D297353CC}">
              <c16:uniqueId val="{00000000-329D-4B13-BFF1-133A0370474C}"/>
            </c:ext>
          </c:extLst>
        </c:ser>
        <c:dLbls>
          <c:dLblPos val="inEnd"/>
          <c:showLegendKey val="0"/>
          <c:showVal val="1"/>
          <c:showCatName val="0"/>
          <c:showSerName val="0"/>
          <c:showPercent val="0"/>
          <c:showBubbleSize val="0"/>
        </c:dLbls>
        <c:gapWidth val="41"/>
        <c:axId val="122005087"/>
        <c:axId val="122007007"/>
      </c:barChart>
      <c:catAx>
        <c:axId val="1220050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22007007"/>
        <c:crosses val="autoZero"/>
        <c:auto val="1"/>
        <c:lblAlgn val="ctr"/>
        <c:lblOffset val="100"/>
        <c:noMultiLvlLbl val="0"/>
      </c:catAx>
      <c:valAx>
        <c:axId val="122007007"/>
        <c:scaling>
          <c:orientation val="minMax"/>
        </c:scaling>
        <c:delete val="1"/>
        <c:axPos val="l"/>
        <c:numFmt formatCode="General" sourceLinked="1"/>
        <c:majorTickMark val="none"/>
        <c:minorTickMark val="none"/>
        <c:tickLblPos val="nextTo"/>
        <c:crossAx val="122005087"/>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NO.OF TROPIS WITH EACH TEAM</cx:v>
        </cx:txData>
      </cx:tx>
      <cx:txPr>
        <a:bodyPr spcFirstLastPara="1" vertOverflow="ellipsis" horzOverflow="overflow" wrap="square" lIns="0" tIns="0" rIns="0" bIns="0" anchor="ctr" anchorCtr="1"/>
        <a:lstStyle/>
        <a:p>
          <a:pPr algn="ctr" rtl="0">
            <a:defRPr/>
          </a:pPr>
          <a:r>
            <a:rPr lang="en-US" sz="1200" b="1" i="0" u="none" strike="noStrike" baseline="0">
              <a:solidFill>
                <a:srgbClr val="000000">
                  <a:lumMod val="75000"/>
                  <a:lumOff val="25000"/>
                </a:srgbClr>
              </a:solidFill>
              <a:latin typeface="Arial"/>
              <a:cs typeface="Arial"/>
            </a:rPr>
            <a:t>NO.OF TROPIS WITH EACH TEAM</a:t>
          </a:r>
        </a:p>
      </cx:txPr>
    </cx:title>
    <cx:plotArea>
      <cx:plotAreaRegion>
        <cx:series layoutId="treemap" uniqueId="{770DA42B-FFCA-422D-9700-DF384E620DF4}">
          <cx:tx>
            <cx:txData>
              <cx:f>_xlchart.v1.1</cx:f>
              <cx:v>No.of Wins</cx:v>
            </cx:txData>
          </cx:tx>
          <cx:dataLabels pos="inEnd">
            <cx:visibility seriesName="0" categoryName="1" value="0"/>
          </cx:dataLabels>
          <cx:dataId val="0"/>
          <cx:layoutPr>
            <cx:parentLabelLayout val="overlapping"/>
          </cx:layoutPr>
        </cx:series>
      </cx:plotAreaRegion>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title pos="t" align="ctr" overlay="0">
      <cx:tx>
        <cx:txData>
          <cx:v>No.Of Tropis with Each Team</cx:v>
        </cx:txData>
      </cx:tx>
      <cx:txPr>
        <a:bodyPr spcFirstLastPara="1" vertOverflow="ellipsis" horzOverflow="overflow" wrap="square" lIns="0" tIns="0" rIns="0" bIns="0" anchor="ctr" anchorCtr="1"/>
        <a:lstStyle/>
        <a:p>
          <a:pPr algn="ctr" rtl="0">
            <a:defRPr/>
          </a:pPr>
          <a:r>
            <a:rPr lang="en-US" sz="1200" b="1" i="0" u="none" strike="noStrike" baseline="0">
              <a:solidFill>
                <a:srgbClr val="000000">
                  <a:lumMod val="75000"/>
                  <a:lumOff val="25000"/>
                </a:srgbClr>
              </a:solidFill>
              <a:latin typeface="Arial"/>
              <a:cs typeface="Arial"/>
            </a:rPr>
            <a:t>No.Of Tropis with Each Team</a:t>
          </a:r>
        </a:p>
      </cx:txPr>
    </cx:title>
    <cx:plotArea>
      <cx:plotAreaRegion>
        <cx:series layoutId="treemap" uniqueId="{770DA42B-FFCA-422D-9700-DF384E620DF4}">
          <cx:tx>
            <cx:txData>
              <cx:f>_xlchart.v1.4</cx:f>
              <cx:v>No.of Wins</cx:v>
            </cx:txData>
          </cx:tx>
          <cx:dataLabels pos="ctr">
            <cx:visibility seriesName="0" categoryName="1" value="0"/>
          </cx:dataLabels>
          <cx:dataId val="0"/>
          <cx:layoutPr>
            <cx:parentLabelLayout val="overlapping"/>
          </cx:layoutPr>
        </cx:series>
      </cx:plotAreaRegion>
    </cx:plotArea>
    <cx:legend pos="r"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417">
  <cs:axisTitle>
    <cs:lnRef idx="0"/>
    <cs:fillRef idx="0"/>
    <cs:effectRef idx="0"/>
    <cs:fontRef idx="minor">
      <a:schemeClr val="dk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65000"/>
        <a:lumOff val="35000"/>
      </a:schemeClr>
    </cs:fontRef>
    <cs:defRPr sz="9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cs:chartArea>
  <cs:dataLabel>
    <cs:lnRef idx="0"/>
    <cs:fillRef idx="0"/>
    <cs:effectRef idx="0"/>
    <cs:fontRef idx="minor">
      <a:schemeClr val="lt1"/>
    </cs:fontRef>
    <cs:defRPr sz="900" b="1"/>
    <cs:bodyPr lIns="38100" tIns="19050" rIns="38100" bIns="19050">
      <a:spAutoFit/>
    </cs:bodyPr>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w="9525">
        <a:solidFill>
          <a:schemeClr val="lt1"/>
        </a:solidFill>
      </a:ln>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solidFill>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lumOff val="10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65000"/>
        <a:lumOff val="35000"/>
      </a:schemeClr>
    </cs:fontRef>
    <cs:defRPr sz="1800" b="1"/>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dk1">
        <a:lumMod val="65000"/>
        <a:lumOff val="3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1</xdr:col>
      <xdr:colOff>456777</xdr:colOff>
      <xdr:row>0</xdr:row>
      <xdr:rowOff>147052</xdr:rowOff>
    </xdr:from>
    <xdr:to>
      <xdr:col>5</xdr:col>
      <xdr:colOff>423333</xdr:colOff>
      <xdr:row>9</xdr:row>
      <xdr:rowOff>13369</xdr:rowOff>
    </xdr:to>
    <xdr:sp macro="" textlink="">
      <xdr:nvSpPr>
        <xdr:cNvPr id="2" name="Rectangle: Rounded Corners 1">
          <a:extLst>
            <a:ext uri="{FF2B5EF4-FFF2-40B4-BE49-F238E27FC236}">
              <a16:creationId xmlns:a16="http://schemas.microsoft.com/office/drawing/2014/main" id="{17FBBBED-4301-3527-5B3A-324A47406CFF}"/>
            </a:ext>
          </a:extLst>
        </xdr:cNvPr>
        <xdr:cNvSpPr/>
      </xdr:nvSpPr>
      <xdr:spPr>
        <a:xfrm>
          <a:off x="1071724" y="147052"/>
          <a:ext cx="2426346" cy="1430422"/>
        </a:xfrm>
        <a:prstGeom prst="round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r>
            <a:rPr lang="en-IN" sz="2400" b="1" cap="none" spc="50">
              <a:ln w="0"/>
              <a:solidFill>
                <a:schemeClr val="bg2"/>
              </a:solidFill>
              <a:effectLst>
                <a:innerShdw blurRad="63500" dist="50800" dir="13500000">
                  <a:srgbClr val="000000">
                    <a:alpha val="50000"/>
                  </a:srgbClr>
                </a:innerShdw>
              </a:effectLst>
            </a:rPr>
            <a:t>IPL DATA ANALYSIS</a:t>
          </a:r>
        </a:p>
        <a:p>
          <a:pPr algn="ctr"/>
          <a:r>
            <a:rPr lang="en-IN" sz="2400" b="1" cap="none" spc="50">
              <a:ln w="0"/>
              <a:solidFill>
                <a:schemeClr val="bg2"/>
              </a:solidFill>
              <a:effectLst>
                <a:innerShdw blurRad="63500" dist="50800" dir="13500000">
                  <a:srgbClr val="000000">
                    <a:alpha val="50000"/>
                  </a:srgbClr>
                </a:innerShdw>
              </a:effectLst>
            </a:rPr>
            <a:t>2008-2025</a:t>
          </a:r>
        </a:p>
      </xdr:txBody>
    </xdr:sp>
    <xdr:clientData/>
  </xdr:twoCellAnchor>
  <xdr:twoCellAnchor>
    <xdr:from>
      <xdr:col>6</xdr:col>
      <xdr:colOff>454169</xdr:colOff>
      <xdr:row>1</xdr:row>
      <xdr:rowOff>13370</xdr:rowOff>
    </xdr:from>
    <xdr:to>
      <xdr:col>9</xdr:col>
      <xdr:colOff>576512</xdr:colOff>
      <xdr:row>5</xdr:row>
      <xdr:rowOff>33446</xdr:rowOff>
    </xdr:to>
    <xdr:sp macro="" textlink="">
      <xdr:nvSpPr>
        <xdr:cNvPr id="3" name="Arrow: Pentagon 2">
          <a:extLst>
            <a:ext uri="{FF2B5EF4-FFF2-40B4-BE49-F238E27FC236}">
              <a16:creationId xmlns:a16="http://schemas.microsoft.com/office/drawing/2014/main" id="{B89944FA-242F-BCAE-9353-5A9787D75F65}"/>
            </a:ext>
          </a:extLst>
        </xdr:cNvPr>
        <xdr:cNvSpPr/>
      </xdr:nvSpPr>
      <xdr:spPr>
        <a:xfrm>
          <a:off x="4143853" y="187159"/>
          <a:ext cx="1967185" cy="715234"/>
        </a:xfrm>
        <a:prstGeom prst="homePlate">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r>
            <a:rPr lang="en-IN" sz="1600" b="1"/>
            <a:t>YEAR</a:t>
          </a:r>
        </a:p>
      </xdr:txBody>
    </xdr:sp>
    <xdr:clientData/>
  </xdr:twoCellAnchor>
  <xdr:twoCellAnchor>
    <xdr:from>
      <xdr:col>7</xdr:col>
      <xdr:colOff>224477</xdr:colOff>
      <xdr:row>3</xdr:row>
      <xdr:rowOff>168486</xdr:rowOff>
    </xdr:from>
    <xdr:to>
      <xdr:col>9</xdr:col>
      <xdr:colOff>585426</xdr:colOff>
      <xdr:row>9</xdr:row>
      <xdr:rowOff>26737</xdr:rowOff>
    </xdr:to>
    <xdr:sp macro="" textlink="kpi!D4">
      <xdr:nvSpPr>
        <xdr:cNvPr id="4" name="Rectangle: Rounded Corners 3">
          <a:extLst>
            <a:ext uri="{FF2B5EF4-FFF2-40B4-BE49-F238E27FC236}">
              <a16:creationId xmlns:a16="http://schemas.microsoft.com/office/drawing/2014/main" id="{BAFAC2D1-358D-0DDD-EE51-D91FB3F54E4F}"/>
            </a:ext>
          </a:extLst>
        </xdr:cNvPr>
        <xdr:cNvSpPr/>
      </xdr:nvSpPr>
      <xdr:spPr>
        <a:xfrm>
          <a:off x="4529109" y="689854"/>
          <a:ext cx="1590843" cy="900988"/>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03B6E4E2-1E76-43C4-8726-D2C14561C187}" type="TxLink">
            <a:rPr lang="en-US" sz="1800" b="1" i="0" u="none" strike="noStrike">
              <a:solidFill>
                <a:srgbClr val="000000"/>
              </a:solidFill>
              <a:latin typeface="Arial"/>
              <a:cs typeface="Arial"/>
            </a:rPr>
            <a:pPr algn="ctr"/>
            <a:t>IPL-2019</a:t>
          </a:fld>
          <a:endParaRPr lang="en-IN" sz="1800" b="1"/>
        </a:p>
      </xdr:txBody>
    </xdr:sp>
    <xdr:clientData/>
  </xdr:twoCellAnchor>
  <xdr:twoCellAnchor>
    <xdr:from>
      <xdr:col>10</xdr:col>
      <xdr:colOff>535871</xdr:colOff>
      <xdr:row>1</xdr:row>
      <xdr:rowOff>13969</xdr:rowOff>
    </xdr:from>
    <xdr:to>
      <xdr:col>14</xdr:col>
      <xdr:colOff>79094</xdr:colOff>
      <xdr:row>5</xdr:row>
      <xdr:rowOff>26737</xdr:rowOff>
    </xdr:to>
    <xdr:sp macro="" textlink="">
      <xdr:nvSpPr>
        <xdr:cNvPr id="5" name="Arrow: Pentagon 4">
          <a:extLst>
            <a:ext uri="{FF2B5EF4-FFF2-40B4-BE49-F238E27FC236}">
              <a16:creationId xmlns:a16="http://schemas.microsoft.com/office/drawing/2014/main" id="{85ACBF7F-B35E-4485-A507-6416A09B356C}"/>
            </a:ext>
          </a:extLst>
        </xdr:cNvPr>
        <xdr:cNvSpPr/>
      </xdr:nvSpPr>
      <xdr:spPr>
        <a:xfrm>
          <a:off x="6685345" y="187758"/>
          <a:ext cx="2003012" cy="707926"/>
        </a:xfrm>
        <a:prstGeom prst="homePlate">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r>
            <a:rPr lang="en-IN" sz="1600" b="1">
              <a:latin typeface="+mj-lt"/>
              <a:ea typeface="Calibri Light" panose="020F0302020204030204" pitchFamily="34" charset="0"/>
              <a:cs typeface="Calibri Light" panose="020F0302020204030204" pitchFamily="34" charset="0"/>
            </a:rPr>
            <a:t>WINNERS</a:t>
          </a:r>
          <a:endParaRPr lang="en-IN" sz="1600">
            <a:latin typeface="+mj-lt"/>
          </a:endParaRPr>
        </a:p>
      </xdr:txBody>
    </xdr:sp>
    <xdr:clientData/>
  </xdr:twoCellAnchor>
  <xdr:twoCellAnchor>
    <xdr:from>
      <xdr:col>14</xdr:col>
      <xdr:colOff>449625</xdr:colOff>
      <xdr:row>1</xdr:row>
      <xdr:rowOff>26738</xdr:rowOff>
    </xdr:from>
    <xdr:to>
      <xdr:col>18</xdr:col>
      <xdr:colOff>16711</xdr:colOff>
      <xdr:row>5</xdr:row>
      <xdr:rowOff>7621</xdr:rowOff>
    </xdr:to>
    <xdr:sp macro="" textlink="">
      <xdr:nvSpPr>
        <xdr:cNvPr id="6" name="Arrow: Pentagon 5">
          <a:extLst>
            <a:ext uri="{FF2B5EF4-FFF2-40B4-BE49-F238E27FC236}">
              <a16:creationId xmlns:a16="http://schemas.microsoft.com/office/drawing/2014/main" id="{2DC96271-EE39-48F1-BD8B-9CE268E1F485}"/>
            </a:ext>
          </a:extLst>
        </xdr:cNvPr>
        <xdr:cNvSpPr/>
      </xdr:nvSpPr>
      <xdr:spPr>
        <a:xfrm>
          <a:off x="9058888" y="200527"/>
          <a:ext cx="2026876" cy="676041"/>
        </a:xfrm>
        <a:prstGeom prst="homePlate">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r>
            <a:rPr lang="en-IN" sz="1600" b="1"/>
            <a:t>RUNNER-UP</a:t>
          </a:r>
        </a:p>
      </xdr:txBody>
    </xdr:sp>
    <xdr:clientData/>
  </xdr:twoCellAnchor>
  <xdr:twoCellAnchor>
    <xdr:from>
      <xdr:col>18</xdr:col>
      <xdr:colOff>555902</xdr:colOff>
      <xdr:row>0</xdr:row>
      <xdr:rowOff>160421</xdr:rowOff>
    </xdr:from>
    <xdr:to>
      <xdr:col>22</xdr:col>
      <xdr:colOff>78539</xdr:colOff>
      <xdr:row>5</xdr:row>
      <xdr:rowOff>26738</xdr:rowOff>
    </xdr:to>
    <xdr:sp macro="" textlink="">
      <xdr:nvSpPr>
        <xdr:cNvPr id="7" name="Arrow: Pentagon 6">
          <a:extLst>
            <a:ext uri="{FF2B5EF4-FFF2-40B4-BE49-F238E27FC236}">
              <a16:creationId xmlns:a16="http://schemas.microsoft.com/office/drawing/2014/main" id="{3E2D8BBA-B3F0-4948-B111-7ED21EA308A9}"/>
            </a:ext>
          </a:extLst>
        </xdr:cNvPr>
        <xdr:cNvSpPr/>
      </xdr:nvSpPr>
      <xdr:spPr>
        <a:xfrm>
          <a:off x="11624955" y="160421"/>
          <a:ext cx="1982426" cy="735264"/>
        </a:xfrm>
        <a:prstGeom prst="homePlate">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r>
            <a:rPr lang="en-IN" sz="1400" b="1"/>
            <a:t>PLAYER OF THE MATCH</a:t>
          </a:r>
        </a:p>
      </xdr:txBody>
    </xdr:sp>
    <xdr:clientData/>
  </xdr:twoCellAnchor>
  <xdr:twoCellAnchor>
    <xdr:from>
      <xdr:col>11</xdr:col>
      <xdr:colOff>166257</xdr:colOff>
      <xdr:row>3</xdr:row>
      <xdr:rowOff>162514</xdr:rowOff>
    </xdr:from>
    <xdr:to>
      <xdr:col>14</xdr:col>
      <xdr:colOff>167104</xdr:colOff>
      <xdr:row>9</xdr:row>
      <xdr:rowOff>26736</xdr:rowOff>
    </xdr:to>
    <xdr:sp macro="" textlink="kpi!E4">
      <xdr:nvSpPr>
        <xdr:cNvPr id="8" name="Rectangle: Rounded Corners 7">
          <a:extLst>
            <a:ext uri="{FF2B5EF4-FFF2-40B4-BE49-F238E27FC236}">
              <a16:creationId xmlns:a16="http://schemas.microsoft.com/office/drawing/2014/main" id="{A619B9EE-34AC-4BF2-B949-90DDB87F443C}"/>
            </a:ext>
          </a:extLst>
        </xdr:cNvPr>
        <xdr:cNvSpPr/>
      </xdr:nvSpPr>
      <xdr:spPr>
        <a:xfrm>
          <a:off x="6930678" y="683882"/>
          <a:ext cx="1845689" cy="906959"/>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5265950D-1BC1-44AE-AFA2-C624D4CC077E}" type="TxLink">
            <a:rPr lang="en-US" sz="1600" b="1" i="0" u="none" strike="noStrike">
              <a:solidFill>
                <a:srgbClr val="000000"/>
              </a:solidFill>
              <a:latin typeface="Arial"/>
              <a:cs typeface="Arial"/>
            </a:rPr>
            <a:pPr algn="ctr"/>
            <a:t>Mumbai Indians</a:t>
          </a:fld>
          <a:endParaRPr lang="en-IN" sz="1600" b="1"/>
        </a:p>
      </xdr:txBody>
    </xdr:sp>
    <xdr:clientData/>
  </xdr:twoCellAnchor>
  <xdr:twoCellAnchor>
    <xdr:from>
      <xdr:col>15</xdr:col>
      <xdr:colOff>251550</xdr:colOff>
      <xdr:row>3</xdr:row>
      <xdr:rowOff>95317</xdr:rowOff>
    </xdr:from>
    <xdr:to>
      <xdr:col>17</xdr:col>
      <xdr:colOff>597681</xdr:colOff>
      <xdr:row>9</xdr:row>
      <xdr:rowOff>26737</xdr:rowOff>
    </xdr:to>
    <xdr:sp macro="" textlink="kpi!F4">
      <xdr:nvSpPr>
        <xdr:cNvPr id="9" name="Rectangle: Rounded Corners 8">
          <a:extLst>
            <a:ext uri="{FF2B5EF4-FFF2-40B4-BE49-F238E27FC236}">
              <a16:creationId xmlns:a16="http://schemas.microsoft.com/office/drawing/2014/main" id="{4EF3F3AD-5458-4B82-9F76-4AADCE0F3DA2}"/>
            </a:ext>
          </a:extLst>
        </xdr:cNvPr>
        <xdr:cNvSpPr/>
      </xdr:nvSpPr>
      <xdr:spPr>
        <a:xfrm>
          <a:off x="9475761" y="616685"/>
          <a:ext cx="1576025" cy="974157"/>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845BA3ED-87B3-4042-8CF2-B7674335FF08}" type="TxLink">
            <a:rPr lang="en-US" sz="1600" b="1" i="0" u="none" strike="noStrike">
              <a:solidFill>
                <a:srgbClr val="000000"/>
              </a:solidFill>
              <a:latin typeface="Arial"/>
              <a:cs typeface="Arial"/>
            </a:rPr>
            <a:pPr algn="ctr"/>
            <a:t>Chennai Super Kings</a:t>
          </a:fld>
          <a:endParaRPr lang="en-IN" sz="1600" b="1"/>
        </a:p>
      </xdr:txBody>
    </xdr:sp>
    <xdr:clientData/>
  </xdr:twoCellAnchor>
  <xdr:twoCellAnchor>
    <xdr:from>
      <xdr:col>19</xdr:col>
      <xdr:colOff>202909</xdr:colOff>
      <xdr:row>3</xdr:row>
      <xdr:rowOff>142484</xdr:rowOff>
    </xdr:from>
    <xdr:to>
      <xdr:col>21</xdr:col>
      <xdr:colOff>573169</xdr:colOff>
      <xdr:row>9</xdr:row>
      <xdr:rowOff>26737</xdr:rowOff>
    </xdr:to>
    <xdr:sp macro="" textlink="kpi!G4">
      <xdr:nvSpPr>
        <xdr:cNvPr id="10" name="Rectangle: Rounded Corners 9">
          <a:extLst>
            <a:ext uri="{FF2B5EF4-FFF2-40B4-BE49-F238E27FC236}">
              <a16:creationId xmlns:a16="http://schemas.microsoft.com/office/drawing/2014/main" id="{B3015C34-18B7-4FD1-B00C-08002348C08B}"/>
            </a:ext>
          </a:extLst>
        </xdr:cNvPr>
        <xdr:cNvSpPr/>
      </xdr:nvSpPr>
      <xdr:spPr>
        <a:xfrm>
          <a:off x="11886909" y="663852"/>
          <a:ext cx="1600155" cy="92699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09F37299-E046-40CC-88A3-5CAE11A41B54}" type="TxLink">
            <a:rPr lang="en-US" sz="1600" b="1" i="0" u="none" strike="noStrike">
              <a:solidFill>
                <a:srgbClr val="000000"/>
              </a:solidFill>
              <a:latin typeface="Arial"/>
              <a:cs typeface="Arial"/>
            </a:rPr>
            <a:pPr algn="ctr"/>
            <a:t>Andre Russell</a:t>
          </a:fld>
          <a:endParaRPr lang="en-IN" sz="1600" b="1"/>
        </a:p>
      </xdr:txBody>
    </xdr:sp>
    <xdr:clientData/>
  </xdr:twoCellAnchor>
  <xdr:twoCellAnchor editAs="oneCell">
    <xdr:from>
      <xdr:col>0</xdr:col>
      <xdr:colOff>579120</xdr:colOff>
      <xdr:row>9</xdr:row>
      <xdr:rowOff>45720</xdr:rowOff>
    </xdr:from>
    <xdr:to>
      <xdr:col>22</xdr:col>
      <xdr:colOff>201084</xdr:colOff>
      <xdr:row>16</xdr:row>
      <xdr:rowOff>91440</xdr:rowOff>
    </xdr:to>
    <mc:AlternateContent xmlns:mc="http://schemas.openxmlformats.org/markup-compatibility/2006" xmlns:a14="http://schemas.microsoft.com/office/drawing/2010/main">
      <mc:Choice Requires="a14">
        <xdr:graphicFrame macro="">
          <xdr:nvGraphicFramePr>
            <xdr:cNvPr id="11" name="Season 3">
              <a:extLst>
                <a:ext uri="{FF2B5EF4-FFF2-40B4-BE49-F238E27FC236}">
                  <a16:creationId xmlns:a16="http://schemas.microsoft.com/office/drawing/2014/main" id="{37E75ED1-A662-4978-A516-EA39E01FF2FE}"/>
                </a:ext>
              </a:extLst>
            </xdr:cNvPr>
            <xdr:cNvGraphicFramePr/>
          </xdr:nvGraphicFramePr>
          <xdr:xfrm>
            <a:off x="0" y="0"/>
            <a:ext cx="0" cy="0"/>
          </xdr:xfrm>
          <a:graphic>
            <a:graphicData uri="http://schemas.microsoft.com/office/drawing/2010/slicer">
              <sle:slicer xmlns:sle="http://schemas.microsoft.com/office/drawing/2010/slicer" name="Season 3"/>
            </a:graphicData>
          </a:graphic>
        </xdr:graphicFrame>
      </mc:Choice>
      <mc:Fallback xmlns="">
        <xdr:sp macro="" textlink="">
          <xdr:nvSpPr>
            <xdr:cNvPr id="0" name=""/>
            <xdr:cNvSpPr>
              <a:spLocks noTextEdit="1"/>
            </xdr:cNvSpPr>
          </xdr:nvSpPr>
          <xdr:spPr>
            <a:xfrm>
              <a:off x="579120" y="1609825"/>
              <a:ext cx="13150806" cy="12622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579120</xdr:colOff>
      <xdr:row>16</xdr:row>
      <xdr:rowOff>38100</xdr:rowOff>
    </xdr:from>
    <xdr:to>
      <xdr:col>11</xdr:col>
      <xdr:colOff>68580</xdr:colOff>
      <xdr:row>33</xdr:row>
      <xdr:rowOff>160020</xdr:rowOff>
    </xdr:to>
    <xdr:graphicFrame macro="">
      <xdr:nvGraphicFramePr>
        <xdr:cNvPr id="12" name="Chart 11">
          <a:extLst>
            <a:ext uri="{FF2B5EF4-FFF2-40B4-BE49-F238E27FC236}">
              <a16:creationId xmlns:a16="http://schemas.microsoft.com/office/drawing/2014/main" id="{2CF5A46D-136E-4891-BCA6-ACB67D010D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91440</xdr:colOff>
      <xdr:row>16</xdr:row>
      <xdr:rowOff>30480</xdr:rowOff>
    </xdr:from>
    <xdr:to>
      <xdr:col>15</xdr:col>
      <xdr:colOff>121920</xdr:colOff>
      <xdr:row>34</xdr:row>
      <xdr:rowOff>0</xdr:rowOff>
    </xdr:to>
    <xdr:graphicFrame macro="">
      <xdr:nvGraphicFramePr>
        <xdr:cNvPr id="13" name="Chart 12">
          <a:extLst>
            <a:ext uri="{FF2B5EF4-FFF2-40B4-BE49-F238E27FC236}">
              <a16:creationId xmlns:a16="http://schemas.microsoft.com/office/drawing/2014/main" id="{04D80CDD-AD10-403C-B020-5761F6D2D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129540</xdr:colOff>
      <xdr:row>16</xdr:row>
      <xdr:rowOff>38099</xdr:rowOff>
    </xdr:from>
    <xdr:to>
      <xdr:col>22</xdr:col>
      <xdr:colOff>198120</xdr:colOff>
      <xdr:row>33</xdr:row>
      <xdr:rowOff>83820</xdr:rowOff>
    </xdr:to>
    <xdr:graphicFrame macro="">
      <xdr:nvGraphicFramePr>
        <xdr:cNvPr id="14" name="top 10 venues">
          <a:extLst>
            <a:ext uri="{FF2B5EF4-FFF2-40B4-BE49-F238E27FC236}">
              <a16:creationId xmlns:a16="http://schemas.microsoft.com/office/drawing/2014/main" id="{7559AD42-E132-4BD3-AB6D-3521183B3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434340</xdr:colOff>
      <xdr:row>34</xdr:row>
      <xdr:rowOff>0</xdr:rowOff>
    </xdr:from>
    <xdr:to>
      <xdr:col>11</xdr:col>
      <xdr:colOff>266700</xdr:colOff>
      <xdr:row>53</xdr:row>
      <xdr:rowOff>76200</xdr:rowOff>
    </xdr:to>
    <xdr:graphicFrame macro="">
      <xdr:nvGraphicFramePr>
        <xdr:cNvPr id="15" name="Chart 14">
          <a:extLst>
            <a:ext uri="{FF2B5EF4-FFF2-40B4-BE49-F238E27FC236}">
              <a16:creationId xmlns:a16="http://schemas.microsoft.com/office/drawing/2014/main" id="{7CF6293F-2CC3-4F7B-97A1-15C668311C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350520</xdr:colOff>
      <xdr:row>34</xdr:row>
      <xdr:rowOff>22860</xdr:rowOff>
    </xdr:from>
    <xdr:to>
      <xdr:col>22</xdr:col>
      <xdr:colOff>198120</xdr:colOff>
      <xdr:row>53</xdr:row>
      <xdr:rowOff>53340</xdr:rowOff>
    </xdr:to>
    <mc:AlternateContent xmlns:mc="http://schemas.openxmlformats.org/markup-compatibility/2006">
      <mc:Choice xmlns:cx1="http://schemas.microsoft.com/office/drawing/2015/9/8/chartex" Requires="cx1">
        <xdr:graphicFrame macro="">
          <xdr:nvGraphicFramePr>
            <xdr:cNvPr id="16" name="Chart 15">
              <a:extLst>
                <a:ext uri="{FF2B5EF4-FFF2-40B4-BE49-F238E27FC236}">
                  <a16:creationId xmlns:a16="http://schemas.microsoft.com/office/drawing/2014/main" id="{63A82C6A-3F0F-414E-B18D-DD1ACEF1EB1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7056120" y="5722620"/>
              <a:ext cx="6553200" cy="32156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213360</xdr:colOff>
      <xdr:row>1</xdr:row>
      <xdr:rowOff>137160</xdr:rowOff>
    </xdr:from>
    <xdr:to>
      <xdr:col>17</xdr:col>
      <xdr:colOff>0</xdr:colOff>
      <xdr:row>24</xdr:row>
      <xdr:rowOff>152400</xdr:rowOff>
    </xdr:to>
    <xdr:graphicFrame macro="">
      <xdr:nvGraphicFramePr>
        <xdr:cNvPr id="2" name="Chart 1">
          <a:extLst>
            <a:ext uri="{FF2B5EF4-FFF2-40B4-BE49-F238E27FC236}">
              <a16:creationId xmlns:a16="http://schemas.microsoft.com/office/drawing/2014/main" id="{184599AC-E8BD-B200-8E1D-ED173083A1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198120</xdr:colOff>
      <xdr:row>0</xdr:row>
      <xdr:rowOff>106680</xdr:rowOff>
    </xdr:from>
    <xdr:to>
      <xdr:col>10</xdr:col>
      <xdr:colOff>502920</xdr:colOff>
      <xdr:row>17</xdr:row>
      <xdr:rowOff>0</xdr:rowOff>
    </xdr:to>
    <xdr:graphicFrame macro="">
      <xdr:nvGraphicFramePr>
        <xdr:cNvPr id="2" name="Chart 1">
          <a:extLst>
            <a:ext uri="{FF2B5EF4-FFF2-40B4-BE49-F238E27FC236}">
              <a16:creationId xmlns:a16="http://schemas.microsoft.com/office/drawing/2014/main" id="{8679E7CB-4CD6-DBE9-55E6-254660A1C3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320040</xdr:colOff>
      <xdr:row>1</xdr:row>
      <xdr:rowOff>137160</xdr:rowOff>
    </xdr:from>
    <xdr:to>
      <xdr:col>13</xdr:col>
      <xdr:colOff>160020</xdr:colOff>
      <xdr:row>25</xdr:row>
      <xdr:rowOff>60960</xdr:rowOff>
    </xdr:to>
    <xdr:graphicFrame macro="">
      <xdr:nvGraphicFramePr>
        <xdr:cNvPr id="2" name="top 10 venues">
          <a:extLst>
            <a:ext uri="{FF2B5EF4-FFF2-40B4-BE49-F238E27FC236}">
              <a16:creationId xmlns:a16="http://schemas.microsoft.com/office/drawing/2014/main" id="{DF0CC005-DB26-664D-AFFA-B05FC07DD9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22860</xdr:colOff>
      <xdr:row>2</xdr:row>
      <xdr:rowOff>0</xdr:rowOff>
    </xdr:from>
    <xdr:to>
      <xdr:col>17</xdr:col>
      <xdr:colOff>22860</xdr:colOff>
      <xdr:row>20</xdr:row>
      <xdr:rowOff>59055</xdr:rowOff>
    </xdr:to>
    <mc:AlternateContent xmlns:mc="http://schemas.openxmlformats.org/markup-compatibility/2006" xmlns:a14="http://schemas.microsoft.com/office/drawing/2010/main">
      <mc:Choice Requires="a14">
        <xdr:graphicFrame macro="">
          <xdr:nvGraphicFramePr>
            <xdr:cNvPr id="3" name="Season">
              <a:extLst>
                <a:ext uri="{FF2B5EF4-FFF2-40B4-BE49-F238E27FC236}">
                  <a16:creationId xmlns:a16="http://schemas.microsoft.com/office/drawing/2014/main" id="{EF047D20-D070-40FD-5B2D-A3D9F54C9699}"/>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12352020" y="335280"/>
              <a:ext cx="1828800" cy="3076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419100</xdr:colOff>
      <xdr:row>1</xdr:row>
      <xdr:rowOff>30480</xdr:rowOff>
    </xdr:from>
    <xdr:to>
      <xdr:col>11</xdr:col>
      <xdr:colOff>419100</xdr:colOff>
      <xdr:row>19</xdr:row>
      <xdr:rowOff>137160</xdr:rowOff>
    </xdr:to>
    <mc:AlternateContent xmlns:mc="http://schemas.openxmlformats.org/markup-compatibility/2006" xmlns:a14="http://schemas.microsoft.com/office/drawing/2010/main">
      <mc:Choice Requires="a14">
        <xdr:graphicFrame macro="">
          <xdr:nvGraphicFramePr>
            <xdr:cNvPr id="2" name="Season 1">
              <a:extLst>
                <a:ext uri="{FF2B5EF4-FFF2-40B4-BE49-F238E27FC236}">
                  <a16:creationId xmlns:a16="http://schemas.microsoft.com/office/drawing/2014/main" id="{F4D9D73F-D126-390C-FF90-7B0783313585}"/>
                </a:ext>
              </a:extLst>
            </xdr:cNvPr>
            <xdr:cNvGraphicFramePr/>
          </xdr:nvGraphicFramePr>
          <xdr:xfrm>
            <a:off x="0" y="0"/>
            <a:ext cx="0" cy="0"/>
          </xdr:xfrm>
          <a:graphic>
            <a:graphicData uri="http://schemas.microsoft.com/office/drawing/2010/slicer">
              <sle:slicer xmlns:sle="http://schemas.microsoft.com/office/drawing/2010/slicer" name="Season 1"/>
            </a:graphicData>
          </a:graphic>
        </xdr:graphicFrame>
      </mc:Choice>
      <mc:Fallback xmlns="">
        <xdr:sp macro="" textlink="">
          <xdr:nvSpPr>
            <xdr:cNvPr id="0" name=""/>
            <xdr:cNvSpPr>
              <a:spLocks noTextEdit="1"/>
            </xdr:cNvSpPr>
          </xdr:nvSpPr>
          <xdr:spPr>
            <a:xfrm>
              <a:off x="5913120" y="198120"/>
              <a:ext cx="1828800" cy="3124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15</xdr:row>
      <xdr:rowOff>76200</xdr:rowOff>
    </xdr:from>
    <xdr:to>
      <xdr:col>8</xdr:col>
      <xdr:colOff>297180</xdr:colOff>
      <xdr:row>31</xdr:row>
      <xdr:rowOff>137160</xdr:rowOff>
    </xdr:to>
    <xdr:graphicFrame macro="">
      <xdr:nvGraphicFramePr>
        <xdr:cNvPr id="3" name="Chart 2">
          <a:extLst>
            <a:ext uri="{FF2B5EF4-FFF2-40B4-BE49-F238E27FC236}">
              <a16:creationId xmlns:a16="http://schemas.microsoft.com/office/drawing/2014/main" id="{A9950329-A6C9-B1AF-49BC-6FC62118E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487680</xdr:colOff>
      <xdr:row>12</xdr:row>
      <xdr:rowOff>38100</xdr:rowOff>
    </xdr:from>
    <xdr:to>
      <xdr:col>4</xdr:col>
      <xdr:colOff>563880</xdr:colOff>
      <xdr:row>31</xdr:row>
      <xdr:rowOff>83820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64A9A27-8565-C567-8B39-E9E84B3CCCA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7680" y="2049780"/>
              <a:ext cx="5036820" cy="32308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434340</xdr:colOff>
      <xdr:row>1</xdr:row>
      <xdr:rowOff>114300</xdr:rowOff>
    </xdr:from>
    <xdr:to>
      <xdr:col>11</xdr:col>
      <xdr:colOff>434340</xdr:colOff>
      <xdr:row>24</xdr:row>
      <xdr:rowOff>152400</xdr:rowOff>
    </xdr:to>
    <mc:AlternateContent xmlns:mc="http://schemas.openxmlformats.org/markup-compatibility/2006" xmlns:a14="http://schemas.microsoft.com/office/drawing/2010/main">
      <mc:Choice Requires="a14">
        <xdr:graphicFrame macro="">
          <xdr:nvGraphicFramePr>
            <xdr:cNvPr id="2" name="Season 2">
              <a:extLst>
                <a:ext uri="{FF2B5EF4-FFF2-40B4-BE49-F238E27FC236}">
                  <a16:creationId xmlns:a16="http://schemas.microsoft.com/office/drawing/2014/main" id="{43EAC46F-3083-E204-0B38-47BC49501785}"/>
                </a:ext>
              </a:extLst>
            </xdr:cNvPr>
            <xdr:cNvGraphicFramePr/>
          </xdr:nvGraphicFramePr>
          <xdr:xfrm>
            <a:off x="0" y="0"/>
            <a:ext cx="0" cy="0"/>
          </xdr:xfrm>
          <a:graphic>
            <a:graphicData uri="http://schemas.microsoft.com/office/drawing/2010/slicer">
              <sle:slicer xmlns:sle="http://schemas.microsoft.com/office/drawing/2010/slicer" name="Season 2"/>
            </a:graphicData>
          </a:graphic>
        </xdr:graphicFrame>
      </mc:Choice>
      <mc:Fallback xmlns="">
        <xdr:sp macro="" textlink="">
          <xdr:nvSpPr>
            <xdr:cNvPr id="0" name=""/>
            <xdr:cNvSpPr>
              <a:spLocks noTextEdit="1"/>
            </xdr:cNvSpPr>
          </xdr:nvSpPr>
          <xdr:spPr>
            <a:xfrm>
              <a:off x="9113520" y="281940"/>
              <a:ext cx="1828800" cy="3992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nth" refreshedDate="46136.373150462961" createdVersion="8" refreshedVersion="8" minRefreshableVersion="3" recordCount="1169" xr:uid="{414E29A8-103B-481C-A9AA-BB423B8C7CB4}">
  <cacheSource type="worksheet">
    <worksheetSource name="IPL"/>
  </cacheSource>
  <cacheFields count="16">
    <cacheField name="match_number" numFmtId="0">
      <sharedItems containsSemiMixedTypes="0" containsString="0" containsNumber="1" containsInteger="1" minValue="335982" maxValue="1485779"/>
    </cacheField>
    <cacheField name="team1" numFmtId="0">
      <sharedItems/>
    </cacheField>
    <cacheField name="team2" numFmtId="0">
      <sharedItems/>
    </cacheField>
    <cacheField name="Season" numFmtId="0">
      <sharedItems count="18">
        <s v="IPL-2025"/>
        <s v="IPL-2024"/>
        <s v="IPL-2023"/>
        <s v="IPL-2022"/>
        <s v="IPL-2021"/>
        <s v="IPL-2020"/>
        <s v="IPL-2019"/>
        <s v="IPL-2018"/>
        <s v="IPL-2017"/>
        <s v="IPL-2016"/>
        <s v="IPL-2015"/>
        <s v="IPL-2014"/>
        <s v="IPL-2013"/>
        <s v="IPL-2012"/>
        <s v="IPL-2011"/>
        <s v="IPL-2010"/>
        <s v="IPL-2009"/>
        <s v="IPL-2008"/>
      </sharedItems>
    </cacheField>
    <cacheField name="Year" numFmtId="0">
      <sharedItems containsSemiMixedTypes="0" containsString="0" containsNumber="1" containsInteger="1" minValue="2008" maxValue="2025"/>
    </cacheField>
    <cacheField name="match_date" numFmtId="14">
      <sharedItems containsSemiMixedTypes="0" containsNonDate="0" containsDate="1" containsString="0" minDate="2008-04-18T00:00:00" maxDate="2025-06-04T00:00:00"/>
    </cacheField>
    <cacheField name="toss_winner" numFmtId="0">
      <sharedItems count="19">
        <s v="Punjab Kings"/>
        <s v="Mumbai Indians"/>
        <s v="Royal Challengers Bengaluru"/>
        <s v="Chennai Super Kings"/>
        <s v="Sunrisers Hyderabad"/>
        <s v="Delhi Capitals"/>
        <s v="Gujarat Titans"/>
        <s v="Rajasthan Royals"/>
        <s v="Kolkata Knight Riders"/>
        <s v="Lucknow Super Giants"/>
        <s v="Royal Challengers Bangalore"/>
        <s v="Kings XI Punjab"/>
        <s v="Delhi Daredevils"/>
        <s v="Rising Pune Supergiant"/>
        <s v="Gujarat Lions"/>
        <s v="Rising Pune Supergiants"/>
        <s v="Pune Warriors"/>
        <s v="Deccan Chargers"/>
        <s v="Kochi Tuskers Kerala"/>
      </sharedItems>
    </cacheField>
    <cacheField name="toss_decision" numFmtId="0">
      <sharedItems count="2">
        <s v="field"/>
        <s v="bat"/>
      </sharedItems>
    </cacheField>
    <cacheField name="result" numFmtId="0">
      <sharedItems/>
    </cacheField>
    <cacheField name="eliminator" numFmtId="0">
      <sharedItems/>
    </cacheField>
    <cacheField name="winner" numFmtId="0">
      <sharedItems count="20">
        <s v="Royal Challengers Bengaluru"/>
        <s v="Punjab Kings"/>
        <s v="Mumbai Indians"/>
        <s v="Chennai Super Kings"/>
        <s v="Sunrisers Hyderabad"/>
        <s v="Delhi Capitals"/>
        <s v="Lucknow Super Giants"/>
        <s v="Rajasthan Royals"/>
        <s v="Gujarat Titans"/>
        <s v="NA"/>
        <s v="Kolkata Knight Riders"/>
        <s v="Royal Challengers Bangalore"/>
        <s v="Kings XI Punjab"/>
        <s v="Delhi Daredevils"/>
        <s v="Rising Pune Supergiant"/>
        <s v="Gujarat Lions"/>
        <s v="Rising Pune Supergiants"/>
        <s v="Pune Warriors"/>
        <s v="Deccan Chargers"/>
        <s v="Kochi Tuskers Kerala"/>
      </sharedItems>
    </cacheField>
    <cacheField name="player_of_match" numFmtId="0">
      <sharedItems count="309">
        <s v="KH Pandya"/>
        <s v="SS Iyer"/>
        <s v="RG Sharma"/>
        <s v="Suyash Sharma"/>
        <s v="JM Sharma"/>
        <s v="JP Inglis"/>
        <s v="D Brevis"/>
        <s v="H Klaasen"/>
        <s v="Sameer Rizvi"/>
        <s v="Ishan Kishan"/>
        <s v="MR Marsh"/>
        <s v="SA Yadav"/>
        <s v="Akash Madhwal"/>
        <s v="Abhishek Sharma"/>
        <s v="B Sai Sudharsan"/>
        <s v="Harpreet Brar"/>
        <s v="N"/>
        <s v="Noor Ahmad"/>
        <s v="Shubman Gill"/>
        <s v="P Simran Singh"/>
        <s v="AD Russell"/>
        <s v="R Shepherd"/>
        <s v="M Prasidh Krishna"/>
        <s v="RD Rickelton"/>
        <s v="SP Narine"/>
        <s v="V Suryavanshi"/>
        <s v="WG Jacks"/>
        <s v="HV Patel"/>
        <s v="JR Hazlewood"/>
        <s v="TA Boult"/>
        <s v="Mukesh Kumar"/>
        <s v="V Kohli"/>
        <s v="Avesh Khan"/>
        <s v="JC Buttler"/>
        <s v="TH David"/>
        <s v="MA Starc"/>
        <s v="YS Chahal"/>
        <s v="MS Dhoni"/>
        <s v="KV Sharma"/>
        <s v="PD Salt"/>
        <s v="AK Markram"/>
        <s v="KL Rahul"/>
        <s v="N Pooran"/>
        <s v="Priyansh Arya"/>
        <s v="RM Patidar"/>
        <s v="Mohammed Siraj"/>
        <s v="JC Archer"/>
        <s v="DS Rathi"/>
        <s v="VG Arora"/>
        <s v="Ashwani Kumar"/>
        <s v="N Rana"/>
        <s v="SN Thakur"/>
        <s v="Q de Kock"/>
        <s v="Ashutosh Sharma"/>
        <s v="Shahbaz Ahmed"/>
        <s v="R Ashwin"/>
        <s v="F du Plessis"/>
        <s v="SM Curran"/>
        <s v="I Sharma"/>
        <s v="C Green"/>
        <s v="Simarjeet Singh"/>
        <s v="CV Varun"/>
        <s v="TM Head"/>
        <s v="Kuldeep Yadav"/>
        <s v="RA Jadeja"/>
        <s v="VR Iyer"/>
        <s v="B Kumar"/>
        <s v="MP Stoinis"/>
        <s v="RD Gaikwad"/>
        <s v="J Fraser-McGurk"/>
        <s v="SV Samson"/>
        <s v="JM Bairstow"/>
        <s v="RR Pant"/>
        <s v="Sandeep Sharma"/>
        <s v="R Sai Kishore"/>
        <s v="JJ Bumrah"/>
        <s v="M Pathirana"/>
        <s v="SO Hetmyer"/>
        <s v="Rashid Khan"/>
        <s v="Nithish Kumar Reddy"/>
        <s v="Yash Thakur"/>
        <s v="Shashank Singh"/>
        <s v="MP Yadav"/>
        <s v="MM Sharma"/>
        <s v="KK Ahmed"/>
        <s v="R Parag"/>
        <s v="S Dube"/>
        <s v="Mustafizur Rahman"/>
        <s v="DP Conway"/>
        <s v="D Padikkal"/>
        <s v="RR Rossouw"/>
        <s v="WD Parnell"/>
        <s v="RK Singh"/>
        <s v="PN Mankad"/>
        <s v="YBK Jaiswal"/>
        <s v="GD Phillips"/>
        <s v="Mohammed Shami"/>
        <s v="J Little"/>
        <s v="A Manohar"/>
        <s v="AR Patel"/>
        <s v="AM Rahane"/>
        <s v="GJ Maxwell"/>
        <s v="Sikandar Raza"/>
        <s v="HC Brook"/>
        <s v="S Dhawan"/>
        <s v="NT Ellis"/>
        <s v="MM Ali"/>
        <s v="MA Wood"/>
        <s v="Arshdeep Singh"/>
        <s v="HH Pandya"/>
        <s v="DA Miller"/>
        <s v="RA Tripathi"/>
        <s v="WP Saha"/>
        <s v="DR Sams"/>
        <s v="PWH de Silva"/>
        <s v="DA Warner"/>
        <s v="K Rabada"/>
        <s v="Mohsin Khan"/>
        <s v="R Tewatia"/>
        <s v="Umran Malik"/>
        <s v="M Jansen"/>
        <s v="Mukesh Choudhary"/>
        <s v="KD Karthik"/>
        <s v="MA Agarwal"/>
        <s v="KS Williamson"/>
        <s v="Anuj Rawat"/>
        <s v="PJ Cummins"/>
        <s v="LS Livingstone"/>
        <s v="LH Ferguson"/>
        <s v="UT Yadav"/>
        <s v="E Lewis"/>
        <s v="OF Smith"/>
        <s v="KS Bharat"/>
        <s v="Shivam Mavi"/>
        <s v="NM Coulter-Nile"/>
        <s v="KA Pollard"/>
        <s v="JJ Roy"/>
        <s v="JO Holder"/>
        <s v="DJ Bravo"/>
        <s v="A Nortje"/>
        <s v="Kartik Tyagi"/>
        <s v="PP Shaw"/>
        <s v="AB de Villiers"/>
        <s v="EJG Morgan"/>
        <s v="CH Morris"/>
        <s v="A Mishra"/>
        <s v="DL Chahar"/>
        <s v="JD Unadkat"/>
        <s v="RD Chahar"/>
        <s v="S Nadeem"/>
        <s v="BA Stokes"/>
        <s v="CH Gayle"/>
        <s v="CJ Jordan"/>
        <s v="MK Pandey"/>
        <s v="SR Watson"/>
        <s v="PK Garg"/>
        <s v="AT Rayudu"/>
        <s v="VR Aaron"/>
        <s v="PA Patel"/>
        <s v="SPD Smith"/>
        <s v="SL Malinga"/>
        <s v="KMA Paul"/>
        <s v="Imran Tahir"/>
        <s v="HF Gurney"/>
        <s v="Harbhajan Singh"/>
        <s v="AS Joseph"/>
        <s v="S Gopal"/>
        <s v="L Ngidi"/>
        <s v="CA Lynn"/>
        <s v="Mujeeb Ur Rahman"/>
        <s v="TG Southee"/>
        <s v="AS Rajpoot"/>
        <s v="B Stanlake"/>
        <s v="SW Billings"/>
        <s v="Washington Sundar"/>
        <s v="KK Nair"/>
        <s v="DR Smith"/>
        <s v="LMP Simmons"/>
        <s v="G Gambhir"/>
        <s v="AJ Tye"/>
        <s v="RV Uthappa"/>
        <s v="HM Amla"/>
        <s v="MJ McClenaghan"/>
        <s v="SK Raina"/>
        <s v="CJ Anderson"/>
        <s v="KM Jadhav"/>
        <s v="Yuvraj Singh"/>
        <s v="BCJ Cutting"/>
        <s v="MC Henriques"/>
        <s v="YK Pathan"/>
        <s v="AB Dinda"/>
        <s v="A Zampa"/>
        <s v="A Nehra"/>
        <s v="P Kumar"/>
        <s v="CR Brathwaite"/>
        <s v="M Vohra"/>
        <s v="AJ Finch"/>
        <s v="P Negi"/>
        <s v="Z Khan"/>
        <s v="PP Chawla"/>
        <s v="Mandeep Singh"/>
        <s v="BB McCullum"/>
        <s v="SE Marsh"/>
        <s v="JP Duminy"/>
        <s v="GJ Bailey"/>
        <s v="DJ Hooda"/>
        <s v="JP Faulkner"/>
        <s v="M Morkel"/>
        <s v="V Sehwag"/>
        <s v="MEK Hussey"/>
        <s v="DW Steyn"/>
        <s v="PV Tambe"/>
        <s v="M Vijay"/>
        <s v="JH Kallis"/>
        <s v="BJ Hodge"/>
        <s v="LJ Wright"/>
        <s v="Azhar Mahmood"/>
        <s v="AP Tare"/>
        <s v="AC Gilchrist"/>
        <s v="MG Johnson"/>
        <s v="KK Cooper"/>
        <s v="SR Tendulkar"/>
        <s v="DJG Sammy"/>
        <s v="Harmeet Singh"/>
        <s v="R Vinay Kumar"/>
        <s v="GH Vihari"/>
        <s v="MS Gony"/>
        <s v="SK Trivedi"/>
        <s v="R Dravid"/>
        <s v="MS Bisla"/>
        <s v="Shakib Al Hasan"/>
        <s v="DJ Hussey"/>
        <s v="A Chandila"/>
        <s v="BW Hilfenhaus"/>
        <s v="KC Sangakkara"/>
        <s v="CL White"/>
        <s v="B Lee"/>
        <s v="SC Ganguly"/>
        <s v="KP Pietersen"/>
        <s v="KMDN Kulasekara"/>
        <s v="JD Ryder"/>
        <s v="AD Mascarenhas"/>
        <s v="L Balaji"/>
        <s v="MN Samuels"/>
        <s v="IK Pathan"/>
        <s v="RE Levi"/>
        <s v="MM Patel"/>
        <s v="JEC Franklin"/>
        <s v="S Aravind"/>
        <s v="BA Bhatt"/>
        <s v="R Sharma"/>
        <s v="Iqbal Abdulla"/>
        <s v="P Parameswaran"/>
        <s v="JA Morkel"/>
        <s v="LRPL Taylor"/>
        <s v="J Botha"/>
        <s v="MK Tiwary"/>
        <s v="DE Bollinger"/>
        <s v="SK Warne"/>
        <s v="DPMD Jayawardene"/>
        <s v="S Sohal"/>
        <s v="PC Valthaty"/>
        <s v="MD Mishra"/>
        <s v="SB Wagh"/>
        <s v="S Anirudha"/>
        <s v="A Kumble"/>
        <s v="M Kartik"/>
        <s v="A Symonds"/>
        <s v="R McLaren"/>
        <s v="RJ Harris"/>
        <s v="TL Suman"/>
        <s v="MJ Lumb"/>
        <s v="PD Collingwood"/>
        <s v="NV Ojha"/>
        <s v="AC Voges"/>
        <s v="J Theron"/>
        <s v="AA Jhunjhunwala"/>
        <s v="ML Hayden"/>
        <s v="WPUJC Vaas"/>
        <s v="AD Mathews"/>
        <s v="LR Shukla"/>
        <s v="M Muralitharan"/>
        <s v="R Bhatia"/>
        <s v="S Badrinath"/>
        <s v="A Singh"/>
        <s v="GC Smith"/>
        <s v="SB Jakati"/>
        <s v="DP Nannes"/>
        <s v="MV Boucher"/>
        <s v="HH Gibbs"/>
        <s v="TM Dilshan"/>
        <s v="PP Ojha"/>
        <s v="RS Bopara"/>
        <s v="DL Vettori"/>
        <s v="RP Singh"/>
        <s v="M Ntini"/>
        <s v="CRD Fernando"/>
        <s v="Sohail Tanvir"/>
        <s v="Umar Gul"/>
        <s v="SP Goswami"/>
        <s v="SM Pollock"/>
        <s v="ST Jayasuriya"/>
        <s v="Shoaib Akhtar"/>
        <s v="S Sreesanth"/>
        <s v="SA Asnodkar"/>
        <s v="GD McGrath"/>
        <s v="SM Katich"/>
        <s v="JDP Oram"/>
        <s v="MF Maharoof"/>
      </sharedItems>
    </cacheField>
    <cacheField name="venue" numFmtId="0">
      <sharedItems count="59">
        <s v="Narendra Modi Stadium, Ahmedabad"/>
        <s v="Maharaja Yadavindra Singh International Cricket Stadium, New Chandigarh"/>
        <s v="Maharaja Yadavindra Singh International Cricket Stadium, Mullanpur"/>
        <s v="Bharat Ratna Shri Atal Bihari Vajpayee Ekana Cricket Stadium, Lucknow"/>
        <s v="Sawai Mansingh Stadium, Jaipur"/>
        <s v="Arun Jaitley Stadium, Delhi"/>
        <s v="Wankhede Stadium, Mumbai"/>
        <s v="Himachal Pradesh Cricket Association Stadium, Dharamsala"/>
        <s v="Eden Gardens, Kolkata"/>
        <s v="Rajiv Gandhi International Stadium, Uppal, Hyderabad"/>
        <s v="M Chinnaswamy Stadium, Bengaluru"/>
        <s v="MA Chidambaram Stadium, Chepauk, Chennai"/>
        <s v="Dr. Y.S. Rajasekhara Reddy ACA-VDCA Cricket Stadium, Visakhapatnam"/>
        <s v="Barsapara Cricket Stadium, Guwahati"/>
        <s v="Punjab Cricket Association IS Bindra Stadium, Mohali, Chandigarh"/>
        <s v="Brabourne Stadium, Mumbai"/>
        <s v="Dr DY Patil Sports Academy, Mumbai"/>
        <s v="Maharashtra Cricket Association Stadium, Pune"/>
        <s v="Dubai International Cricket Stadium"/>
        <s v="Sharjah Cricket Stadium"/>
        <s v="Zayed Cricket Stadium, Abu Dhabi"/>
        <s v="Sheikh Zayed Stadium"/>
        <s v="Rajiv Gandhi International Stadium"/>
        <s v="Dr. Y.S. Rajasekhara Reddy ACA-VDCA Cricket Stadium"/>
        <s v="MA Chidambaram Stadium"/>
        <s v="Punjab Cricket Association IS Bindra Stadium"/>
        <s v="Wankhede Stadium"/>
        <s v="M.Chinnaswamy Stadium"/>
        <s v="Arun Jaitley Stadium"/>
        <s v="Eden Gardens"/>
        <s v="Sawai Mansingh Stadium"/>
        <s v="Maharashtra Cricket Association Stadium"/>
        <s v="Holkar Cricket Stadium"/>
        <s v="Rajiv Gandhi International Stadium, Uppal"/>
        <s v="M Chinnaswamy Stadium"/>
        <s v="Feroz Shah Kotla"/>
        <s v="Green Park"/>
        <s v="Punjab Cricket Association IS Bindra Stadium, Mohali"/>
        <s v="Saurashtra Cricket Association Stadium"/>
        <s v="Shaheed Veer Narayan Singh International Stadium"/>
        <s v="JSCA International Stadium Complex"/>
        <s v="Punjab Cricket Association Stadium, Mohali"/>
        <s v="Brabourne Stadium"/>
        <s v="MA Chidambaram Stadium, Chepauk"/>
        <s v="Sardar Patel Stadium, Motera"/>
        <s v="Barabati Stadium"/>
        <s v="Subrata Roy Sahara Stadium"/>
        <s v="Himachal Pradesh Cricket Association Stadium"/>
        <s v="Dr DY Patil Sports Academy"/>
        <s v="Nehru Stadium"/>
        <s v="Vidarbha Cricket Association Stadium, Jamtha"/>
        <s v="New Wanderers Stadium"/>
        <s v="SuperSport Park"/>
        <s v="Kingsmead"/>
        <s v="OUTsurance Oval"/>
        <s v="St George's Park"/>
        <s v="De Beers Diamond Oval"/>
        <s v="Buffalo Park"/>
        <s v="Newlands"/>
      </sharedItems>
    </cacheField>
    <cacheField name="city" numFmtId="0">
      <sharedItems/>
    </cacheField>
    <cacheField name="team1_players" numFmtId="0">
      <sharedItems/>
    </cacheField>
    <cacheField name="team2_players" numFmtId="0">
      <sharedItems/>
    </cacheField>
  </cacheFields>
  <extLst>
    <ext xmlns:x14="http://schemas.microsoft.com/office/spreadsheetml/2009/9/main" uri="{725AE2AE-9491-48be-B2B4-4EB974FC3084}">
      <x14:pivotCacheDefinition pivotCacheId="36264658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nth" refreshedDate="46136.478613657404" createdVersion="8" refreshedVersion="8" minRefreshableVersion="3" recordCount="18" xr:uid="{B0A29DC3-B17B-476D-BA39-F8525CA59AA6}">
  <cacheSource type="worksheet">
    <worksheetSource name="winners"/>
  </cacheSource>
  <cacheFields count="4">
    <cacheField name="Year" numFmtId="0">
      <sharedItems containsSemiMixedTypes="0" containsString="0" containsNumber="1" containsInteger="1" minValue="2008" maxValue="2025"/>
    </cacheField>
    <cacheField name="Winner" numFmtId="0">
      <sharedItems count="8">
        <s v="Rajasthan Royals"/>
        <s v="Deccan Chargers"/>
        <s v="Chennai Super Kings"/>
        <s v="Kolkata Knight Riders"/>
        <s v="Mumbai Indians"/>
        <s v="Sunrisers Hyderabad"/>
        <s v="Gujarat Titans"/>
        <s v="Royal Challengers Bangalore"/>
      </sharedItems>
    </cacheField>
    <cacheField name="Runner-up" numFmtId="0">
      <sharedItems/>
    </cacheField>
    <cacheField name="Player of the Seas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9">
  <r>
    <n v="1473511"/>
    <s v="Royal Challengers Bengaluru"/>
    <s v="Punjab Kings"/>
    <x v="0"/>
    <n v="2025"/>
    <d v="2025-06-03T00:00:00"/>
    <x v="0"/>
    <x v="0"/>
    <s v="Win"/>
    <s v="NA"/>
    <x v="0"/>
    <x v="0"/>
    <x v="0"/>
    <s v="Ahmedabad"/>
    <s v="Suyash Sharma, PD Salt, V Kohli, MA Agarwal, RM Patidar, LS Livingstone, JM Sharma, R Shepherd, KH Pandya, B Kumar, Yash Dayal, JR Hazlewood"/>
    <s v="YS Chahal, Priyansh Arya, P Simran Singh, JP Inglis, SS Iyer, N Wadhera, Shashank Singh, MP Stoinis, Azmatullah Omarzai, KA Jamieson, Vijaykumar Vyshak, Arshdeep Singh"/>
  </r>
  <r>
    <n v="1473510"/>
    <s v="Mumbai Indians"/>
    <s v="Punjab Kings"/>
    <x v="0"/>
    <n v="2025"/>
    <d v="2025-06-01T00:00:00"/>
    <x v="0"/>
    <x v="0"/>
    <s v="Win"/>
    <s v="NA"/>
    <x v="1"/>
    <x v="1"/>
    <x v="0"/>
    <s v="Ahmedabad"/>
    <s v="Ashwani Kumar, RG Sharma, JM Bairstow, Tilak Varma, SA Yadav, HH Pandya, Naman Dhir, RA Bawa, MJ Santner, TA Boult, JJ Bumrah, RJW Topley"/>
    <s v="YS Chahal, Priyansh Arya, P Simran Singh, JP Inglis, SS Iyer, N Wadhera, Shashank Singh, MP Stoinis, Azmatullah Omarzai, Vijaykumar Vyshak, KA Jamieson, Arshdeep Singh"/>
  </r>
  <r>
    <n v="1473509"/>
    <s v="Mumbai Indians"/>
    <s v="Gujarat Titans"/>
    <x v="0"/>
    <n v="2025"/>
    <d v="2025-05-30T00:00:00"/>
    <x v="1"/>
    <x v="1"/>
    <s v="Win"/>
    <s v="NA"/>
    <x v="2"/>
    <x v="2"/>
    <x v="1"/>
    <s v="New Chandigarh"/>
    <s v="Ashwani Kumar, RG Sharma, JM Bairstow, SA Yadav, Tilak Varma, HH Pandya, Naman Dhir, MJ Santner, RA Bawa, TA Boult, JJ Bumrah, RJ Gleeson"/>
    <s v="Mohammed Siraj, B Sai Sudharsan, Shubman Gill, BKG Mendis, Washington Sundar, SE Rutherford, R Tewatia, M Shahrukh Khan, Rashid Khan, R Sai Kishore, G Coetzee, M Prasidh Krishna"/>
  </r>
  <r>
    <n v="1473508"/>
    <s v="Punjab Kings"/>
    <s v="Royal Challengers Bengaluru"/>
    <x v="0"/>
    <n v="2025"/>
    <d v="2025-05-29T00:00:00"/>
    <x v="2"/>
    <x v="0"/>
    <s v="Win"/>
    <s v="NA"/>
    <x v="0"/>
    <x v="3"/>
    <x v="2"/>
    <s v="New Chandigarh"/>
    <s v="Priyansh Arya, P Simran Singh, JP Inglis, SS Iyer, N Wadhera, MP Stoinis, Shashank Singh, Musheer Khan, Azmatullah Omarzai, Harpreet Brar, KA Jamieson, Arshdeep Singh"/>
    <s v="Suyash Sharma, PD Salt, V Kohli, MA Agarwal, RM Patidar, LS Livingstone, JM Sharma, R Shepherd, KH Pandya, B Kumar, Yash Dayal, JR Hazlewood"/>
  </r>
  <r>
    <n v="1473507"/>
    <s v="Lucknow Super Giants"/>
    <s v="Royal Challengers Bengaluru"/>
    <x v="0"/>
    <n v="2025"/>
    <d v="2025-05-27T00:00:00"/>
    <x v="2"/>
    <x v="0"/>
    <s v="Win"/>
    <s v="NA"/>
    <x v="0"/>
    <x v="4"/>
    <x v="3"/>
    <s v="Lucknow"/>
    <s v="Akash Singh, MR Marsh, MP Breetzke, RR Pant, N Pooran, Abdul Samad, A Badoni, Himmat Singh, Shahbaz Ahmed, DS Rathi, Avesh Khan, W O'Rourke"/>
    <s v="Suyash Sharma, PD Salt, V Kohli, RM Patidar, LS Livingstone, MA Agarwal, JM Sharma, R Shepherd, KH Pandya, B Kumar, Yash Dayal, N Thushara"/>
  </r>
  <r>
    <n v="1473506"/>
    <s v="Mumbai Indians"/>
    <s v="Punjab Kings"/>
    <x v="0"/>
    <n v="2025"/>
    <d v="2025-05-26T00:00:00"/>
    <x v="0"/>
    <x v="0"/>
    <s v="Win"/>
    <s v="NA"/>
    <x v="1"/>
    <x v="5"/>
    <x v="4"/>
    <s v="Jaipur"/>
    <s v="Ashwani Kumar, RD Rickelton, RG Sharma, SA Yadav, Tilak Varma, WG Jacks, HH Pandya, Naman Dhir, MJ Santner, DL Chahar, TA Boult, JJ Bumrah"/>
    <s v="Vijaykumar Vyshak, Priyansh Arya, P Simran Singh, JP Inglis, SS Iyer, N Wadhera, Shashank Singh, MP Stoinis, M Jansen, Harpreet Brar, KA Jamieson, Arshdeep Singh"/>
  </r>
  <r>
    <n v="1473504"/>
    <s v="Chennai Super Kings"/>
    <s v="Gujarat Titans"/>
    <x v="0"/>
    <n v="2025"/>
    <d v="2025-05-25T00:00:00"/>
    <x v="3"/>
    <x v="1"/>
    <s v="Win"/>
    <s v="NA"/>
    <x v="3"/>
    <x v="6"/>
    <x v="0"/>
    <s v="Ahmedabad"/>
    <s v="M Pathirana, A Mhatre, DP Conway, Urvil Patel, S Dube, D Brevis, RA Jadeja, MS Dhoni, DJ Hooda, Noor Ahmad, A Kamboj, KK Ahmed"/>
    <s v="M Prasidh Krishna, B Sai Sudharsan, Shubman Gill, JC Buttler, SE Rutherford, M Shahrukh Khan, R Tewatia, Rashid Khan, G Coetzee, Arshad Khan, R Sai Kishore, Mohammed Siraj"/>
  </r>
  <r>
    <n v="1473505"/>
    <s v="Sunrisers Hyderabad"/>
    <s v="Kolkata Knight Riders"/>
    <x v="0"/>
    <n v="2025"/>
    <d v="2025-05-25T00:00:00"/>
    <x v="4"/>
    <x v="1"/>
    <s v="Win"/>
    <s v="NA"/>
    <x v="4"/>
    <x v="7"/>
    <x v="5"/>
    <s v="Delhi"/>
    <s v="Harsh Dubey, Abhishek Sharma, TM Head, H Klaasen, Ishan Kishan, Aniket Verma, Nithish Kumar Reddy, A Manohar, PJ Cummins, HV Patel, JD Unadkat, E Malinga"/>
    <s v="CV Varun, Q de Kock, SP Narine, AM Rahane, A Raghuvanshi, RK Singh, AD Russell, MK Pandey, Ramandeep Singh, Harshit Rana, VG Arora, A Nortje"/>
  </r>
  <r>
    <n v="1485779"/>
    <s v="Punjab Kings"/>
    <s v="Delhi Capitals"/>
    <x v="0"/>
    <n v="2025"/>
    <d v="2025-05-24T00:00:00"/>
    <x v="5"/>
    <x v="0"/>
    <s v="Win"/>
    <s v="NA"/>
    <x v="5"/>
    <x v="8"/>
    <x v="4"/>
    <s v="Jaipur"/>
    <s v="P Dubey, Priyansh Arya, P Simran Singh, JP Inglis, SS Iyer, N Wadhera, Shashank Singh, MP Stoinis, Azmatullah Omarzai, M Jansen, Harpreet Brar, Arshdeep Singh"/>
    <s v="Mukesh Kumar, KL Rahul, F du Plessis, KK Nair, Sediqullah Atal, Sameer Rizvi, T Stubbs, Ashutosh Sharma, V Nigam, Kuldeep Yadav, MM Sharma, Mustafizur Rahman"/>
  </r>
  <r>
    <n v="1473503"/>
    <s v="Sunrisers Hyderabad"/>
    <s v="Royal Challengers Bengaluru"/>
    <x v="0"/>
    <n v="2025"/>
    <d v="2025-05-23T00:00:00"/>
    <x v="2"/>
    <x v="0"/>
    <s v="Win"/>
    <s v="NA"/>
    <x v="4"/>
    <x v="9"/>
    <x v="3"/>
    <s v="Lucknow"/>
    <s v="Abhishek Sharma, TM Head, Ishan Kishan, H Klaasen, Aniket Verma, Nithish Kumar Reddy, A Manohar, PJ Cummins, HV Patel, JD Unadkat, E Malinga, Harsh Dubey"/>
    <s v="PD Salt, V Kohli, MA Agarwal, RM Patidar, JM Sharma, R Shepherd, KH Pandya, TH David, B Kumar, Yash Dayal, L Ngidi, Suyash Sharma"/>
  </r>
  <r>
    <n v="1473502"/>
    <s v="Lucknow Super Giants"/>
    <s v="Gujarat Titans"/>
    <x v="0"/>
    <n v="2025"/>
    <d v="2025-05-22T00:00:00"/>
    <x v="6"/>
    <x v="0"/>
    <s v="Win"/>
    <s v="NA"/>
    <x v="6"/>
    <x v="10"/>
    <x v="0"/>
    <s v="Ahmedabad"/>
    <s v="AK Markram, MR Marsh, N Pooran, RR Pant, A Badoni, Abdul Samad, Himmat Singh, Shahbaz Ahmed, Avesh Khan, Akash Deep, W O'Rourke, Akash Singh"/>
    <s v="B Sai Sudharsan, Shubman Gill, JC Buttler, SE Rutherford, M Shahrukh Khan, R Tewatia, Arshad Khan, Rashid Khan, K Rabada, R Sai Kishore, Mohammed Siraj, M Prasidh Krishna"/>
  </r>
  <r>
    <n v="1473501"/>
    <s v="Mumbai Indians"/>
    <s v="Delhi Capitals"/>
    <x v="0"/>
    <n v="2025"/>
    <d v="2025-05-21T00:00:00"/>
    <x v="5"/>
    <x v="0"/>
    <s v="Win"/>
    <s v="NA"/>
    <x v="2"/>
    <x v="11"/>
    <x v="6"/>
    <s v="Mumbai"/>
    <s v="RD Rickelton, RG Sharma, WG Jacks, SA Yadav, Tilak Varma, HH Pandya, Naman Dhir, MJ Santner, DL Chahar, TA Boult, JJ Bumrah, KV Sharma"/>
    <s v="KL Rahul, F du Plessis, Abishek Porel, Sameer Rizvi, V Nigam, T Stubbs, Ashutosh Sharma, M Tiwari, PVD Chameera, Kuldeep Yadav, Mustafizur Rahman, Mukesh Kumar"/>
  </r>
  <r>
    <n v="1473500"/>
    <s v="Chennai Super Kings"/>
    <s v="Rajasthan Royals"/>
    <x v="0"/>
    <n v="2025"/>
    <d v="2025-05-20T00:00:00"/>
    <x v="7"/>
    <x v="0"/>
    <s v="Win"/>
    <s v="NA"/>
    <x v="7"/>
    <x v="12"/>
    <x v="5"/>
    <s v="Delhi"/>
    <s v="M Pathirana, A Mhatre, DP Conway, Urvil Patel, R Ashwin, RA Jadeja, D Brevis, S Dube, MS Dhoni, A Kamboj, Noor Ahmad, KK Ahmed"/>
    <s v="YBK Jaiswal, V Suryavanshi, SV Samson, R Parag, Dhruv Jurel, SO Hetmyer, PWH de Silva, KT Maphaka, Yudhvir Singh, TU Deshpande, Akash Madhwal"/>
  </r>
  <r>
    <n v="1473499"/>
    <s v="Lucknow Super Giants"/>
    <s v="Sunrisers Hyderabad"/>
    <x v="0"/>
    <n v="2025"/>
    <d v="2025-05-19T00:00:00"/>
    <x v="4"/>
    <x v="0"/>
    <s v="Win"/>
    <s v="NA"/>
    <x v="4"/>
    <x v="13"/>
    <x v="3"/>
    <s v="Lucknow"/>
    <s v="MR Marsh, AK Markram, RR Pant, N Pooran, A Badoni, Abdul Samad, SN Thakur, Ravi Bishnoi, Akash Deep, Avesh Khan, DS Rathi, W O'Rourke"/>
    <s v="Zeeshan Ansari, Atharva Taide, Abhishek Sharma, Ishan Kishan, H Klaasen, PHKD Mendis, Aniket Verma, Nithish Kumar Reddy, PJ Cummins, HV Patel, Harsh Dubey, E Malinga"/>
  </r>
  <r>
    <n v="1473498"/>
    <s v="Delhi Capitals"/>
    <s v="Gujarat Titans"/>
    <x v="0"/>
    <n v="2025"/>
    <d v="2025-05-18T00:00:00"/>
    <x v="6"/>
    <x v="0"/>
    <s v="Win"/>
    <s v="NA"/>
    <x v="8"/>
    <x v="14"/>
    <x v="5"/>
    <s v="Delhi"/>
    <s v="PVD Chameera, KL Rahul, F du Plessis, Abishek Porel, AR Patel, T Stubbs, Sameer Rizvi, Ashutosh Sharma, V Nigam, T Natarajan, Kuldeep Yadav, Mustafizur Rahman"/>
    <s v="M Prasidh Krishna, B Sai Sudharsan, Shubman Gill, SE Rutherford, JC Buttler, M Shahrukh Khan, R Tewatia, Rashid Khan, K Rabada, Arshad Khan, R Sai Kishore, Mohammed Siraj"/>
  </r>
  <r>
    <n v="1473497"/>
    <s v="Punjab Kings"/>
    <s v="Rajasthan Royals"/>
    <x v="0"/>
    <n v="2025"/>
    <d v="2025-05-18T00:00:00"/>
    <x v="0"/>
    <x v="1"/>
    <s v="Win"/>
    <s v="NA"/>
    <x v="1"/>
    <x v="15"/>
    <x v="4"/>
    <s v="Jaipur"/>
    <s v="Harpreet Brar, Priyansh Arya, P Simran Singh, MJ Owen, N Wadhera, SS Iyer, Shashank Singh, Azmatullah Omarzai, M Jansen, XC Bartlett, Arshdeep Singh, YS Chahal"/>
    <s v="Fazalhaq Farooqi, YBK Jaiswal, V Suryavanshi, SV Samson, R Parag, Dhruv Jurel, SO Hetmyer, SB Dubey, PWH de Silva, KT Maphaka, TU Deshpande, Akash Madhwal"/>
  </r>
  <r>
    <n v="1473495"/>
    <s v="Punjab Kings"/>
    <s v="Delhi Capitals"/>
    <x v="0"/>
    <n v="2025"/>
    <d v="2025-05-08T00:00:00"/>
    <x v="0"/>
    <x v="1"/>
    <s v="no result"/>
    <s v="NA"/>
    <x v="9"/>
    <x v="16"/>
    <x v="7"/>
    <s v="Dharamsala"/>
    <s v="Priyansh Arya, P Simran Singh, JP Inglis, SS Iyer, N Wadhera, Shashank Singh, MP Stoinis, Azmatullah Omarzai, M Jansen, YS Chahal, Arshdeep Singh"/>
    <s v="F du Plessis, Sameer Rizvi, Abishek Porel, KL Rahul, AR Patel, T Stubbs, M Tiwari, MA Starc, PVD Chameera, Kuldeep Yadav, T Natarajan"/>
  </r>
  <r>
    <n v="1473494"/>
    <s v="Kolkata Knight Riders"/>
    <s v="Chennai Super Kings"/>
    <x v="0"/>
    <n v="2025"/>
    <d v="2025-05-07T00:00:00"/>
    <x v="8"/>
    <x v="1"/>
    <s v="Win"/>
    <s v="NA"/>
    <x v="3"/>
    <x v="17"/>
    <x v="8"/>
    <s v="Kolkata"/>
    <s v="Harshit Rana, Rahmanullah Gurbaz, SP Narine, AM Rahane, A Raghuvanshi, MK Pandey, AD Russell, RK Singh, Ramandeep Singh, MM Ali, VG Arora, CV Varun"/>
    <s v="M Pathirana, A Mhatre, DP Conway, Urvil Patel, R Ashwin, RA Jadeja, D Brevis, S Dube, MS Dhoni, Noor Ahmad, A Kamboj, KK Ahmed"/>
  </r>
  <r>
    <n v="1473493"/>
    <s v="Mumbai Indians"/>
    <s v="Gujarat Titans"/>
    <x v="0"/>
    <n v="2025"/>
    <d v="2025-05-06T00:00:00"/>
    <x v="6"/>
    <x v="0"/>
    <s v="Win"/>
    <s v="NA"/>
    <x v="8"/>
    <x v="18"/>
    <x v="6"/>
    <s v="Mumbai"/>
    <s v="RD Rickelton, RG Sharma, WG Jacks, SA Yadav, Tilak Varma, HH Pandya, Naman Dhir, C Bosch, DL Chahar, KV Sharma, TA Boult, JJ Bumrah, Ashwani Kumar"/>
    <s v="B Sai Sudharsan, Shubman Gill, JC Buttler, SE Rutherford, M Shahrukh Khan, R Tewatia, Rashid Khan, G Coetzee, Arshad Khan, R Sai Kishore, Mohammed Siraj, M Prasidh Krishna"/>
  </r>
  <r>
    <n v="1473492"/>
    <s v="Delhi Capitals"/>
    <s v="Sunrisers Hyderabad"/>
    <x v="0"/>
    <n v="2025"/>
    <d v="2025-05-05T00:00:00"/>
    <x v="4"/>
    <x v="0"/>
    <s v="no result"/>
    <s v="NA"/>
    <x v="9"/>
    <x v="16"/>
    <x v="9"/>
    <s v="Hyderabad"/>
    <s v="KK Nair, F du Plessis, Abishek Porel, KL Rahul, AR Patel, T Stubbs, V Nigam, Ashutosh Sharma, MA Starc, PVD Chameera, Kuldeep Yadav, T Natarajan"/>
    <s v="JD Unadkat, Abhishek Sharma, Ishan Kishan, Sachin Baby, H Klaasen, Aniket Verma, A Manohar, PJ Cummins, HV Patel, Zeeshan Ansari, E Malinga, TM Head"/>
  </r>
  <r>
    <n v="1473491"/>
    <s v="Punjab Kings"/>
    <s v="Lucknow Super Giants"/>
    <x v="0"/>
    <n v="2025"/>
    <d v="2025-05-04T00:00:00"/>
    <x v="9"/>
    <x v="0"/>
    <s v="Win"/>
    <s v="NA"/>
    <x v="1"/>
    <x v="19"/>
    <x v="7"/>
    <s v="Dharamsala"/>
    <s v="Vijaykumar Vyshak, Priyansh Arya, P Simran Singh, JP Inglis, SS Iyer, N Wadhera, Shashank Singh, MP Stoinis, Azmatullah Omarzai, M Jansen, YS Chahal, Arshdeep Singh"/>
    <s v="Akash Singh, AK Markram, MR Marsh, N Pooran, RR Pant, A Badoni, DA Miller, Abdul Samad, Avesh Khan, Prince Yadav, MP Yadav, DS Rathi"/>
  </r>
  <r>
    <n v="1473490"/>
    <s v="Kolkata Knight Riders"/>
    <s v="Rajasthan Royals"/>
    <x v="0"/>
    <n v="2025"/>
    <d v="2025-05-04T00:00:00"/>
    <x v="8"/>
    <x v="1"/>
    <s v="Win"/>
    <s v="NA"/>
    <x v="10"/>
    <x v="20"/>
    <x v="8"/>
    <s v="Kolkata"/>
    <s v="Harshit Rana, Rahmanullah Gurbaz, SP Narine, AM Rahane, A Raghuvanshi, AD Russell, RK Singh, VR Iyer, Ramandeep Singh, MM Ali, VG Arora, CV Varun"/>
    <s v="Akash Madhwal, YBK Jaiswal, V Suryavanshi, KS Rathore, R Parag, Dhruv Jurel, PWH de Silva, SO Hetmyer, SB Dubey, JC Archer, M Theekshana, Yudhvir Singh"/>
  </r>
  <r>
    <n v="1473489"/>
    <s v="Royal Challengers Bengaluru"/>
    <s v="Chennai Super Kings"/>
    <x v="0"/>
    <n v="2025"/>
    <d v="2025-05-03T00:00:00"/>
    <x v="3"/>
    <x v="0"/>
    <s v="Win"/>
    <s v="NA"/>
    <x v="0"/>
    <x v="21"/>
    <x v="10"/>
    <s v="Bengaluru"/>
    <s v="Suyash Sharma, JG Bethell, V Kohli, D Padikkal, RM Patidar, JM Sharma, TH David, R Shepherd, KH Pandya, B Kumar, L Ngidi, Yash Dayal"/>
    <s v="M Pathirana, A Mhatre, SK Rasheed, SM Curran, RA Jadeja, D Brevis, MS Dhoni, S Dube, DJ Hooda, Noor Ahmad, KK Ahmed, A Kamboj"/>
  </r>
  <r>
    <n v="1473488"/>
    <s v="Gujarat Titans"/>
    <s v="Sunrisers Hyderabad"/>
    <x v="0"/>
    <n v="2025"/>
    <d v="2025-05-02T00:00:00"/>
    <x v="4"/>
    <x v="0"/>
    <s v="Win"/>
    <s v="NA"/>
    <x v="8"/>
    <x v="22"/>
    <x v="0"/>
    <s v="Ahmedabad"/>
    <s v="I Sharma, B Sai Sudharsan, Shubman Gill, JC Buttler, Washington Sundar, M Shahrukh Khan, R Tewatia, Rashid Khan, Mohammed Siraj, G Coetzee, R Sai Kishore, M Prasidh Krishna"/>
    <s v="Mohammed Shami, TM Head, Abhishek Sharma, Ishan Kishan, H Klaasen, Aniket Verma, Nithish Kumar Reddy, PHKD Mendis, PJ Cummins, HV Patel, JD Unadkat, Zeeshan Ansari"/>
  </r>
  <r>
    <n v="1473487"/>
    <s v="Mumbai Indians"/>
    <s v="Rajasthan Royals"/>
    <x v="0"/>
    <n v="2025"/>
    <d v="2025-05-01T00:00:00"/>
    <x v="7"/>
    <x v="0"/>
    <s v="Win"/>
    <s v="NA"/>
    <x v="2"/>
    <x v="23"/>
    <x v="4"/>
    <s v="Jaipur"/>
    <s v="KV Sharma, RD Rickelton, RG Sharma, SA Yadav, HH Pandya, WG Jacks, Tilak Varma, Naman Dhir, C Bosch, DL Chahar, TA Boult, JJ Bumrah"/>
    <s v="Fazalhaq Farooqi, YBK Jaiswal, V Suryavanshi, N Rana, R Parag, Dhruv Jurel, SO Hetmyer, SB Dubey, JC Archer, M Theekshana, K Kartikeya, Akash Madhwal"/>
  </r>
  <r>
    <n v="1473486"/>
    <s v="Chennai Super Kings"/>
    <s v="Punjab Kings"/>
    <x v="0"/>
    <n v="2025"/>
    <d v="2025-04-30T00:00:00"/>
    <x v="0"/>
    <x v="0"/>
    <s v="Win"/>
    <s v="NA"/>
    <x v="1"/>
    <x v="1"/>
    <x v="11"/>
    <s v="Chennai"/>
    <s v="SK Rasheed, A Mhatre, SM Curran, RA Jadeja, D Brevis, S Dube, MS Dhoni, DJ Hooda, A Kamboj, Noor Ahmad, KK Ahmed, M Pathirana"/>
    <s v="YS Chahal, Priyansh Arya, P Simran Singh, SS Iyer, N Wadhera, Shashank Singh, JP Inglis, Suryansh Shedge, M Jansen, Azmatullah Omarzai, Harpreet Brar, Arshdeep Singh"/>
  </r>
  <r>
    <n v="1473485"/>
    <s v="Kolkata Knight Riders"/>
    <s v="Delhi Capitals"/>
    <x v="0"/>
    <n v="2025"/>
    <d v="2025-04-29T00:00:00"/>
    <x v="5"/>
    <x v="0"/>
    <s v="Win"/>
    <s v="NA"/>
    <x v="10"/>
    <x v="24"/>
    <x v="5"/>
    <s v="Delhi"/>
    <s v="VG Arora, Rahmanullah Gurbaz, SP Narine, AM Rahane, A Raghuvanshi, VR Iyer, RK Singh, AD Russell, R Powell, AS Roy, Harshit Rana, CV Varun"/>
    <s v="Mukesh Kumar, Abishek Porel, F du Plessis, KK Nair, KL Rahul, AR Patel, T Stubbs, V Nigam, Ashutosh Sharma, MA Starc, PVD Chameera, Kuldeep Yadav"/>
  </r>
  <r>
    <n v="1473484"/>
    <s v="Gujarat Titans"/>
    <s v="Rajasthan Royals"/>
    <x v="0"/>
    <n v="2025"/>
    <d v="2025-04-28T00:00:00"/>
    <x v="7"/>
    <x v="0"/>
    <s v="Win"/>
    <s v="NA"/>
    <x v="7"/>
    <x v="25"/>
    <x v="4"/>
    <s v="Jaipur"/>
    <s v="I Sharma, B Sai Sudharsan, Shubman Gill, JC Buttler, Washington Sundar, R Tewatia, M Shahrukh Khan, Karim Janat, Rashid Khan, R Sai Kishore, Mohammed Siraj, M Prasidh Krishna"/>
    <s v="YBK Jaiswal, V Suryavanshi, N Rana, R Parag, Dhruv Jurel, SO Hetmyer, PWH de Silva, JC Archer, M Theekshana, Sandeep Sharma, Yudhvir Singh"/>
  </r>
  <r>
    <n v="1473483"/>
    <s v="Delhi Capitals"/>
    <s v="Royal Challengers Bengaluru"/>
    <x v="0"/>
    <n v="2025"/>
    <d v="2025-04-27T00:00:00"/>
    <x v="2"/>
    <x v="0"/>
    <s v="Win"/>
    <s v="NA"/>
    <x v="0"/>
    <x v="0"/>
    <x v="5"/>
    <s v="Delhi"/>
    <s v="Abishek Porel, F du Plessis, KK Nair, KL Rahul, AR Patel, T Stubbs, Ashutosh Sharma, V Nigam, MA Starc, PVD Chameera, Kuldeep Yadav, Mukesh Kumar"/>
    <s v="Suyash Sharma, JG Bethell, V Kohli, D Padikkal, RM Patidar, KH Pandya, TH David, R Shepherd, JM Sharma, B Kumar, JR Hazlewood, Yash Dayal"/>
  </r>
  <r>
    <n v="1473482"/>
    <s v="Mumbai Indians"/>
    <s v="Lucknow Super Giants"/>
    <x v="0"/>
    <n v="2025"/>
    <d v="2025-04-27T00:00:00"/>
    <x v="9"/>
    <x v="0"/>
    <s v="Win"/>
    <s v="NA"/>
    <x v="2"/>
    <x v="26"/>
    <x v="6"/>
    <s v="Mumbai"/>
    <s v="JJ Bumrah, RD Rickelton, RG Sharma, WG Jacks, SA Yadav, Tilak Varma, HH Pandya, Naman Dhir, C Bosch, DL Chahar, TA Boult, KV Sharma"/>
    <s v="MR Marsh, AK Markram, N Pooran, RR Pant, A Badoni, DA Miller, Abdul Samad, Ravi Bishnoi, Avesh Khan, Prince Yadav, DS Rathi, MP Yadav"/>
  </r>
  <r>
    <n v="1473481"/>
    <s v="Punjab Kings"/>
    <s v="Kolkata Knight Riders"/>
    <x v="0"/>
    <n v="2025"/>
    <d v="2025-04-26T00:00:00"/>
    <x v="0"/>
    <x v="1"/>
    <s v="no result"/>
    <s v="NA"/>
    <x v="9"/>
    <x v="16"/>
    <x v="8"/>
    <s v="Kolkata"/>
    <s v="Harpreet Brar, Priyansh Arya, P Simran Singh, SS Iyer, GJ Maxwell, M Jansen, JP Inglis, Shashank Singh, N Wadhera, Azmatullah Omarzai, YS Chahal, Arshdeep Singh"/>
    <s v="C Sakariya, Rahmanullah Gurbaz, SP Narine, VR Iyer, AM Rahane, RK Singh, AD Russell, R Powell, VG Arora, Harshit Rana, CV Varun, A Raghuvanshi"/>
  </r>
  <r>
    <n v="1473480"/>
    <s v="Chennai Super Kings"/>
    <s v="Sunrisers Hyderabad"/>
    <x v="0"/>
    <n v="2025"/>
    <d v="2025-04-25T00:00:00"/>
    <x v="4"/>
    <x v="0"/>
    <s v="Win"/>
    <s v="NA"/>
    <x v="4"/>
    <x v="27"/>
    <x v="11"/>
    <s v="Chennai"/>
    <s v="SK Rasheed, A Mhatre, SM Curran, RA Jadeja, D Brevis, S Dube, DJ Hooda, MS Dhoni, A Kamboj, Noor Ahmad, KK Ahmed, M Pathirana"/>
    <s v="Zeeshan Ansari, Abhishek Sharma, TM Head, Ishan Kishan, H Klaasen, Aniket Verma, PHKD Mendis, Nithish Kumar Reddy, PJ Cummins, HV Patel, JD Unadkat, Mohammed Shami"/>
  </r>
  <r>
    <n v="1473479"/>
    <s v="Royal Challengers Bengaluru"/>
    <s v="Rajasthan Royals"/>
    <x v="0"/>
    <n v="2025"/>
    <d v="2025-04-24T00:00:00"/>
    <x v="7"/>
    <x v="0"/>
    <s v="Win"/>
    <s v="NA"/>
    <x v="0"/>
    <x v="28"/>
    <x v="10"/>
    <s v="Bengaluru"/>
    <s v="Suyash Sharma, PD Salt, V Kohli, D Padikkal, TH David, RM Patidar, JM Sharma, R Shepherd, KH Pandya, B Kumar, JR Hazlewood, Yash Dayal"/>
    <s v="Sandeep Sharma, YBK Jaiswal, V Suryavanshi, N Rana, R Parag, Dhruv Jurel, SO Hetmyer, SB Dubey, JC Archer, PWH de Silva, TU Deshpande, Fazalhaq Farooqi"/>
  </r>
  <r>
    <n v="1473478"/>
    <s v="Sunrisers Hyderabad"/>
    <s v="Mumbai Indians"/>
    <x v="0"/>
    <n v="2025"/>
    <d v="2025-04-23T00:00:00"/>
    <x v="1"/>
    <x v="0"/>
    <s v="Win"/>
    <s v="NA"/>
    <x v="2"/>
    <x v="29"/>
    <x v="9"/>
    <s v="Hyderabad"/>
    <s v="TM Head, Abhishek Sharma, Ishan Kishan, Nithish Kumar Reddy, H Klaasen, Aniket Verma, A Manohar, PJ Cummins, HV Patel, JD Unadkat, Zeeshan Ansari, E Malinga"/>
    <s v="V Puthur, RD Rickelton, RG Sharma, WG Jacks, SA Yadav, Tilak Varma, HH Pandya, Naman Dhir, MJ Santner, DL Chahar, TA Boult, JJ Bumrah"/>
  </r>
  <r>
    <n v="1473477"/>
    <s v="Lucknow Super Giants"/>
    <s v="Delhi Capitals"/>
    <x v="0"/>
    <n v="2025"/>
    <d v="2025-04-22T00:00:00"/>
    <x v="5"/>
    <x v="0"/>
    <s v="Win"/>
    <s v="NA"/>
    <x v="5"/>
    <x v="30"/>
    <x v="3"/>
    <s v="Lucknow"/>
    <s v="AK Markram, MR Marsh, N Pooran, Abdul Samad, DA Miller, A Badoni, RR Pant, SN Thakur, Ravi Bishnoi, DS Rathi, Avesh Khan, Prince Yadav"/>
    <s v="Abishek Porel, KK Nair, KL Rahul, AR Patel, T Stubbs, Ashutosh Sharma, V Nigam, MA Starc, PVD Chameera, Kuldeep Yadav, Mukesh Kumar"/>
  </r>
  <r>
    <n v="1473476"/>
    <s v="Gujarat Titans"/>
    <s v="Kolkata Knight Riders"/>
    <x v="0"/>
    <n v="2025"/>
    <d v="2025-04-21T00:00:00"/>
    <x v="8"/>
    <x v="0"/>
    <s v="Win"/>
    <s v="NA"/>
    <x v="8"/>
    <x v="18"/>
    <x v="8"/>
    <s v="Kolkata"/>
    <s v="SE Rutherford, B Sai Sudharsan, Shubman Gill, JC Buttler, R Tewatia, M Shahrukh Khan, Rashid Khan, Washington Sundar, R Sai Kishore, Mohammed Siraj, M Prasidh Krishna, I Sharma"/>
    <s v="VG Arora, Rahmanullah Gurbaz, SP Narine, AM Rahane, VR Iyer, RK Singh, AD Russell, Ramandeep Singh, MM Ali, A Raghuvanshi, Harshit Rana, CV Varun"/>
  </r>
  <r>
    <n v="1473475"/>
    <s v="Chennai Super Kings"/>
    <s v="Mumbai Indians"/>
    <x v="0"/>
    <n v="2025"/>
    <d v="2025-04-20T00:00:00"/>
    <x v="1"/>
    <x v="0"/>
    <s v="Win"/>
    <s v="NA"/>
    <x v="2"/>
    <x v="2"/>
    <x v="6"/>
    <s v="Mumbai"/>
    <s v="R Ashwin, SK Rasheed, R Ravindra, A Mhatre, RA Jadeja, S Dube, MS Dhoni, J Overton, V Shankar, Noor Ahmad, KK Ahmed, M Pathirana"/>
    <s v="Ashwani Kumar, RD Rickelton, RG Sharma, SA Yadav, WG Jacks, Tilak Varma, HH Pandya, Naman Dhir, MJ Santner, DL Chahar, TA Boult, JJ Bumrah"/>
  </r>
  <r>
    <n v="1473474"/>
    <s v="Punjab Kings"/>
    <s v="Royal Challengers Bengaluru"/>
    <x v="0"/>
    <n v="2025"/>
    <d v="2025-04-20T00:00:00"/>
    <x v="2"/>
    <x v="0"/>
    <s v="Win"/>
    <s v="NA"/>
    <x v="0"/>
    <x v="31"/>
    <x v="2"/>
    <s v="Mohali"/>
    <s v="Harpreet Brar, Priyansh Arya, P Simran Singh, SS Iyer, JP Inglis, N Wadhera, Shashank Singh, MP Stoinis, M Jansen, XC Bartlett, Arshdeep Singh, YS Chahal"/>
    <s v="Suyash Sharma, PD Salt, V Kohli, D Padikkal, RM Patidar, JM Sharma, R Shepherd, TH David, KH Pandya, B Kumar, JR Hazlewood, Yash Dayal"/>
  </r>
  <r>
    <n v="1473473"/>
    <s v="Lucknow Super Giants"/>
    <s v="Rajasthan Royals"/>
    <x v="0"/>
    <n v="2025"/>
    <d v="2025-04-19T00:00:00"/>
    <x v="9"/>
    <x v="1"/>
    <s v="Win"/>
    <s v="NA"/>
    <x v="6"/>
    <x v="32"/>
    <x v="4"/>
    <s v="Jaipur"/>
    <s v="MR Marsh, AK Markram, N Pooran, RR Pant, A Badoni, DA Miller, Abdul Samad, DS Rathi, SN Thakur, Ravi Bishnoi, Prince Yadav, Avesh Khan"/>
    <s v="Sandeep Sharma, YBK Jaiswal, V Suryavanshi, N Rana, R Parag, Dhruv Jurel, SO Hetmyer, SB Dubey, PWH de Silva, JC Archer, M Theekshana, TU Deshpande"/>
  </r>
  <r>
    <n v="1473472"/>
    <s v="Delhi Capitals"/>
    <s v="Gujarat Titans"/>
    <x v="0"/>
    <n v="2025"/>
    <d v="2025-04-19T00:00:00"/>
    <x v="6"/>
    <x v="0"/>
    <s v="Win"/>
    <s v="NA"/>
    <x v="8"/>
    <x v="33"/>
    <x v="0"/>
    <s v="Ahmedabad"/>
    <s v="Abishek Porel, KK Nair, KL Rahul, AR Patel, T Stubbs, Ashutosh Sharma, V Nigam, D Ferreira, MA Starc, Kuldeep Yadav, MM Sharma, Mukesh Kumar"/>
    <s v="I Sharma, B Sai Sudharsan, Shubman Gill, JC Buttler, SE Rutherford, R Tewatia, Rashid Khan, M Shahrukh Khan, Arshad Khan, R Sai Kishore, Mohammed Siraj, M Prasidh Krishna"/>
  </r>
  <r>
    <n v="1473471"/>
    <s v="Royal Challengers Bengaluru"/>
    <s v="Punjab Kings"/>
    <x v="0"/>
    <n v="2025"/>
    <d v="2025-04-18T00:00:00"/>
    <x v="0"/>
    <x v="0"/>
    <s v="Win"/>
    <s v="NA"/>
    <x v="1"/>
    <x v="34"/>
    <x v="10"/>
    <s v="Bengaluru"/>
    <s v="PD Salt, V Kohli, RM Patidar, LS Livingstone, JM Sharma, KH Pandya, TH David, MS Bhandage, B Kumar, Yash Dayal, JR Hazlewood, Suyash Sharma"/>
    <s v="YS Chahal, Priyansh Arya, P Simran Singh, SS Iyer, JP Inglis, N Wadhera, Shashank Singh, MP Stoinis, Harpreet Brar, M Jansen, XC Bartlett, Arshdeep Singh"/>
  </r>
  <r>
    <n v="1473470"/>
    <s v="Sunrisers Hyderabad"/>
    <s v="Mumbai Indians"/>
    <x v="0"/>
    <n v="2025"/>
    <d v="2025-04-17T00:00:00"/>
    <x v="1"/>
    <x v="0"/>
    <s v="Win"/>
    <s v="NA"/>
    <x v="2"/>
    <x v="26"/>
    <x v="6"/>
    <s v="Mumbai"/>
    <s v="RD Chahar, Abhishek Sharma, TM Head, Ishan Kishan, Nithish Kumar Reddy, H Klaasen, Aniket Verma, PJ Cummins, HV Patel, Mohammed Shami, Zeeshan Ansari, E Malinga"/>
    <s v="KV Sharma, RD Rickelton, RG Sharma, WG Jacks, SA Yadav, Tilak Varma, HH Pandya, Naman Dhir, MJ Santner, DL Chahar, TA Boult, JJ Bumrah"/>
  </r>
  <r>
    <n v="1473469"/>
    <s v="Delhi Capitals"/>
    <s v="Rajasthan Royals"/>
    <x v="0"/>
    <n v="2025"/>
    <d v="2025-04-16T00:00:00"/>
    <x v="7"/>
    <x v="0"/>
    <s v="tie"/>
    <s v="Delhi Capitals"/>
    <x v="9"/>
    <x v="35"/>
    <x v="5"/>
    <s v="Delhi"/>
    <s v="Mukesh Kumar, J Fraser-McGurk, Abishek Porel, KK Nair, KL Rahul, T Stubbs, AR Patel, Ashutosh Sharma, V Nigam, MA Starc, Kuldeep Yadav, MM Sharma"/>
    <s v="YBK Jaiswal, SV Samson, R Parag, N Rana, Dhruv Jurel, SO Hetmyer, PWH de Silva, JC Archer, M Theekshana, Sandeep Sharma, TU Deshpande, SB Dubey"/>
  </r>
  <r>
    <n v="1473468"/>
    <s v="Punjab Kings"/>
    <s v="Kolkata Knight Riders"/>
    <x v="0"/>
    <n v="2025"/>
    <d v="2025-04-15T00:00:00"/>
    <x v="0"/>
    <x v="1"/>
    <s v="Win"/>
    <s v="NA"/>
    <x v="1"/>
    <x v="36"/>
    <x v="2"/>
    <s v="Mohali"/>
    <s v="Priyansh Arya, P Simran Singh, SS Iyer, JP Inglis, N Wadhera, GJ Maxwell, Suryansh Shedge, Shashank Singh, M Jansen, XC Bartlett, Arshdeep Singh, YS Chahal"/>
    <s v="CV Varun, Q de Kock, SP Narine, AM Rahane, A Raghuvanshi, VR Iyer, RK Singh, AD Russell, Ramandeep Singh, Harshit Rana, VG Arora, A Nortje"/>
  </r>
  <r>
    <n v="1473467"/>
    <s v="Lucknow Super Giants"/>
    <s v="Chennai Super Kings"/>
    <x v="0"/>
    <n v="2025"/>
    <d v="2025-04-14T00:00:00"/>
    <x v="3"/>
    <x v="0"/>
    <s v="Win"/>
    <s v="NA"/>
    <x v="3"/>
    <x v="37"/>
    <x v="3"/>
    <s v="Lucknow"/>
    <s v="Ravi Bishnoi, AK Markram, MR Marsh, N Pooran, RR Pant, A Badoni, Abdul Samad, DA Miller, SN Thakur, DS Rathi, Akash Deep, Avesh Khan"/>
    <s v="M Pathirana, SK Rasheed, R Ravindra, RA Tripathi, RA Jadeja, S Dube, V Shankar, MS Dhoni, J Overton, A Kamboj, Noor Ahmad, KK Ahmed"/>
  </r>
  <r>
    <n v="1473466"/>
    <s v="Mumbai Indians"/>
    <s v="Delhi Capitals"/>
    <x v="0"/>
    <n v="2025"/>
    <d v="2025-04-13T00:00:00"/>
    <x v="5"/>
    <x v="0"/>
    <s v="Win"/>
    <s v="NA"/>
    <x v="2"/>
    <x v="38"/>
    <x v="5"/>
    <s v="Delhi"/>
    <s v="KV Sharma, RG Sharma, RD Rickelton, SA Yadav, Tilak Varma, HH Pandya, Naman Dhir, WG Jacks, MJ Santner, DL Chahar, TA Boult, JJ Bumrah"/>
    <s v="Mukesh Kumar, J Fraser-McGurk, Abishek Porel, KK Nair, KL Rahul, AR Patel, T Stubbs, Ashutosh Sharma, V Nigam, MA Starc, Kuldeep Yadav, MM Sharma"/>
  </r>
  <r>
    <n v="1473465"/>
    <s v="Rajasthan Royals"/>
    <s v="Royal Challengers Bengaluru"/>
    <x v="0"/>
    <n v="2025"/>
    <d v="2025-04-13T00:00:00"/>
    <x v="2"/>
    <x v="0"/>
    <s v="Win"/>
    <s v="NA"/>
    <x v="0"/>
    <x v="39"/>
    <x v="4"/>
    <s v="Jaipur"/>
    <s v="K Kartikeya, YBK Jaiswal, SV Samson, R Parag, Dhruv Jurel, SO Hetmyer, N Rana, PWH de Silva, JC Archer, M Theekshana, Sandeep Sharma, TU Deshpande"/>
    <s v="Suyash Sharma, PD Salt, V Kohli, D Padikkal, RM Patidar, LS Livingstone, JM Sharma, TH David, KH Pandya, B Kumar, JR Hazlewood, Yash Dayal"/>
  </r>
  <r>
    <n v="1473463"/>
    <s v="Gujarat Titans"/>
    <s v="Lucknow Super Giants"/>
    <x v="0"/>
    <n v="2025"/>
    <d v="2025-04-12T00:00:00"/>
    <x v="9"/>
    <x v="0"/>
    <s v="Win"/>
    <s v="NA"/>
    <x v="6"/>
    <x v="40"/>
    <x v="3"/>
    <s v="Lucknow"/>
    <s v="M Prasidh Krishna, B Sai Sudharsan, Shubman Gill, JC Buttler, Washington Sundar, SE Rutherford, M Shahrukh Khan, R Tewatia, Rashid Khan, Arshad Khan, R Sai Kishore, Mohammed Siraj"/>
    <s v="DS Rathi, AK Markram, RR Pant, N Pooran, A Badoni, DA Miller, Abdul Samad, Himmat Singh, SN Thakur, Akash Deep, Avesh Khan, Ravi Bishnoi"/>
  </r>
  <r>
    <n v="1473464"/>
    <s v="Punjab Kings"/>
    <s v="Sunrisers Hyderabad"/>
    <x v="0"/>
    <n v="2025"/>
    <d v="2025-04-12T00:00:00"/>
    <x v="0"/>
    <x v="1"/>
    <s v="Win"/>
    <s v="NA"/>
    <x v="4"/>
    <x v="13"/>
    <x v="9"/>
    <s v="Hyderabad"/>
    <s v="Yash Thakur, Priyansh Arya, P Simran Singh, SS Iyer, N Wadhera, Shashank Singh, GJ Maxwell, MP Stoinis, M Jansen, YS Chahal, Arshdeep Singh, LH Ferguson"/>
    <s v="E Malinga, TM Head, Abhishek Sharma, H Klaasen, Ishan Kishan, Nithish Kumar Reddy, Aniket Verma, PJ Cummins, HV Patel, Mohammed Shami, Zeeshan Ansari, A Manohar"/>
  </r>
  <r>
    <n v="1473462"/>
    <s v="Chennai Super Kings"/>
    <s v="Kolkata Knight Riders"/>
    <x v="0"/>
    <n v="2025"/>
    <d v="2025-04-11T00:00:00"/>
    <x v="8"/>
    <x v="0"/>
    <s v="Win"/>
    <s v="NA"/>
    <x v="10"/>
    <x v="24"/>
    <x v="11"/>
    <s v="Chennai"/>
    <s v="R Ravindra, DP Conway, RA Tripathi, V Shankar, S Dube, R Ashwin, RA Jadeja, DJ Hooda, MS Dhoni, Noor Ahmad, A Kamboj, KK Ahmed"/>
    <s v="Q de Kock, SP Narine, AM Rahane, RK Singh, VR Iyer, AD Russell, Ramandeep Singh, VG Arora, MM Ali, Harshit Rana, CV Varun"/>
  </r>
  <r>
    <n v="1473461"/>
    <s v="Royal Challengers Bengaluru"/>
    <s v="Delhi Capitals"/>
    <x v="0"/>
    <n v="2025"/>
    <d v="2025-04-10T00:00:00"/>
    <x v="5"/>
    <x v="0"/>
    <s v="Win"/>
    <s v="NA"/>
    <x v="5"/>
    <x v="41"/>
    <x v="10"/>
    <s v="Bengaluru"/>
    <s v="PD Salt, V Kohli, D Padikkal, RM Patidar, LS Livingstone, JM Sharma, KH Pandya, TH David, B Kumar, JR Hazlewood, Yash Dayal, Suyash Sharma"/>
    <s v="F du Plessis, J Fraser-McGurk, Abishek Porel, KL Rahul, AR Patel, T Stubbs, Ashutosh Sharma, V Nigam, MA Starc, Kuldeep Yadav, MM Sharma, Mukesh Kumar"/>
  </r>
  <r>
    <n v="1473460"/>
    <s v="Gujarat Titans"/>
    <s v="Rajasthan Royals"/>
    <x v="0"/>
    <n v="2025"/>
    <d v="2025-04-09T00:00:00"/>
    <x v="7"/>
    <x v="0"/>
    <s v="Win"/>
    <s v="NA"/>
    <x v="8"/>
    <x v="14"/>
    <x v="0"/>
    <s v="Ahmedabad"/>
    <s v="K Khejroliya, B Sai Sudharsan, Shubman Gill, JC Buttler, M Shahrukh Khan, SE Rutherford, R Tewatia, Rashid Khan, Arshad Khan, R Sai Kishore, Mohammed Siraj, M Prasidh Krishna"/>
    <s v="Fazalhaq Farooqi, YBK Jaiswal, SV Samson, N Rana, R Parag, Dhruv Jurel, SO Hetmyer, SB Dubey, JC Archer, M Theekshana, TU Deshpande, Sandeep Sharma"/>
  </r>
  <r>
    <n v="1473456"/>
    <s v="Lucknow Super Giants"/>
    <s v="Kolkata Knight Riders"/>
    <x v="0"/>
    <n v="2025"/>
    <d v="2025-04-08T00:00:00"/>
    <x v="8"/>
    <x v="0"/>
    <s v="Win"/>
    <s v="NA"/>
    <x v="6"/>
    <x v="42"/>
    <x v="8"/>
    <s v="Kolkata"/>
    <s v="AK Markram, MR Marsh, N Pooran, Abdul Samad, DA Miller, RR Pant, A Badoni, SN Thakur, Akash Deep, Avesh Khan, DS Rathi, Ravi Bishnoi"/>
    <s v="CV Varun, Q de Kock, SP Narine, AM Rahane, VR Iyer, Ramandeep Singh, A Raghuvanshi, AD Russell, RK Singh, Harshit Rana, VG Arora, SH Johnson"/>
  </r>
  <r>
    <n v="1473459"/>
    <s v="Punjab Kings"/>
    <s v="Chennai Super Kings"/>
    <x v="0"/>
    <n v="2025"/>
    <d v="2025-04-08T00:00:00"/>
    <x v="0"/>
    <x v="1"/>
    <s v="Win"/>
    <s v="NA"/>
    <x v="1"/>
    <x v="43"/>
    <x v="2"/>
    <s v="Mohali"/>
    <s v="Priyansh Arya, P Simran Singh, SS Iyer, MP Stoinis, N Wadhera, GJ Maxwell, Shashank Singh, M Jansen, YS Chahal, Arshdeep Singh, LH Ferguson, Yash Thakur"/>
    <s v="M Pathirana, R Ravindra, DP Conway, RD Gaikwad, S Dube, MS Dhoni, RA Jadeja, V Shankar, R Ashwin, Noor Ahmad, Mukesh Choudhary, KK Ahmed"/>
  </r>
  <r>
    <n v="1473458"/>
    <s v="Royal Challengers Bengaluru"/>
    <s v="Mumbai Indians"/>
    <x v="0"/>
    <n v="2025"/>
    <d v="2025-04-07T00:00:00"/>
    <x v="1"/>
    <x v="0"/>
    <s v="Win"/>
    <s v="NA"/>
    <x v="0"/>
    <x v="44"/>
    <x v="6"/>
    <s v="Mumbai"/>
    <s v="PD Salt, V Kohli, D Padikkal, RM Patidar, LS Livingstone, JM Sharma, TH David, KH Pandya, B Kumar, JR Hazlewood, Yash Dayal, Suyash Sharma"/>
    <s v="V Puthur, RG Sharma, RD Rickelton, WG Jacks, SA Yadav, Tilak Varma, HH Pandya, Naman Dhir, MJ Santner, DL Chahar, TA Boult, JJ Bumrah"/>
  </r>
  <r>
    <n v="1473457"/>
    <s v="Sunrisers Hyderabad"/>
    <s v="Gujarat Titans"/>
    <x v="0"/>
    <n v="2025"/>
    <d v="2025-04-06T00:00:00"/>
    <x v="6"/>
    <x v="0"/>
    <s v="Win"/>
    <s v="NA"/>
    <x v="8"/>
    <x v="45"/>
    <x v="9"/>
    <s v="Hyderabad"/>
    <s v="Abhishek Sharma, TM Head, Ishan Kishan, Nithish Kumar Reddy, H Klaasen, Aniket Verma, PHKD Mendis, PJ Cummins, Simarjeet Singh, Mohammed Shami, Zeeshan Ansari, JD Unadkat"/>
    <s v="I Sharma, B Sai Sudharsan, Shubman Gill, JC Buttler, Washington Sundar, SE Rutherford, R Tewatia, M Shahrukh Khan, Rashid Khan, R Sai Kishore, Mohammed Siraj, M Prasidh Krishna"/>
  </r>
  <r>
    <n v="1473454"/>
    <s v="Delhi Capitals"/>
    <s v="Chennai Super Kings"/>
    <x v="0"/>
    <n v="2025"/>
    <d v="2025-04-05T00:00:00"/>
    <x v="5"/>
    <x v="1"/>
    <s v="Win"/>
    <s v="NA"/>
    <x v="5"/>
    <x v="41"/>
    <x v="11"/>
    <s v="Chennai"/>
    <s v="Mukesh Kumar, J Fraser-McGurk, KL Rahul, Abishek Porel, AR Patel, Sameer Rizvi, T Stubbs, Ashutosh Sharma, V Nigam, MA Starc, Kuldeep Yadav, MM Sharma"/>
    <s v="M Pathirana, R Ravindra, DP Conway, RD Gaikwad, V Shankar, S Dube, RA Jadeja, MS Dhoni, R Ashwin, Noor Ahmad, Mukesh Choudhary, KK Ahmed"/>
  </r>
  <r>
    <n v="1473455"/>
    <s v="Rajasthan Royals"/>
    <s v="Punjab Kings"/>
    <x v="0"/>
    <n v="2025"/>
    <d v="2025-04-05T00:00:00"/>
    <x v="0"/>
    <x v="0"/>
    <s v="Win"/>
    <s v="NA"/>
    <x v="7"/>
    <x v="46"/>
    <x v="2"/>
    <s v="Mohali"/>
    <s v="K Kartikeya, YBK Jaiswal, SV Samson, R Parag, N Rana, SO Hetmyer, Dhruv Jurel, PWH de Silva, JC Archer, M Theekshana, Yudhvir Singh, Sandeep Sharma"/>
    <s v="YS Chahal, Priyansh Arya, P Simran Singh, SS Iyer, MP Stoinis, N Wadhera, GJ Maxwell, Shashank Singh, Suryansh Shedge, M Jansen, Arshdeep Singh, LH Ferguson"/>
  </r>
  <r>
    <n v="1473453"/>
    <s v="Lucknow Super Giants"/>
    <s v="Mumbai Indians"/>
    <x v="0"/>
    <n v="2025"/>
    <d v="2025-04-04T00:00:00"/>
    <x v="1"/>
    <x v="0"/>
    <s v="Win"/>
    <s v="NA"/>
    <x v="6"/>
    <x v="47"/>
    <x v="3"/>
    <s v="Lucknow"/>
    <s v="Ravi Bishnoi, MR Marsh, AK Markram, N Pooran, RR Pant, A Badoni, DA Miller, Abdul Samad, SN Thakur, Akash Deep, Avesh Khan, DS Rathi"/>
    <s v="V Puthur, WG Jacks, RD Rickelton, Naman Dhir, SA Yadav, Tilak Varma, HH Pandya, MJ Santner, RA Bawa, DL Chahar, TA Boult, Ashwani Kumar"/>
  </r>
  <r>
    <n v="1473452"/>
    <s v="Kolkata Knight Riders"/>
    <s v="Sunrisers Hyderabad"/>
    <x v="0"/>
    <n v="2025"/>
    <d v="2025-04-03T00:00:00"/>
    <x v="4"/>
    <x v="0"/>
    <s v="Win"/>
    <s v="NA"/>
    <x v="10"/>
    <x v="48"/>
    <x v="8"/>
    <s v="Kolkata"/>
    <s v="VG Arora, Q de Kock, SP Narine, AM Rahane, A Raghuvanshi, VR Iyer, RK Singh, AD Russell, MM Ali, Ramandeep Singh, Harshit Rana, CV Varun"/>
    <s v="Zeeshan Ansari, TM Head, Abhishek Sharma, Ishan Kishan, Nithish Kumar Reddy, PHKD Mendis, H Klaasen, Aniket Verma, PJ Cummins, HV Patel, Simarjeet Singh, Mohammed Shami"/>
  </r>
  <r>
    <n v="1473451"/>
    <s v="Royal Challengers Bengaluru"/>
    <s v="Gujarat Titans"/>
    <x v="0"/>
    <n v="2025"/>
    <d v="2025-04-02T00:00:00"/>
    <x v="6"/>
    <x v="0"/>
    <s v="Win"/>
    <s v="NA"/>
    <x v="8"/>
    <x v="45"/>
    <x v="10"/>
    <s v="Bengaluru"/>
    <s v="Rasikh Salam, PD Salt, V Kohli, D Padikkal, RM Patidar, LS Livingstone, JM Sharma, KH Pandya, TH David, B Kumar, JR Hazlewood, Yash Dayal"/>
    <s v="I Sharma, B Sai Sudharsan, Shubman Gill, JC Buttler, SE Rutherford, M Shahrukh Khan, R Tewatia, Arshad Khan, Rashid Khan, R Sai Kishore, Mohammed Siraj, M Prasidh Krishna"/>
  </r>
  <r>
    <n v="1473450"/>
    <s v="Lucknow Super Giants"/>
    <s v="Punjab Kings"/>
    <x v="0"/>
    <n v="2025"/>
    <d v="2025-04-01T00:00:00"/>
    <x v="0"/>
    <x v="0"/>
    <s v="Win"/>
    <s v="NA"/>
    <x v="1"/>
    <x v="19"/>
    <x v="3"/>
    <s v="Lucknow"/>
    <s v="M Siddharth, AK Markram, MR Marsh, N Pooran, RR Pant, A Badoni, DA Miller, Abdul Samad, SN Thakur, Avesh Khan, Ravi Bishnoi, DS Rathi"/>
    <s v="YS Chahal, Priyansh Arya, P Simran Singh, SS Iyer, N Wadhera, GJ Maxwell, MP Stoinis, Shashank Singh, Suryansh Shedge, M Jansen, LH Ferguson, Arshdeep Singh"/>
  </r>
  <r>
    <n v="1473449"/>
    <s v="Kolkata Knight Riders"/>
    <s v="Mumbai Indians"/>
    <x v="0"/>
    <n v="2025"/>
    <d v="2025-03-31T00:00:00"/>
    <x v="1"/>
    <x v="0"/>
    <s v="Win"/>
    <s v="NA"/>
    <x v="2"/>
    <x v="49"/>
    <x v="6"/>
    <s v="Mumbai"/>
    <s v="Q de Kock, SP Narine, AM Rahane, A Raghuvanshi, VR Iyer, RK Singh, MK Pandey, AD Russell, Ramandeep Singh, Harshit Rana, SH Johnson, CV Varun"/>
    <s v="V Puthur, RG Sharma, RD Rickelton, WG Jacks, SA Yadav, Tilak Varma, HH Pandya, Naman Dhir, MJ Santner, DL Chahar, TA Boult, Ashwani Kumar"/>
  </r>
  <r>
    <n v="1473447"/>
    <s v="Sunrisers Hyderabad"/>
    <s v="Delhi Capitals"/>
    <x v="0"/>
    <n v="2025"/>
    <d v="2025-03-30T00:00:00"/>
    <x v="4"/>
    <x v="1"/>
    <s v="Win"/>
    <s v="NA"/>
    <x v="5"/>
    <x v="35"/>
    <x v="12"/>
    <s v="Visakhapatnam"/>
    <s v="Abhishek Sharma, TM Head, Ishan Kishan, Nithish Kumar Reddy, Aniket Verma, H Klaasen, A Manohar, PJ Cummins, PWA Mulder, HV Patel, Mohammed Shami, Zeeshan Ansari"/>
    <s v="J Fraser-McGurk, F du Plessis, Abishek Porel, KL Rahul, T Stubbs, AR Patel, V Nigam, MA Starc, Kuldeep Yadav, MM Sharma, Mukesh Kumar"/>
  </r>
  <r>
    <n v="1473448"/>
    <s v="Rajasthan Royals"/>
    <s v="Chennai Super Kings"/>
    <x v="0"/>
    <n v="2025"/>
    <d v="2025-03-30T00:00:00"/>
    <x v="3"/>
    <x v="0"/>
    <s v="Win"/>
    <s v="NA"/>
    <x v="7"/>
    <x v="50"/>
    <x v="13"/>
    <s v="Guwahati"/>
    <s v="YBK Jaiswal, SV Samson, N Rana, R Parag, Dhruv Jurel, PWH de Silva, SO Hetmyer, JC Archer, K Kartikeya, M Theekshana, TU Deshpande, Sandeep Sharma"/>
    <s v="M Pathirana, R Ravindra, RA Tripathi, RD Gaikwad, S Dube, V Shankar, RA Jadeja, MS Dhoni, J Overton, R Ashwin, Noor Ahmad, KK Ahmed"/>
  </r>
  <r>
    <n v="1473446"/>
    <s v="Gujarat Titans"/>
    <s v="Mumbai Indians"/>
    <x v="0"/>
    <n v="2025"/>
    <d v="2025-03-29T00:00:00"/>
    <x v="1"/>
    <x v="0"/>
    <s v="Win"/>
    <s v="NA"/>
    <x v="8"/>
    <x v="22"/>
    <x v="0"/>
    <s v="Ahmedabad"/>
    <s v="I Sharma, B Sai Sudharsan, Shubman Gill, JC Buttler, M Shahrukh Khan, SE Rutherford, R Tewatia, Rashid Khan, K Rabada, R Sai Kishore, Mohammed Siraj, M Prasidh Krishna"/>
    <s v="PVSN Raju, RG Sharma, RD Rickelton, Tilak Varma, SA Yadav, R Minz, HH Pandya, Naman Dhir, MJ Santner, DL Chahar, TA Boult, Mujeeb Ur Rahman"/>
  </r>
  <r>
    <n v="1473445"/>
    <s v="Royal Challengers Bengaluru"/>
    <s v="Chennai Super Kings"/>
    <x v="0"/>
    <n v="2025"/>
    <d v="2025-03-28T00:00:00"/>
    <x v="3"/>
    <x v="0"/>
    <s v="Win"/>
    <s v="NA"/>
    <x v="0"/>
    <x v="44"/>
    <x v="11"/>
    <s v="Chennai"/>
    <s v="Suyash Sharma, PD Salt, V Kohli, D Padikkal, RM Patidar, LS Livingstone, JM Sharma, TH David, KH Pandya, B Kumar, JR Hazlewood, Yash Dayal"/>
    <s v="M Pathirana, R Ravindra, RA Tripathi, RD Gaikwad, DJ Hooda, SM Curran, S Dube, RA Jadeja, R Ashwin, MS Dhoni, Noor Ahmad, KK Ahmed"/>
  </r>
  <r>
    <n v="1473444"/>
    <s v="Sunrisers Hyderabad"/>
    <s v="Lucknow Super Giants"/>
    <x v="0"/>
    <n v="2025"/>
    <d v="2025-03-27T00:00:00"/>
    <x v="9"/>
    <x v="0"/>
    <s v="Win"/>
    <s v="NA"/>
    <x v="6"/>
    <x v="51"/>
    <x v="9"/>
    <s v="Hyderabad"/>
    <s v="TM Head, Abhishek Sharma, Ishan Kishan, Nithish Kumar Reddy, H Klaasen, Aniket Verma, A Manohar, PJ Cummins, HV Patel, Mohammed Shami, Simarjeet Singh, A Zampa"/>
    <s v="DS Rathi, MR Marsh, AK Markram, N Pooran, RR Pant, A Badoni, DA Miller, Abdul Samad, SN Thakur, Ravi Bishnoi, Prince Yadav, Avesh Khan"/>
  </r>
  <r>
    <n v="1473443"/>
    <s v="Rajasthan Royals"/>
    <s v="Kolkata Knight Riders"/>
    <x v="0"/>
    <n v="2025"/>
    <d v="2025-03-26T00:00:00"/>
    <x v="8"/>
    <x v="0"/>
    <s v="Win"/>
    <s v="NA"/>
    <x v="10"/>
    <x v="52"/>
    <x v="13"/>
    <s v="Guwahati"/>
    <s v="YBK Jaiswal, SV Samson, R Parag, N Rana, PWH de Silva, Dhruv Jurel, SB Dubey, SO Hetmyer, JC Archer, M Theekshana, TU Deshpande, Sandeep Sharma"/>
    <s v="CV Varun, MM Ali, Q de Kock, AM Rahane, A Raghuvanshi, VR Iyer, RK Singh, AD Russell, Ramandeep Singh, SH Johnson, VG Arora, Harshit Rana"/>
  </r>
  <r>
    <n v="1473442"/>
    <s v="Punjab Kings"/>
    <s v="Gujarat Titans"/>
    <x v="0"/>
    <n v="2025"/>
    <d v="2025-03-25T00:00:00"/>
    <x v="6"/>
    <x v="0"/>
    <s v="Win"/>
    <s v="NA"/>
    <x v="1"/>
    <x v="1"/>
    <x v="0"/>
    <s v="Ahmedabad"/>
    <s v="Priyansh Arya, P Simran Singh, SS Iyer, Azmatullah Omarzai, GJ Maxwell, MP Stoinis, Shashank Singh, Suryansh Shedge, M Jansen, Arshdeep Singh, YS Chahal, Vijaykumar Vyshak"/>
    <s v="B Sai Sudharsan, Shubman Gill, JC Buttler, SE Rutherford, R Tewatia, M Shahrukh Khan, Arshad Khan, R Sai Kishore, Rashid Khan, K Rabada, Mohammed Siraj, M Prasidh Krishna"/>
  </r>
  <r>
    <n v="1473441"/>
    <s v="Lucknow Super Giants"/>
    <s v="Delhi Capitals"/>
    <x v="0"/>
    <n v="2025"/>
    <d v="2025-03-24T00:00:00"/>
    <x v="5"/>
    <x v="0"/>
    <s v="Win"/>
    <s v="NA"/>
    <x v="5"/>
    <x v="53"/>
    <x v="12"/>
    <s v="Visakhapatnam"/>
    <s v="M Siddharth, AK Markram, MR Marsh, N Pooran, RR Pant, DA Miller, A Badoni, SN Thakur, Shahbaz Ahmed, Ravi Bishnoi, DS Rathi, Prince Yadav"/>
    <s v="Mukesh Kumar, J Fraser-McGurk, F du Plessis, Abishek Porel, Sameer Rizvi, AR Patel, T Stubbs, Ashutosh Sharma, V Nigam, MA Starc, Kuldeep Yadav, MM Sharma"/>
  </r>
  <r>
    <n v="1473439"/>
    <s v="Sunrisers Hyderabad"/>
    <s v="Rajasthan Royals"/>
    <x v="0"/>
    <n v="2025"/>
    <d v="2025-03-23T00:00:00"/>
    <x v="7"/>
    <x v="0"/>
    <s v="Win"/>
    <s v="NA"/>
    <x v="4"/>
    <x v="9"/>
    <x v="9"/>
    <s v="Hyderabad"/>
    <s v="A Zampa, Abhishek Sharma, TM Head, Ishan Kishan, Nithish Kumar Reddy, H Klaasen, Aniket Verma, A Manohar, PJ Cummins, Simarjeet Singh, HV Patel, Mohammed Shami"/>
    <s v="Fazalhaq Farooqi, YBK Jaiswal, SV Samson, R Parag, N Rana, Dhruv Jurel, SO Hetmyer, SB Dubey, JC Archer, M Theekshana, TU Deshpande, Sandeep Sharma"/>
  </r>
  <r>
    <n v="1473440"/>
    <s v="Mumbai Indians"/>
    <s v="Chennai Super Kings"/>
    <x v="0"/>
    <n v="2025"/>
    <d v="2025-03-23T00:00:00"/>
    <x v="3"/>
    <x v="0"/>
    <s v="Win"/>
    <s v="NA"/>
    <x v="3"/>
    <x v="17"/>
    <x v="11"/>
    <s v="Chennai"/>
    <s v="V Puthur, RG Sharma, RD Rickelton, WG Jacks, SA Yadav, Tilak Varma, R Minz, Naman Dhir, MJ Santner, DL Chahar, TA Boult, PVSN Raju"/>
    <s v="KK Ahmed, R Ravindra, RA Tripathi, RD Gaikwad, S Dube, DJ Hooda, SM Curran, RA Jadeja, MS Dhoni, R Ashwin, Noor Ahmad, NT Ellis"/>
  </r>
  <r>
    <n v="1473438"/>
    <s v="Kolkata Knight Riders"/>
    <s v="Royal Challengers Bengaluru"/>
    <x v="0"/>
    <n v="2025"/>
    <d v="2025-03-22T00:00:00"/>
    <x v="2"/>
    <x v="0"/>
    <s v="Win"/>
    <s v="NA"/>
    <x v="0"/>
    <x v="0"/>
    <x v="8"/>
    <s v="Kolkata"/>
    <s v="VG Arora, Q de Kock, SP Narine, AM Rahane, VR Iyer, A Raghuvanshi, RK Singh, AD Russell, Ramandeep Singh, Harshit Rana, SH Johnson, CV Varun"/>
    <s v="Suyash Sharma, PD Salt, V Kohli, D Padikkal, RM Patidar, LS Livingstone, JM Sharma, TH David, KH Pandya, Rasikh Salam, JR Hazlewood, Yash Dayal"/>
  </r>
  <r>
    <n v="1426312"/>
    <s v="Sunrisers Hyderabad"/>
    <s v="Kolkata Knight Riders"/>
    <x v="1"/>
    <n v="2024"/>
    <d v="2024-05-26T00:00:00"/>
    <x v="4"/>
    <x v="1"/>
    <s v="Win"/>
    <s v="NA"/>
    <x v="10"/>
    <x v="35"/>
    <x v="11"/>
    <s v="Chennai"/>
    <s v="Abhishek Sharma, TM Head, RA Tripathi, AK Markram, Nithish Kumar Reddy, H Klaasen, Shahbaz Ahmed, Abdul Samad, PJ Cummins, JD Unadkat, B Kumar, T Natarajan"/>
    <s v="Rahmanullah Gurbaz, SP Narine, VR Iyer, SS Iyer, RK Singh, AD Russell, Ramandeep Singh, MA Starc, VG Arora, Harshit Rana, CV Varun"/>
  </r>
  <r>
    <n v="1426311"/>
    <s v="Sunrisers Hyderabad"/>
    <s v="Rajasthan Royals"/>
    <x v="1"/>
    <n v="2024"/>
    <d v="2024-05-24T00:00:00"/>
    <x v="7"/>
    <x v="0"/>
    <s v="Win"/>
    <s v="NA"/>
    <x v="4"/>
    <x v="54"/>
    <x v="11"/>
    <s v="Chennai"/>
    <s v="TM Head, Abhishek Sharma, RA Tripathi, AK Markram, H Klaasen, Nithish Kumar Reddy, Abdul Samad, Shahbaz Ahmed, PJ Cummins, JD Unadkat, B Kumar, T Natarajan"/>
    <s v="YS Chahal, YBK Jaiswal, T Kohler-Cadmore, SV Samson, R Parag, Dhruv Jurel, R Ashwin, SO Hetmyer, R Powell, TA Boult, Sandeep Sharma, Avesh Khan"/>
  </r>
  <r>
    <n v="1426310"/>
    <s v="Royal Challengers Bengaluru"/>
    <s v="Rajasthan Royals"/>
    <x v="1"/>
    <n v="2024"/>
    <d v="2024-05-22T00:00:00"/>
    <x v="7"/>
    <x v="0"/>
    <s v="Win"/>
    <s v="NA"/>
    <x v="7"/>
    <x v="55"/>
    <x v="0"/>
    <s v="Ahmedabad"/>
    <s v="V Kohli, F du Plessis, C Green, RM Patidar, GJ Maxwell, MK Lomror, KD Karthik, Swapnil Singh, KV Sharma, Yash Dayal, Mohammed Siraj, LH Ferguson"/>
    <s v="YS Chahal, YBK Jaiswal, T Kohler-Cadmore, SV Samson, R Parag, Dhruv Jurel, SO Hetmyer, R Powell, R Ashwin, TA Boult, Avesh Khan, Sandeep Sharma"/>
  </r>
  <r>
    <n v="1426309"/>
    <s v="Sunrisers Hyderabad"/>
    <s v="Kolkata Knight Riders"/>
    <x v="1"/>
    <n v="2024"/>
    <d v="2024-05-21T00:00:00"/>
    <x v="4"/>
    <x v="1"/>
    <s v="Win"/>
    <s v="NA"/>
    <x v="10"/>
    <x v="35"/>
    <x v="0"/>
    <s v="Ahmedabad"/>
    <s v="TM Head, Abhishek Sharma, RA Tripathi, Nithish Kumar Reddy, Shahbaz Ahmed, H Klaasen, Abdul Samad, Sanvir Singh, PJ Cummins, B Kumar, V Viyaskanth, T Natarajan"/>
    <s v="Rahmanullah Gurbaz, SP Narine, VR Iyer, SS Iyer, RK Singh, AD Russell, Ramandeep Singh, MA Starc, VG Arora, Harshit Rana, CV Varun"/>
  </r>
  <r>
    <n v="1426307"/>
    <s v="Punjab Kings"/>
    <s v="Sunrisers Hyderabad"/>
    <x v="1"/>
    <n v="2024"/>
    <d v="2024-05-19T00:00:00"/>
    <x v="0"/>
    <x v="1"/>
    <s v="Win"/>
    <s v="NA"/>
    <x v="4"/>
    <x v="13"/>
    <x v="9"/>
    <s v="Hyderabad"/>
    <s v="Arshdeep Singh, Atharva Taide, P Simran Singh, RR Rossouw, Shashank Singh, JM Sharma, Ashutosh Sharma, Shivam Singh, R Dhawan, Harpreet Brar, HV Patel, RD Chahar"/>
    <s v="T Natarajan, TM Head, Abhishek Sharma, RA Tripathi, Nithish Kumar Reddy, H Klaasen, Shahbaz Ahmed, Abdul Samad, Sanvir Singh, PJ Cummins, B Kumar, V Viyaskanth"/>
  </r>
  <r>
    <n v="1426306"/>
    <s v="Royal Challengers Bengaluru"/>
    <s v="Chennai Super Kings"/>
    <x v="1"/>
    <n v="2024"/>
    <d v="2024-05-18T00:00:00"/>
    <x v="3"/>
    <x v="0"/>
    <s v="Win"/>
    <s v="NA"/>
    <x v="0"/>
    <x v="56"/>
    <x v="10"/>
    <s v="Bengaluru"/>
    <s v="Swapnil Singh, V Kohli, F du Plessis, RM Patidar, C Green, KD Karthik, GJ Maxwell, MK Lomror, Yash Dayal, KV Sharma, Mohammed Siraj, LH Ferguson"/>
    <s v="M Theekshana, RD Gaikwad, R Ravindra, DJ Mitchell, AM Rahane, S Dube, RA Jadeja, MJ Santner, MS Dhoni, SN Thakur, TU Deshpande, Simarjeet Singh"/>
  </r>
  <r>
    <n v="1426305"/>
    <s v="Lucknow Super Giants"/>
    <s v="Mumbai Indians"/>
    <x v="1"/>
    <n v="2024"/>
    <d v="2024-05-17T00:00:00"/>
    <x v="1"/>
    <x v="0"/>
    <s v="Win"/>
    <s v="NA"/>
    <x v="6"/>
    <x v="42"/>
    <x v="6"/>
    <s v="Mumbai"/>
    <s v="Naveen-ul-Haq, KL Rahul, D Padikkal, MP Stoinis, DJ Hooda, N Pooran, Arshad Khan, A Badoni, KH Pandya, MJ Henry, Ravi Bishnoi, Mohsin Khan"/>
    <s v="N Thushara, RG Sharma, D Brevis, SA Yadav, Ishan Kishan, HH Pandya, N Wadhera, Naman Dhir, R Shepherd, A Kamboj, PP Chawla, Arjun Tendulkar"/>
  </r>
  <r>
    <n v="1426303"/>
    <s v="Rajasthan Royals"/>
    <s v="Punjab Kings"/>
    <x v="1"/>
    <n v="2024"/>
    <d v="2024-05-15T00:00:00"/>
    <x v="7"/>
    <x v="1"/>
    <s v="Win"/>
    <s v="NA"/>
    <x v="1"/>
    <x v="57"/>
    <x v="13"/>
    <s v="Guwahati"/>
    <s v="YBK Jaiswal, T Kohler-Cadmore, SV Samson, R Parag, R Ashwin, Dhruv Jurel, R Powell, D Ferreira, TA Boult, Avesh Khan, Sandeep Sharma, YS Chahal"/>
    <s v="Arshdeep Singh, P Simran Singh, JM Bairstow, RR Rossouw, Shashank Singh, SM Curran, JM Sharma, Ashutosh Sharma, Harpreet Brar, HV Patel, NT Ellis, RD Chahar"/>
  </r>
  <r>
    <n v="1426302"/>
    <s v="Delhi Capitals"/>
    <s v="Lucknow Super Giants"/>
    <x v="1"/>
    <n v="2024"/>
    <d v="2024-05-14T00:00:00"/>
    <x v="9"/>
    <x v="0"/>
    <s v="Win"/>
    <s v="NA"/>
    <x v="5"/>
    <x v="58"/>
    <x v="5"/>
    <s v="Delhi"/>
    <s v="I Sharma, J Fraser-McGurk, Abishek Porel, SD Hope, RR Pant, T Stubbs, AR Patel, Gulbadin Naib, Rasikh Salam, Mukesh Kumar, Kuldeep Yadav, KK Ahmed"/>
    <s v="Mohsin Khan, Q de Kock, KL Rahul, MP Stoinis, DJ Hooda, N Pooran, A Badoni, KH Pandya, Arshad Khan, Yudhvir Singh, Ravi Bishnoi, Naveen-ul-Haq"/>
  </r>
  <r>
    <n v="1426300"/>
    <s v="Royal Challengers Bengaluru"/>
    <s v="Delhi Capitals"/>
    <x v="1"/>
    <n v="2024"/>
    <d v="2024-05-12T00:00:00"/>
    <x v="5"/>
    <x v="0"/>
    <s v="Win"/>
    <s v="NA"/>
    <x v="0"/>
    <x v="59"/>
    <x v="10"/>
    <s v="Bengaluru"/>
    <s v="V Kohli, F du Plessis, WG Jacks, RM Patidar, C Green, MK Lomror, KD Karthik, Swapnil Singh, KV Sharma, Mohammed Siraj, Yash Dayal, LH Ferguson"/>
    <s v="KK Ahmed, DA Warner, J Fraser-McGurk, Abishek Porel, SD Hope, Kumar Kushagra, AR Patel, T Stubbs, Rasikh Salam, Kuldeep Yadav, Mukesh Kumar, I Sharma"/>
  </r>
  <r>
    <n v="1426299"/>
    <s v="Rajasthan Royals"/>
    <s v="Chennai Super Kings"/>
    <x v="1"/>
    <n v="2024"/>
    <d v="2024-05-12T00:00:00"/>
    <x v="7"/>
    <x v="1"/>
    <s v="Win"/>
    <s v="NA"/>
    <x v="3"/>
    <x v="60"/>
    <x v="11"/>
    <s v="Chennai"/>
    <s v="N Burger, YBK Jaiswal, JC Buttler, SV Samson, R Parag, Dhruv Jurel, SB Dubey, R Ashwin, TA Boult, Avesh Khan, Sandeep Sharma, YS Chahal"/>
    <s v="R Ravindra, RD Gaikwad, DJ Mitchell, MM Ali, S Dube, RA Jadeja, Sameer Rizvi, MS Dhoni, SN Thakur, TU Deshpande, Simarjeet Singh, M Theekshana"/>
  </r>
  <r>
    <n v="1426298"/>
    <s v="Kolkata Knight Riders"/>
    <s v="Mumbai Indians"/>
    <x v="1"/>
    <n v="2024"/>
    <d v="2024-05-11T00:00:00"/>
    <x v="1"/>
    <x v="0"/>
    <s v="Win"/>
    <s v="NA"/>
    <x v="10"/>
    <x v="61"/>
    <x v="8"/>
    <s v="Kolkata"/>
    <s v="VG Arora, PD Salt, SP Narine, VR Iyer, SS Iyer, N Rana, AD Russell, RK Singh, Ramandeep Singh, MA Starc, Harshit Rana, CV Varun"/>
    <s v="N Thushara, Ishan Kishan, RG Sharma, SA Yadav, Tilak Varma, HH Pandya, TH David, N Wadhera, Naman Dhir, A Kamboj, PP Chawla, JJ Bumrah"/>
  </r>
  <r>
    <n v="1426297"/>
    <s v="Gujarat Titans"/>
    <s v="Chennai Super Kings"/>
    <x v="1"/>
    <n v="2024"/>
    <d v="2024-05-10T00:00:00"/>
    <x v="3"/>
    <x v="0"/>
    <s v="Win"/>
    <s v="NA"/>
    <x v="8"/>
    <x v="18"/>
    <x v="0"/>
    <s v="Ahmedabad"/>
    <s v="S Sandeep Warrier, B Sai Sudharsan, Shubman Gill, DA Miller, M Shahrukh Khan, MS Wade, R Tewatia, Rashid Khan, Noor Ahmad, UT Yadav, MM Sharma, Kartik Tyagi"/>
    <s v="TU Deshpande, AM Rahane, R Ravindra, RD Gaikwad, DJ Mitchell, MM Ali, S Dube, RA Jadeja, MS Dhoni, MJ Santner, SN Thakur, Simarjeet Singh"/>
  </r>
  <r>
    <n v="1426296"/>
    <s v="Royal Challengers Bengaluru"/>
    <s v="Punjab Kings"/>
    <x v="1"/>
    <n v="2024"/>
    <d v="2024-05-09T00:00:00"/>
    <x v="0"/>
    <x v="0"/>
    <s v="Win"/>
    <s v="NA"/>
    <x v="0"/>
    <x v="31"/>
    <x v="7"/>
    <s v="Dharamsala"/>
    <s v="Yash Dayal, V Kohli, F du Plessis, WG Jacks, RM Patidar, C Green, KD Karthik, MK Lomror, Swapnil Singh, KV Sharma, Mohammed Siraj, LH Ferguson"/>
    <s v="V Kaverappa, P Simran Singh, JM Bairstow, RR Rossouw, Shashank Singh, JM Sharma, LS Livingstone, SM Curran, Ashutosh Sharma, HV Patel, RD Chahar, Arshdeep Singh"/>
  </r>
  <r>
    <n v="1426295"/>
    <s v="Lucknow Super Giants"/>
    <s v="Sunrisers Hyderabad"/>
    <x v="1"/>
    <n v="2024"/>
    <d v="2024-05-08T00:00:00"/>
    <x v="9"/>
    <x v="1"/>
    <s v="Win"/>
    <s v="NA"/>
    <x v="4"/>
    <x v="62"/>
    <x v="9"/>
    <s v="Hyderabad"/>
    <s v="KL Rahul, Q de Kock, MP Stoinis, KH Pandya, N Pooran, A Badoni, DJ Hooda, K Gowtham, Yash Thakur, Ravi Bishnoi, Naveen-ul-Haq"/>
    <s v="T Natarajan, Abhishek Sharma, TM Head, Nithish Kumar Reddy, H Klaasen, Abdul Samad, Shahbaz Ahmed, Sanvir Singh, PJ Cummins, B Kumar, JD Unadkat, V Viyaskanth"/>
  </r>
  <r>
    <n v="1426294"/>
    <s v="Delhi Capitals"/>
    <s v="Rajasthan Royals"/>
    <x v="1"/>
    <n v="2024"/>
    <d v="2024-05-07T00:00:00"/>
    <x v="7"/>
    <x v="0"/>
    <s v="Win"/>
    <s v="NA"/>
    <x v="5"/>
    <x v="63"/>
    <x v="5"/>
    <s v="Delhi"/>
    <s v="J Fraser-McGurk, Abishek Porel, SD Hope, AR Patel, RR Pant, T Stubbs, Gulbadin Naib, Rasikh Salam, Kuldeep Yadav, Mukesh Kumar, I Sharma, KK Ahmed"/>
    <s v="YS Chahal, YBK Jaiswal, JC Buttler, SV Samson, R Parag, SB Dubey, R Powell, D Ferreira, R Ashwin, TA Boult, Avesh Khan, Sandeep Sharma"/>
  </r>
  <r>
    <n v="1426293"/>
    <s v="Sunrisers Hyderabad"/>
    <s v="Mumbai Indians"/>
    <x v="1"/>
    <n v="2024"/>
    <d v="2024-05-06T00:00:00"/>
    <x v="1"/>
    <x v="0"/>
    <s v="Win"/>
    <s v="NA"/>
    <x v="2"/>
    <x v="11"/>
    <x v="6"/>
    <s v="Mumbai"/>
    <s v="TM Head, Abhishek Sharma, MA Agarwal, Nithish Kumar Reddy, H Klaasen, M Jansen, Shahbaz Ahmed, Abdul Samad, PJ Cummins, Sanvir Singh, B Kumar, T Natarajan"/>
    <s v="Ishan Kishan, RG Sharma, Naman Dhir, SA Yadav, Tilak Varma, HH Pandya, TH David, A Kamboj, PP Chawla, JJ Bumrah, N Thushara"/>
  </r>
  <r>
    <n v="1426292"/>
    <s v="Kolkata Knight Riders"/>
    <s v="Lucknow Super Giants"/>
    <x v="1"/>
    <n v="2024"/>
    <d v="2024-05-05T00:00:00"/>
    <x v="9"/>
    <x v="0"/>
    <s v="Win"/>
    <s v="NA"/>
    <x v="10"/>
    <x v="24"/>
    <x v="3"/>
    <s v="Lucknow"/>
    <s v="VG Arora, PD Salt, SP Narine, A Raghuvanshi, AD Russell, RK Singh, SS Iyer, Ramandeep Singh, VR Iyer, MA Starc, Harshit Rana, CV Varun"/>
    <s v="Yash Thakur, Mohsin Khan, KL Rahul, AA Kulkarni, MP Stoinis, DJ Hooda, N Pooran, A Badoni, AJ Turner, KH Pandya, Yudhvir Singh, Ravi Bishnoi, Naveen-ul-Haq"/>
  </r>
  <r>
    <n v="1426291"/>
    <s v="Chennai Super Kings"/>
    <s v="Punjab Kings"/>
    <x v="1"/>
    <n v="2024"/>
    <d v="2024-05-05T00:00:00"/>
    <x v="0"/>
    <x v="0"/>
    <s v="Win"/>
    <s v="NA"/>
    <x v="3"/>
    <x v="64"/>
    <x v="7"/>
    <s v="Dharamsala"/>
    <s v="Simarjeet Singh, AM Rahane, RD Gaikwad, DJ Mitchell, S Dube, MM Ali, RA Jadeja, MJ Santner, SN Thakur, MS Dhoni, TU Deshpande, RJ Gleeson"/>
    <s v="Arshdeep Singh, P Simran Singh, JM Bairstow, RR Rossouw, Shashank Singh, SM Curran, JM Sharma, Ashutosh Sharma, Harpreet Brar, HV Patel, RD Chahar, K Rabada"/>
  </r>
  <r>
    <n v="1426290"/>
    <s v="Gujarat Titans"/>
    <s v="Royal Challengers Bengaluru"/>
    <x v="1"/>
    <n v="2024"/>
    <d v="2024-05-04T00:00:00"/>
    <x v="2"/>
    <x v="0"/>
    <s v="Win"/>
    <s v="NA"/>
    <x v="0"/>
    <x v="45"/>
    <x v="10"/>
    <s v="Bengaluru"/>
    <s v="WP Saha, Shubman Gill, B Sai Sudharsan, M Shahrukh Khan, DA Miller, R Tewatia, Rashid Khan, V Shankar, MJ Suthar, MM Sharma, Noor Ahmad, J Little"/>
    <s v="Yash Dayal, V Kohli, F du Plessis, WG Jacks, RM Patidar, GJ Maxwell, C Green, KD Karthik, Swapnil Singh, KV Sharma, Mohammed Siraj, Vijaykumar Vyshak"/>
  </r>
  <r>
    <n v="1426289"/>
    <s v="Kolkata Knight Riders"/>
    <s v="Mumbai Indians"/>
    <x v="1"/>
    <n v="2024"/>
    <d v="2024-05-03T00:00:00"/>
    <x v="1"/>
    <x v="0"/>
    <s v="Win"/>
    <s v="NA"/>
    <x v="10"/>
    <x v="65"/>
    <x v="6"/>
    <s v="Mumbai"/>
    <s v="PD Salt, SP Narine, A Raghuvanshi, SS Iyer, VR Iyer, RK Singh, MK Pandey, AD Russell, Ramandeep Singh, MA Starc, VG Arora, CV Varun"/>
    <s v="N Thushara, Ishan Kishan, RG Sharma, Naman Dhir, SA Yadav, Tilak Varma, N Wadhera, HH Pandya, TH David, G Coetzee, PP Chawla, JJ Bumrah"/>
  </r>
  <r>
    <n v="1426288"/>
    <s v="Sunrisers Hyderabad"/>
    <s v="Rajasthan Royals"/>
    <x v="1"/>
    <n v="2024"/>
    <d v="2024-05-02T00:00:00"/>
    <x v="4"/>
    <x v="1"/>
    <s v="Win"/>
    <s v="NA"/>
    <x v="4"/>
    <x v="66"/>
    <x v="9"/>
    <s v="Hyderabad"/>
    <s v="JD Unadkat, TM Head, Abhishek Sharma, Anmolpreet Singh, Nithish Kumar Reddy, H Klaasen, Abdul Samad, Shahbaz Ahmed, M Jansen, PJ Cummins, B Kumar, T Natarajan"/>
    <s v="YS Chahal, YBK Jaiswal, JC Buttler, SV Samson, R Parag, SO Hetmyer, R Powell, Dhruv Jurel, R Ashwin, TA Boult, Avesh Khan, Sandeep Sharma"/>
  </r>
  <r>
    <n v="1426287"/>
    <s v="Chennai Super Kings"/>
    <s v="Punjab Kings"/>
    <x v="1"/>
    <n v="2024"/>
    <d v="2024-05-01T00:00:00"/>
    <x v="0"/>
    <x v="0"/>
    <s v="Win"/>
    <s v="NA"/>
    <x v="1"/>
    <x v="15"/>
    <x v="11"/>
    <s v="Chennai"/>
    <s v="AM Rahane, RD Gaikwad, S Dube, RA Jadeja, Sameer Rizvi, MM Ali, MS Dhoni, DJ Mitchell, DL Chahar, SN Thakur, RJ Gleeson, Mustafizur Rahman"/>
    <s v="Arshdeep Singh, P Simran Singh, JM Bairstow, RR Rossouw, Shashank Singh, SM Curran, JM Sharma, Ashutosh Sharma, Harpreet Brar, RD Chahar, HV Patel, K Rabada"/>
  </r>
  <r>
    <n v="1426286"/>
    <s v="Mumbai Indians"/>
    <s v="Lucknow Super Giants"/>
    <x v="1"/>
    <n v="2024"/>
    <d v="2024-04-30T00:00:00"/>
    <x v="9"/>
    <x v="0"/>
    <s v="Win"/>
    <s v="NA"/>
    <x v="6"/>
    <x v="67"/>
    <x v="3"/>
    <s v="Lucknow"/>
    <s v="N Thushara, Ishan Kishan, RG Sharma, SA Yadav, Tilak Varma, HH Pandya, N Wadhera, TH David, Mohammad Nabi, G Coetzee, PP Chawla, JJ Bumrah"/>
    <s v="MP Yadav, KL Rahul, AA Kulkarni, MP Stoinis, DJ Hooda, N Pooran, AJ Turner, A Badoni, KH Pandya, Ravi Bishnoi, Naveen-ul-Haq, Mohsin Khan"/>
  </r>
  <r>
    <n v="1426285"/>
    <s v="Delhi Capitals"/>
    <s v="Kolkata Knight Riders"/>
    <x v="1"/>
    <n v="2024"/>
    <d v="2024-04-29T00:00:00"/>
    <x v="5"/>
    <x v="1"/>
    <s v="Win"/>
    <s v="NA"/>
    <x v="10"/>
    <x v="61"/>
    <x v="8"/>
    <s v="Kolkata"/>
    <s v="PP Shaw, J Fraser-McGurk, Abishek Porel, SD Hope, RR Pant, AR Patel, T Stubbs, Kumar Kushagra, Kuldeep Yadav, Rasikh Salam, LB Williams, KK Ahmed"/>
    <s v="CV Varun, PD Salt, SP Narine, RK Singh, SS Iyer, VR Iyer, AD Russell, Ramandeep Singh, MA Starc, VG Arora, Harshit Rana, A Raghuvanshi"/>
  </r>
  <r>
    <n v="1426283"/>
    <s v="Gujarat Titans"/>
    <s v="Royal Challengers Bengaluru"/>
    <x v="1"/>
    <n v="2024"/>
    <d v="2024-04-28T00:00:00"/>
    <x v="2"/>
    <x v="0"/>
    <s v="Win"/>
    <s v="NA"/>
    <x v="0"/>
    <x v="26"/>
    <x v="0"/>
    <s v="Ahmedabad"/>
    <s v="S Sandeep Warrier, WP Saha, Shubman Gill, B Sai Sudharsan, M Shahrukh Khan, DA Miller, Azmatullah Omarzai, R Tewatia, Rashid Khan, R Sai Kishore, MM Sharma, Noor Ahmad"/>
    <s v="V Kohli, F du Plessis, WG Jacks, RM Patidar, GJ Maxwell, C Green, KD Karthik, KV Sharma, Mohammed Siraj, Yash Dayal, Swapnil Singh"/>
  </r>
  <r>
    <n v="1426284"/>
    <s v="Chennai Super Kings"/>
    <s v="Sunrisers Hyderabad"/>
    <x v="1"/>
    <n v="2024"/>
    <d v="2024-04-28T00:00:00"/>
    <x v="4"/>
    <x v="0"/>
    <s v="Win"/>
    <s v="NA"/>
    <x v="3"/>
    <x v="68"/>
    <x v="11"/>
    <s v="Chennai"/>
    <s v="SN Thakur, AM Rahane, RD Gaikwad, DJ Mitchell, S Dube, MS Dhoni, MM Ali, RA Jadeja, DL Chahar, TU Deshpande, Mustafizur Rahman, M Pathirana"/>
    <s v="T Natarajan, TM Head, Abhishek Sharma, Anmolpreet Singh, AK Markram, Nithish Kumar Reddy, H Klaasen, Abdul Samad, Shahbaz Ahmed, PJ Cummins, B Kumar, JD Unadkat"/>
  </r>
  <r>
    <n v="1426281"/>
    <s v="Delhi Capitals"/>
    <s v="Mumbai Indians"/>
    <x v="1"/>
    <n v="2024"/>
    <d v="2024-04-27T00:00:00"/>
    <x v="1"/>
    <x v="0"/>
    <s v="Win"/>
    <s v="NA"/>
    <x v="5"/>
    <x v="69"/>
    <x v="5"/>
    <s v="Delhi"/>
    <s v="Rasikh Salam, J Fraser-McGurk, Abishek Porel, SD Hope, RR Pant, T Stubbs, AR Patel, Kumar Kushagra, Kuldeep Yadav, LB Williams, KK Ahmed, Mukesh Kumar"/>
    <s v="N Thushara, Ishan Kishan, RG Sharma, SA Yadav, Tilak Varma, HH Pandya, N Wadhera, TH David, Mohammad Nabi, PP Chawla, L Wood, JJ Bumrah"/>
  </r>
  <r>
    <n v="1426282"/>
    <s v="Lucknow Super Giants"/>
    <s v="Rajasthan Royals"/>
    <x v="1"/>
    <n v="2024"/>
    <d v="2024-04-27T00:00:00"/>
    <x v="7"/>
    <x v="0"/>
    <s v="Win"/>
    <s v="NA"/>
    <x v="7"/>
    <x v="70"/>
    <x v="3"/>
    <s v="Lucknow"/>
    <s v="A Mishra, Q de Kock, KL Rahul, MP Stoinis, DJ Hooda, N Pooran, A Badoni, KH Pandya, MJ Henry, Ravi Bishnoi, Mohsin Khan, Yash Thakur"/>
    <s v="YS Chahal, YBK Jaiswal, JC Buttler, SV Samson, R Parag, Dhruv Jurel, R Powell, SO Hetmyer, R Ashwin, TA Boult, Avesh Khan, Sandeep Sharma"/>
  </r>
  <r>
    <n v="1426280"/>
    <s v="Kolkata Knight Riders"/>
    <s v="Punjab Kings"/>
    <x v="1"/>
    <n v="2024"/>
    <d v="2024-04-26T00:00:00"/>
    <x v="0"/>
    <x v="0"/>
    <s v="Win"/>
    <s v="NA"/>
    <x v="1"/>
    <x v="71"/>
    <x v="8"/>
    <s v="Kolkata"/>
    <s v="AS Roy, PD Salt, SP Narine, VR Iyer, AD Russell, SS Iyer, RK Singh, Ramandeep Singh, A Raghuvanshi, CV Varun, Harshit Rana, PVD Chameera"/>
    <s v="Arshdeep Singh, P Simran Singh, JM Bairstow, RR Rossouw, Shashank Singh, SM Curran, JM Sharma, Ashutosh Sharma, Harpreet Brar, HV Patel, K Rabada, RD Chahar"/>
  </r>
  <r>
    <n v="1426279"/>
    <s v="Royal Challengers Bengaluru"/>
    <s v="Sunrisers Hyderabad"/>
    <x v="1"/>
    <n v="2024"/>
    <d v="2024-04-25T00:00:00"/>
    <x v="2"/>
    <x v="1"/>
    <s v="Win"/>
    <s v="NA"/>
    <x v="0"/>
    <x v="44"/>
    <x v="9"/>
    <s v="Hyderabad"/>
    <s v="V Kohli, F du Plessis, WG Jacks, RM Patidar, C Green, MK Lomror, KD Karthik, Swapnil Singh, KV Sharma, LH Ferguson, Yash Dayal, Mohammed Siraj"/>
    <s v="T Natarajan, Abhishek Sharma, TM Head, AK Markram, Nithish Kumar Reddy, H Klaasen, Shahbaz Ahmed, Abdul Samad, PJ Cummins, B Kumar, JD Unadkat, M Markande"/>
  </r>
  <r>
    <n v="1426278"/>
    <s v="Delhi Capitals"/>
    <s v="Gujarat Titans"/>
    <x v="1"/>
    <n v="2024"/>
    <d v="2024-04-24T00:00:00"/>
    <x v="6"/>
    <x v="0"/>
    <s v="Win"/>
    <s v="NA"/>
    <x v="5"/>
    <x v="72"/>
    <x v="5"/>
    <s v="Delhi"/>
    <s v="Rasikh Salam, PP Shaw, J Fraser-McGurk, AR Patel, SD Hope, RR Pant, T Stubbs, Abishek Porel, Kuldeep Yadav, A Nortje, KK Ahmed, Mukesh Kumar"/>
    <s v="S Sandeep Warrier, WP Saha, Shubman Gill, B Sai Sudharsan, Azmatullah Omarzai, DA Miller, M Shahrukh Khan, R Tewatia, Rashid Khan, R Sai Kishore, MM Sharma, Noor Ahmad"/>
  </r>
  <r>
    <n v="1426277"/>
    <s v="Chennai Super Kings"/>
    <s v="Lucknow Super Giants"/>
    <x v="1"/>
    <n v="2024"/>
    <d v="2024-04-23T00:00:00"/>
    <x v="9"/>
    <x v="0"/>
    <s v="Win"/>
    <s v="NA"/>
    <x v="6"/>
    <x v="67"/>
    <x v="11"/>
    <s v="Chennai"/>
    <s v="SN Thakur, AM Rahane, RD Gaikwad, DJ Mitchell, RA Jadeja, S Dube, MS Dhoni, MM Ali, DL Chahar, TU Deshpande, Mustafizur Rahman, M Pathirana"/>
    <s v="Yash Thakur, Q de Kock, KL Rahul, MP Stoinis, D Padikkal, N Pooran, DJ Hooda, A Badoni, KH Pandya, MJ Henry, Ravi Bishnoi, Mohsin Khan"/>
  </r>
  <r>
    <n v="1426276"/>
    <s v="Mumbai Indians"/>
    <s v="Rajasthan Royals"/>
    <x v="1"/>
    <n v="2024"/>
    <d v="2024-04-22T00:00:00"/>
    <x v="1"/>
    <x v="1"/>
    <s v="Win"/>
    <s v="NA"/>
    <x v="7"/>
    <x v="73"/>
    <x v="4"/>
    <s v="Jaipur"/>
    <s v="N Thushara, RG Sharma, Ishan Kishan, SA Yadav, Tilak Varma, Mohammad Nabi, N Wadhera, HH Pandya, TH David, G Coetzee, PP Chawla, JJ Bumrah"/>
    <s v="YS Chahal, YBK Jaiswal, JC Buttler, SV Samson, R Powell, R Parag, SO Hetmyer, Dhruv Jurel, R Ashwin, TA Boult, Avesh Khan, Sandeep Sharma"/>
  </r>
  <r>
    <n v="1426275"/>
    <s v="Punjab Kings"/>
    <s v="Gujarat Titans"/>
    <x v="1"/>
    <n v="2024"/>
    <d v="2024-04-21T00:00:00"/>
    <x v="0"/>
    <x v="1"/>
    <s v="Win"/>
    <s v="NA"/>
    <x v="8"/>
    <x v="74"/>
    <x v="2"/>
    <s v="Mohali"/>
    <s v="SM Curran, P Simran Singh, RR Rossouw, JM Sharma, LS Livingstone, Shashank Singh, Ashutosh Sharma, Harpreet Singh, Harpreet Brar, HV Patel, K Rabada, Arshdeep Singh"/>
    <s v="S Sandeep Warrier, WP Saha, Shubman Gill, B Sai Sudharsan, DA Miller, Azmatullah Omarzai, R Tewatia, M Shahrukh Khan, Rashid Khan, R Sai Kishore, Noor Ahmad, MM Sharma"/>
  </r>
  <r>
    <n v="1426274"/>
    <s v="Kolkata Knight Riders"/>
    <s v="Royal Challengers Bengaluru"/>
    <x v="1"/>
    <n v="2024"/>
    <d v="2024-04-21T00:00:00"/>
    <x v="2"/>
    <x v="0"/>
    <s v="Win"/>
    <s v="NA"/>
    <x v="10"/>
    <x v="20"/>
    <x v="8"/>
    <s v="Kolkata"/>
    <s v="Suyash Sharma, PD Salt, SP Narine, A Raghuvanshi, VR Iyer, SS Iyer, RK Singh, AD Russell, Ramandeep Singh, MA Starc, CV Varun, Harshit Rana"/>
    <s v="Yash Dayal, V Kohli, F du Plessis, WG Jacks, RM Patidar, C Green, SS Prabhudessai, MK Lomror, KD Karthik, KV Sharma, Mohammed Siraj, LH Ferguson"/>
  </r>
  <r>
    <n v="1426273"/>
    <s v="Sunrisers Hyderabad"/>
    <s v="Delhi Capitals"/>
    <x v="1"/>
    <n v="2024"/>
    <d v="2024-04-20T00:00:00"/>
    <x v="5"/>
    <x v="0"/>
    <s v="Win"/>
    <s v="NA"/>
    <x v="4"/>
    <x v="62"/>
    <x v="5"/>
    <s v="Delhi"/>
    <s v="TM Head, Abhishek Sharma, AK Markram, H Klaasen, Nithish Kumar Reddy, Shahbaz Ahmed, Abdul Samad, PJ Cummins, Washington Sundar, B Kumar, T Natarajan, M Markande"/>
    <s v="KK Ahmed, PP Shaw, DA Warner, J Fraser-McGurk, Abishek Porel, T Stubbs, RR Pant, Lalit Yadav, AR Patel, A Nortje, Kuldeep Yadav, Mukesh Kumar"/>
  </r>
  <r>
    <n v="1426272"/>
    <s v="Chennai Super Kings"/>
    <s v="Lucknow Super Giants"/>
    <x v="1"/>
    <n v="2024"/>
    <d v="2024-04-19T00:00:00"/>
    <x v="9"/>
    <x v="0"/>
    <s v="Win"/>
    <s v="NA"/>
    <x v="6"/>
    <x v="41"/>
    <x v="3"/>
    <s v="Lucknow"/>
    <s v="AM Rahane, R Ravindra, RD Gaikwad, RA Jadeja, S Dube, Sameer Rizvi, MM Ali, MS Dhoni, DL Chahar, TU Deshpande, Mustafizur Rahman, M Pathirana"/>
    <s v="Q de Kock, KL Rahul, N Pooran, MP Stoinis, DJ Hooda, A Badoni, KH Pandya, MJ Henry, Ravi Bishnoi, Mohsin Khan, Yash Thakur"/>
  </r>
  <r>
    <n v="1426271"/>
    <s v="Mumbai Indians"/>
    <s v="Punjab Kings"/>
    <x v="1"/>
    <n v="2024"/>
    <d v="2024-04-18T00:00:00"/>
    <x v="0"/>
    <x v="0"/>
    <s v="Win"/>
    <s v="NA"/>
    <x v="2"/>
    <x v="75"/>
    <x v="2"/>
    <s v="Mohali"/>
    <s v="Akash Madhwal, Ishan Kishan, RG Sharma, SA Yadav, Tilak Varma, HH Pandya, TH David, R Shepherd, Mohammad Nabi, G Coetzee, S Gopal, JJ Bumrah"/>
    <s v="Arshdeep Singh, SM Curran, P Simran Singh, RR Rossouw, LS Livingstone, Harpreet Singh, Shashank Singh, JM Sharma, Ashutosh Sharma, Harpreet Brar, HV Patel, K Rabada"/>
  </r>
  <r>
    <n v="1426270"/>
    <s v="Gujarat Titans"/>
    <s v="Delhi Capitals"/>
    <x v="1"/>
    <n v="2024"/>
    <d v="2024-04-17T00:00:00"/>
    <x v="5"/>
    <x v="0"/>
    <s v="Win"/>
    <s v="NA"/>
    <x v="5"/>
    <x v="72"/>
    <x v="0"/>
    <s v="Ahmedabad"/>
    <s v="WP Saha, Shubman Gill, B Sai Sudharsan, DA Miller, A Manohar, R Tewatia, M Shahrukh Khan, Rashid Khan, MM Sharma, Noor Ahmad, SH Johnson, S Sandeep Warrier"/>
    <s v="KK Ahmed, PP Shaw, J Fraser-McGurk, Abishek Porel, SD Hope, RR Pant, Sumit Kumar, T Stubbs, AR Patel, Kuldeep Yadav, I Sharma, Mukesh Kumar"/>
  </r>
  <r>
    <n v="1426269"/>
    <s v="Kolkata Knight Riders"/>
    <s v="Rajasthan Royals"/>
    <x v="1"/>
    <n v="2024"/>
    <d v="2024-04-16T00:00:00"/>
    <x v="7"/>
    <x v="0"/>
    <s v="Win"/>
    <s v="NA"/>
    <x v="7"/>
    <x v="33"/>
    <x v="8"/>
    <s v="Kolkata"/>
    <s v="VG Arora, PD Salt, SP Narine, A Raghuvanshi, SS Iyer, AD Russell, RK Singh, VR Iyer, Ramandeep Singh, MA Starc, CV Varun, Harshit Rana"/>
    <s v="KR Sen, YBK Jaiswal, JC Buttler, SV Samson, R Parag, Dhruv Jurel, R Ashwin, SO Hetmyer, R Powell, TA Boult, Avesh Khan, YS Chahal"/>
  </r>
  <r>
    <n v="1426268"/>
    <s v="Sunrisers Hyderabad"/>
    <s v="Royal Challengers Bengaluru"/>
    <x v="1"/>
    <n v="2024"/>
    <d v="2024-04-15T00:00:00"/>
    <x v="2"/>
    <x v="0"/>
    <s v="Win"/>
    <s v="NA"/>
    <x v="4"/>
    <x v="62"/>
    <x v="10"/>
    <s v="Bengaluru"/>
    <s v="M Markande, Abhishek Sharma, TM Head, H Klaasen, AK Markram, Abdul Samad, Shahbaz Ahmed, PJ Cummins, B Kumar, JD Unadkat, T Natarajan, Nithish Kumar Reddy"/>
    <s v="Yash Dayal, V Kohli, F du Plessis, WG Jacks, RM Patidar, Saurav Chauhan, KD Karthik, MK Lomror, Anuj Rawat, Vijaykumar Vyshak, RJW Topley, LH Ferguson"/>
  </r>
  <r>
    <n v="1426266"/>
    <s v="Lucknow Super Giants"/>
    <s v="Kolkata Knight Riders"/>
    <x v="1"/>
    <n v="2024"/>
    <d v="2024-04-14T00:00:00"/>
    <x v="8"/>
    <x v="0"/>
    <s v="Win"/>
    <s v="NA"/>
    <x v="10"/>
    <x v="39"/>
    <x v="8"/>
    <s v="Kolkata"/>
    <s v="Q de Kock, KL Rahul, DJ Hooda, A Badoni, MP Stoinis, N Pooran, KH Pandya, Arshad Khan (2), Mohsin Khan, Ravi Bishnoi, S Joseph, Yash Thakur"/>
    <s v="CV Varun, PD Salt, SP Narine, A Raghuvanshi, SS Iyer, VR Iyer, AD Russell, Ramandeep Singh, MA Starc, VG Arora, Harshit Rana, RK Singh"/>
  </r>
  <r>
    <n v="1426267"/>
    <s v="Chennai Super Kings"/>
    <s v="Mumbai Indians"/>
    <x v="1"/>
    <n v="2024"/>
    <d v="2024-04-14T00:00:00"/>
    <x v="1"/>
    <x v="0"/>
    <s v="Win"/>
    <s v="NA"/>
    <x v="3"/>
    <x v="76"/>
    <x v="6"/>
    <s v="Mumbai"/>
    <s v="AM Rahane, R Ravindra, RD Gaikwad, S Dube, DJ Mitchell, MS Dhoni, RA Jadeja, Sameer Rizvi, SN Thakur, TU Deshpande, Mustafizur Rahman, M Pathirana"/>
    <s v="Akash Madhwal, RG Sharma, Ishan Kishan, SA Yadav, Tilak Varma, HH Pandya, TH David, R Shepherd, Mohammad Nabi, S Gopal, JJ Bumrah, G Coetzee"/>
  </r>
  <r>
    <n v="1426265"/>
    <s v="Punjab Kings"/>
    <s v="Rajasthan Royals"/>
    <x v="1"/>
    <n v="2024"/>
    <d v="2024-04-13T00:00:00"/>
    <x v="7"/>
    <x v="0"/>
    <s v="Win"/>
    <s v="NA"/>
    <x v="7"/>
    <x v="77"/>
    <x v="2"/>
    <s v="Mohali"/>
    <s v="Atharva Taide, JM Bairstow, P Simran Singh, SM Curran, JM Sharma, Shashank Singh, LS Livingstone, Ashutosh Sharma, Harpreet Brar, HV Patel, K Rabada, Arshdeep Singh"/>
    <s v="KR Sen, YBK Jaiswal, Tanush Kotian, SV Samson, R Parag, Dhruv Jurel, SO Hetmyer, R Powell, KA Maharaj, TA Boult, Avesh Khan, YS Chahal"/>
  </r>
  <r>
    <n v="1426264"/>
    <s v="Lucknow Super Giants"/>
    <s v="Delhi Capitals"/>
    <x v="1"/>
    <n v="2024"/>
    <d v="2024-04-12T00:00:00"/>
    <x v="9"/>
    <x v="1"/>
    <s v="Win"/>
    <s v="NA"/>
    <x v="5"/>
    <x v="63"/>
    <x v="3"/>
    <s v="Lucknow"/>
    <s v="Q de Kock, KL Rahul, D Padikkal, MP Stoinis, N Pooran, DJ Hooda, A Badoni, KH Pandya, Arshad Khan, Ravi Bishnoi, Naveen-ul-Haq, Yash Thakur"/>
    <s v="KK Ahmed, PP Shaw, DA Warner, J Fraser-McGurk, RR Pant, T Stubbs, SD Hope, AR Patel, Kuldeep Yadav, Mukesh Kumar, I Sharma, Abishek Porel"/>
  </r>
  <r>
    <n v="1426263"/>
    <s v="Royal Challengers Bengaluru"/>
    <s v="Mumbai Indians"/>
    <x v="1"/>
    <n v="2024"/>
    <d v="2024-04-11T00:00:00"/>
    <x v="1"/>
    <x v="0"/>
    <s v="Win"/>
    <s v="NA"/>
    <x v="2"/>
    <x v="75"/>
    <x v="6"/>
    <s v="Mumbai"/>
    <s v="V Kohli, F du Plessis, WG Jacks, RM Patidar, GJ Maxwell, KD Karthik, MK Lomror, Saurav Chauhan, Vijaykumar Vyshak, Akash Deep, RJW Topley, Mohammed Siraj"/>
    <s v="Akash Madhwal, Ishan Kishan, RG Sharma, SA Yadav, HH Pandya, Tilak Varma, TH David, Mohammad Nabi, R Shepherd, S Gopal, JJ Bumrah, G Coetzee"/>
  </r>
  <r>
    <n v="1426262"/>
    <s v="Rajasthan Royals"/>
    <s v="Gujarat Titans"/>
    <x v="1"/>
    <n v="2024"/>
    <d v="2024-04-10T00:00:00"/>
    <x v="6"/>
    <x v="0"/>
    <s v="Win"/>
    <s v="NA"/>
    <x v="8"/>
    <x v="78"/>
    <x v="4"/>
    <s v="Jaipur"/>
    <s v="KA Maharaj, YBK Jaiswal, JC Buttler, SV Samson, R Parag, SO Hetmyer, Dhruv Jurel, R Ashwin, TA Boult, Avesh Khan, KR Sen, YS Chahal"/>
    <s v="MM Sharma, B Sai Sudharsan, Shubman Gill, MS Wade, A Manohar, V Shankar, R Tewatia, M Shahrukh Khan, Rashid Khan, Noor Ahmad, UT Yadav, SH Johnson"/>
  </r>
  <r>
    <n v="1426261"/>
    <s v="Sunrisers Hyderabad"/>
    <s v="Punjab Kings"/>
    <x v="1"/>
    <n v="2024"/>
    <d v="2024-04-09T00:00:00"/>
    <x v="0"/>
    <x v="0"/>
    <s v="Win"/>
    <s v="NA"/>
    <x v="4"/>
    <x v="79"/>
    <x v="2"/>
    <s v="Mohali"/>
    <s v="TM Head, Abhishek Sharma, AK Markram, Nithish Kumar Reddy, RA Tripathi, H Klaasen, Abdul Samad, Shahbaz Ahmed, PJ Cummins, B Kumar, JD Unadkat, T Natarajan"/>
    <s v="Arshdeep Singh, S Dhawan, JM Bairstow, P Simran Singh, SM Curran, Sikandar Raza, Shashank Singh, JM Sharma, Ashutosh Sharma, Harpreet Brar, HV Patel, K Rabada"/>
  </r>
  <r>
    <n v="1426260"/>
    <s v="Kolkata Knight Riders"/>
    <s v="Chennai Super Kings"/>
    <x v="1"/>
    <n v="2024"/>
    <d v="2024-04-08T00:00:00"/>
    <x v="3"/>
    <x v="0"/>
    <s v="Win"/>
    <s v="NA"/>
    <x v="3"/>
    <x v="64"/>
    <x v="11"/>
    <s v="Chennai"/>
    <s v="PD Salt, SP Narine, A Raghuvanshi, SS Iyer, VR Iyer, Ramandeep Singh, RK Singh, AD Russell, AS Roy, MA Starc, VG Arora, CV Varun"/>
    <s v="Mustafizur Rahman, R Ravindra, RD Gaikwad, DJ Mitchell, S Dube, MS Dhoni, AM Rahane, Sameer Rizvi, RA Jadeja, SN Thakur, TU Deshpande, M Theekshana"/>
  </r>
  <r>
    <n v="1422138"/>
    <s v="Mumbai Indians"/>
    <s v="Delhi Capitals"/>
    <x v="1"/>
    <n v="2024"/>
    <d v="2024-04-07T00:00:00"/>
    <x v="5"/>
    <x v="0"/>
    <s v="Win"/>
    <s v="NA"/>
    <x v="2"/>
    <x v="21"/>
    <x v="6"/>
    <s v="Mumbai"/>
    <s v="Akash Madhwal, RG Sharma, Ishan Kishan, SA Yadav, HH Pandya, Tilak Varma, TH David, R Shepherd, Mohammad Nabi, G Coetzee, PP Chawla, JJ Bumrah"/>
    <s v="KK Ahmed, PP Shaw, DA Warner, Abishek Porel, T Stubbs, RR Pant, AR Patel, Lalit Yadav, Kumar Kushagra, JA Richardson, A Nortje, I Sharma"/>
  </r>
  <r>
    <n v="1422139"/>
    <s v="Lucknow Super Giants"/>
    <s v="Gujarat Titans"/>
    <x v="1"/>
    <n v="2024"/>
    <d v="2024-04-07T00:00:00"/>
    <x v="9"/>
    <x v="1"/>
    <s v="Win"/>
    <s v="NA"/>
    <x v="6"/>
    <x v="80"/>
    <x v="3"/>
    <s v="Lucknow"/>
    <s v="M Siddharth, Q de Kock, KL Rahul, D Padikkal, MP Stoinis, N Pooran, A Badoni, KH Pandya, Ravi Bishnoi, Naveen-ul-Haq, Yash Thakur, MP Yadav"/>
    <s v="MM Sharma, B Sai Sudharsan, Shubman Gill, KS Williamson, BR Sharath, V Shankar, DG Nalkande, R Tewatia, Rashid Khan, UT Yadav, SH Johnson, Noor Ahmad"/>
  </r>
  <r>
    <n v="1422137"/>
    <s v="Royal Challengers Bengaluru"/>
    <s v="Rajasthan Royals"/>
    <x v="1"/>
    <n v="2024"/>
    <d v="2024-04-06T00:00:00"/>
    <x v="7"/>
    <x v="0"/>
    <s v="Win"/>
    <s v="NA"/>
    <x v="7"/>
    <x v="33"/>
    <x v="4"/>
    <s v="Jaipur"/>
    <s v="H Sharma, V Kohli, F du Plessis, GJ Maxwell, Saurav Chauhan, C Green, RM Patidar, KD Karthik, RJW Topley, Mayank Dagar, Mohammed Siraj, Yash Dayal"/>
    <s v="YS Chahal, YBK Jaiswal, JC Buttler, SV Samson, R Parag, Dhruv Jurel, SO Hetmyer, R Ashwin, TA Boult, Avesh Khan, N Burger, SB Dubey"/>
  </r>
  <r>
    <n v="1422136"/>
    <s v="Chennai Super Kings"/>
    <s v="Sunrisers Hyderabad"/>
    <x v="1"/>
    <n v="2024"/>
    <d v="2024-04-05T00:00:00"/>
    <x v="4"/>
    <x v="0"/>
    <s v="Win"/>
    <s v="NA"/>
    <x v="4"/>
    <x v="13"/>
    <x v="9"/>
    <s v="Hyderabad"/>
    <s v="Mukesh Choudhary, R Ravindra, RD Gaikwad, AM Rahane, S Dube, RA Jadeja, DJ Mitchell, MS Dhoni, MM Ali, DL Chahar, TU Deshpande, M Theekshana"/>
    <s v="T Natarajan, TM Head, Abhishek Sharma, AK Markram, Shahbaz Ahmed, H Klaasen, Nithish Kumar Reddy, Abdul Samad, PJ Cummins, B Kumar, M Markande, JD Unadkat"/>
  </r>
  <r>
    <n v="1422135"/>
    <s v="Gujarat Titans"/>
    <s v="Punjab Kings"/>
    <x v="1"/>
    <n v="2024"/>
    <d v="2024-04-04T00:00:00"/>
    <x v="0"/>
    <x v="0"/>
    <s v="Win"/>
    <s v="NA"/>
    <x v="1"/>
    <x v="81"/>
    <x v="0"/>
    <s v="Ahmedabad"/>
    <s v="MM Sharma, WP Saha, Shubman Gill, KS Williamson, B Sai Sudharsan, V Shankar, R Tewatia, Azmatullah Omarzai, Rashid Khan, Noor Ahmad, UT Yadav, DG Nalkande"/>
    <s v="Arshdeep Singh, S Dhawan, JM Bairstow, P Simran Singh, SM Curran, Sikandar Raza, Shashank Singh, JM Sharma, Ashutosh Sharma, Harpreet Brar, HV Patel, K Rabada"/>
  </r>
  <r>
    <n v="1422134"/>
    <s v="Kolkata Knight Riders"/>
    <s v="Delhi Capitals"/>
    <x v="1"/>
    <n v="2024"/>
    <d v="2024-04-03T00:00:00"/>
    <x v="8"/>
    <x v="1"/>
    <s v="Win"/>
    <s v="NA"/>
    <x v="10"/>
    <x v="24"/>
    <x v="12"/>
    <s v="Visakhapatnam"/>
    <s v="VG Arora, PD Salt, SP Narine, A Raghuvanshi, AD Russell, SS Iyer, RK Singh, VR Iyer, Ramandeep Singh, MA Starc, Harshit Rana, CV Varun"/>
    <s v="KK Ahmed, DA Warner, PP Shaw, MR Marsh, Abishek Porel, RR Pant, T Stubbs, AR Patel, Sumit Kumar, Rasikh Salam, A Nortje, I Sharma"/>
  </r>
  <r>
    <n v="1422133"/>
    <s v="Lucknow Super Giants"/>
    <s v="Royal Challengers Bengaluru"/>
    <x v="1"/>
    <n v="2024"/>
    <d v="2024-04-02T00:00:00"/>
    <x v="2"/>
    <x v="0"/>
    <s v="Win"/>
    <s v="NA"/>
    <x v="6"/>
    <x v="82"/>
    <x v="10"/>
    <s v="Bengaluru"/>
    <s v="M Siddharth, Q de Kock, KL Rahul, D Padikkal, MP Stoinis, N Pooran, A Badoni, KH Pandya, Ravi Bishnoi, Yash Thakur, Naveen-ul-Haq, MP Yadav"/>
    <s v="Yash Dayal, V Kohli, F du Plessis, RM Patidar, GJ Maxwell, C Green, Anuj Rawat, MK Lomror, KD Karthik, Mayank Dagar, RJW Topley, Mohammed Siraj"/>
  </r>
  <r>
    <n v="1422132"/>
    <s v="Mumbai Indians"/>
    <s v="Rajasthan Royals"/>
    <x v="1"/>
    <n v="2024"/>
    <d v="2024-04-01T00:00:00"/>
    <x v="7"/>
    <x v="0"/>
    <s v="Win"/>
    <s v="NA"/>
    <x v="7"/>
    <x v="29"/>
    <x v="6"/>
    <s v="Mumbai"/>
    <s v="Ishan Kishan, RG Sharma, Naman Dhir, D Brevis, Tilak Varma, HH Pandya, PP Chawla, TH David, G Coetzee, JJ Bumrah, Akash Madhwal, KT Maphaka"/>
    <s v="YS Chahal, YBK Jaiswal, JC Buttler, SV Samson, R Parag, R Ashwin, SB Dubey, Dhruv Jurel, SO Hetmyer, TA Boult, Avesh Khan, N Burger"/>
  </r>
  <r>
    <n v="1422130"/>
    <s v="Sunrisers Hyderabad"/>
    <s v="Gujarat Titans"/>
    <x v="1"/>
    <n v="2024"/>
    <d v="2024-03-31T00:00:00"/>
    <x v="4"/>
    <x v="1"/>
    <s v="Win"/>
    <s v="NA"/>
    <x v="8"/>
    <x v="83"/>
    <x v="0"/>
    <s v="Ahmedabad"/>
    <s v="TM Head, MA Agarwal, Abhishek Sharma, AK Markram, H Klaasen, Shahbaz Ahmed, Abdul Samad, Washington Sundar, PJ Cummins, B Kumar, M Markande, JD Unadkat"/>
    <s v="MM Sharma, WP Saha, Shubman Gill, B Sai Sudharsan, DA Miller, V Shankar, Azmatullah Omarzai, R Tewatia, Rashid Khan, UT Yadav, Noor Ahmad, DG Nalkande"/>
  </r>
  <r>
    <n v="1422131"/>
    <s v="Delhi Capitals"/>
    <s v="Chennai Super Kings"/>
    <x v="1"/>
    <n v="2024"/>
    <d v="2024-03-31T00:00:00"/>
    <x v="5"/>
    <x v="1"/>
    <s v="Win"/>
    <s v="NA"/>
    <x v="5"/>
    <x v="84"/>
    <x v="12"/>
    <s v="Visakhapatnam"/>
    <s v="Rasikh Salam, PP Shaw, DA Warner, RR Pant, MR Marsh, T Stubbs, AR Patel, Abishek Porel, A Nortje, Mukesh Kumar, I Sharma, KK Ahmed"/>
    <s v="M Pathirana, RD Gaikwad, R Ravindra, AM Rahane, DJ Mitchell, S Dube, Sameer Rizvi, RA Jadeja, MS Dhoni, DL Chahar, TU Deshpande, Mustafizur Rahman"/>
  </r>
  <r>
    <n v="1422129"/>
    <s v="Lucknow Super Giants"/>
    <s v="Punjab Kings"/>
    <x v="1"/>
    <n v="2024"/>
    <d v="2024-03-30T00:00:00"/>
    <x v="9"/>
    <x v="1"/>
    <s v="Win"/>
    <s v="NA"/>
    <x v="6"/>
    <x v="82"/>
    <x v="3"/>
    <s v="Lucknow"/>
    <s v="Q de Kock, KL Rahul, D Padikkal, MP Stoinis, N Pooran, A Badoni, KH Pandya, Ravi Bishnoi, Mohsin Khan, Naveen-ul-Haq, MP Yadav, M Siddharth"/>
    <s v="Arshdeep Singh, S Dhawan, JM Bairstow, P Simran Singh, JM Sharma, LS Livingstone, SM Curran, Shashank Singh, Harpreet Brar, HV Patel, K Rabada, RD Chahar"/>
  </r>
  <r>
    <n v="1422128"/>
    <s v="Royal Challengers Bengaluru"/>
    <s v="Kolkata Knight Riders"/>
    <x v="1"/>
    <n v="2024"/>
    <d v="2024-03-29T00:00:00"/>
    <x v="8"/>
    <x v="0"/>
    <s v="Win"/>
    <s v="NA"/>
    <x v="10"/>
    <x v="24"/>
    <x v="10"/>
    <s v="Bengaluru"/>
    <s v="Vijaykumar Vyshak, V Kohli, F du Plessis, C Green, GJ Maxwell, RM Patidar, Anuj Rawat, KD Karthik, AS Joseph, Mayank Dagar, Mohammed Siraj, Yash Dayal"/>
    <s v="CV Varun, PD Salt, SP Narine, VR Iyer, SS Iyer, RK Singh, AD Russell, Ramandeep Singh, MA Starc, AS Roy, Harshit Rana, A Raghuvanshi"/>
  </r>
  <r>
    <n v="1422127"/>
    <s v="Rajasthan Royals"/>
    <s v="Delhi Capitals"/>
    <x v="1"/>
    <n v="2024"/>
    <d v="2024-03-28T00:00:00"/>
    <x v="5"/>
    <x v="0"/>
    <s v="Win"/>
    <s v="NA"/>
    <x v="7"/>
    <x v="85"/>
    <x v="4"/>
    <s v="Jaipur"/>
    <s v="N Burger, YBK Jaiswal, JC Buttler, SV Samson, R Parag, R Ashwin, Dhruv Jurel, SO Hetmyer, TA Boult, Avesh Khan, Sandeep Sharma, YS Chahal"/>
    <s v="KK Ahmed, DA Warner, MR Marsh, RK Bhui, RR Pant, T Stubbs, Abishek Porel, AR Patel, Sumit Kumar, Kuldeep Yadav, A Nortje, Mukesh Kumar"/>
  </r>
  <r>
    <n v="1422126"/>
    <s v="Sunrisers Hyderabad"/>
    <s v="Mumbai Indians"/>
    <x v="1"/>
    <n v="2024"/>
    <d v="2024-03-27T00:00:00"/>
    <x v="1"/>
    <x v="0"/>
    <s v="Win"/>
    <s v="NA"/>
    <x v="4"/>
    <x v="13"/>
    <x v="9"/>
    <s v="Hyderabad"/>
    <s v="Umran Malik, MA Agarwal, TM Head, Abhishek Sharma, AK Markram, H Klaasen, Abdul Samad, Shahbaz Ahmed, PJ Cummins, B Kumar, M Markande, JD Unadkat"/>
    <s v="KT Maphaka, RG Sharma, Ishan Kishan, Naman Dhir, Tilak Varma, HH Pandya, TH David, R Shepherd, G Coetzee, JJ Bumrah, PP Chawla, SZ Mulani"/>
  </r>
  <r>
    <n v="1422125"/>
    <s v="Chennai Super Kings"/>
    <s v="Gujarat Titans"/>
    <x v="1"/>
    <n v="2024"/>
    <d v="2024-03-26T00:00:00"/>
    <x v="6"/>
    <x v="0"/>
    <s v="Win"/>
    <s v="NA"/>
    <x v="3"/>
    <x v="86"/>
    <x v="11"/>
    <s v="Chennai"/>
    <s v="M Pathirana, RD Gaikwad, R Ravindra, AM Rahane, S Dube, DJ Mitchell, Sameer Rizvi, RA Jadeja, MS Dhoni, DL Chahar, TU Deshpande, Mustafizur Rahman"/>
    <s v="MM Sharma, WP Saha, Shubman Gill, B Sai Sudharsan, V Shankar, DA Miller, Azmatullah Omarzai, R Tewatia, Rashid Khan, UT Yadav, SH Johnson, R Sai Kishore"/>
  </r>
  <r>
    <n v="1422124"/>
    <s v="Punjab Kings"/>
    <s v="Royal Challengers Bengaluru"/>
    <x v="1"/>
    <n v="2024"/>
    <d v="2024-03-25T00:00:00"/>
    <x v="2"/>
    <x v="0"/>
    <s v="Win"/>
    <s v="NA"/>
    <x v="0"/>
    <x v="31"/>
    <x v="10"/>
    <s v="Bengaluru"/>
    <s v="Arshdeep Singh, S Dhawan, JM Bairstow, P Simran Singh, LS Livingstone, SM Curran, JM Sharma, Shashank Singh, Harpreet Brar, HV Patel, K Rabada, RD Chahar"/>
    <s v="Yash Dayal, V Kohli, F du Plessis, C Green, RM Patidar, GJ Maxwell, Anuj Rawat, KD Karthik, MK Lomror, AS Joseph, Mayank Dagar, Mohammed Siraj"/>
  </r>
  <r>
    <n v="1422123"/>
    <s v="Gujarat Titans"/>
    <s v="Mumbai Indians"/>
    <x v="1"/>
    <n v="2024"/>
    <d v="2024-03-24T00:00:00"/>
    <x v="1"/>
    <x v="0"/>
    <s v="Win"/>
    <s v="NA"/>
    <x v="8"/>
    <x v="14"/>
    <x v="0"/>
    <s v="Ahmedabad"/>
    <s v="MM Sharma, WP Saha, Shubman Gill, B Sai Sudharsan, Azmatullah Omarzai, DA Miller, V Shankar, R Tewatia, Rashid Khan, UT Yadav, R Sai Kishore, SH Johnson"/>
    <s v="L Wood, Ishan Kishan, RG Sharma, Naman Dhir, D Brevis, Tilak Varma, TH David, HH Pandya, G Coetzee, SZ Mulani, PP Chawla, JJ Bumrah"/>
  </r>
  <r>
    <n v="1422122"/>
    <s v="Rajasthan Royals"/>
    <s v="Lucknow Super Giants"/>
    <x v="1"/>
    <n v="2024"/>
    <d v="2024-03-24T00:00:00"/>
    <x v="7"/>
    <x v="1"/>
    <s v="Win"/>
    <s v="NA"/>
    <x v="7"/>
    <x v="70"/>
    <x v="4"/>
    <s v="Jaipur"/>
    <s v="YBK Jaiswal, JC Buttler, SV Samson, R Parag, SO Hetmyer, Dhruv Jurel, R Ashwin, Sandeep Sharma, YS Chahal, Avesh Khan, TA Boult, N Burger"/>
    <s v="Q de Kock, KL Rahul, D Padikkal, A Badoni, DJ Hooda, N Pooran, MP Stoinis, KH Pandya, Ravi Bishnoi, Mohsin Khan, Naveen-ul-Haq, Yash Thakur"/>
  </r>
  <r>
    <n v="1422121"/>
    <s v="Kolkata Knight Riders"/>
    <s v="Sunrisers Hyderabad"/>
    <x v="1"/>
    <n v="2024"/>
    <d v="2024-03-23T00:00:00"/>
    <x v="4"/>
    <x v="0"/>
    <s v="Win"/>
    <s v="NA"/>
    <x v="10"/>
    <x v="20"/>
    <x v="8"/>
    <s v="Kolkata"/>
    <s v="Suyash Sharma, PD Salt, SP Narine, VR Iyer, SS Iyer, N Rana, Ramandeep Singh, RK Singh, AD Russell, MA Starc, Harshit Rana, CV Varun"/>
    <s v="T Natarajan, MA Agarwal, Abhishek Sharma, RA Tripathi, AK Markram, H Klaasen, Abdul Samad, Shahbaz Ahmed, M Jansen, PJ Cummins, B Kumar, M Markande"/>
  </r>
  <r>
    <n v="1422120"/>
    <s v="Delhi Capitals"/>
    <s v="Punjab Kings"/>
    <x v="1"/>
    <n v="2024"/>
    <d v="2024-03-23T00:00:00"/>
    <x v="0"/>
    <x v="0"/>
    <s v="Win"/>
    <s v="NA"/>
    <x v="1"/>
    <x v="57"/>
    <x v="2"/>
    <s v="Mohali"/>
    <s v="DA Warner, MR Marsh, SD Hope, RR Pant, RK Bhui, T Stubbs, AR Patel, Sumit Kumar, Abishek Porel, Kuldeep Yadav, KK Ahmed, I Sharma"/>
    <s v="Arshdeep Singh, S Dhawan, JM Bairstow, P Simran Singh, SM Curran, JM Sharma, LS Livingstone, Shashank Singh, Harpreet Brar, HV Patel, K Rabada, RD Chahar"/>
  </r>
  <r>
    <n v="1422119"/>
    <s v="Royal Challengers Bengaluru"/>
    <s v="Chennai Super Kings"/>
    <x v="1"/>
    <n v="2024"/>
    <d v="2024-03-22T00:00:00"/>
    <x v="2"/>
    <x v="1"/>
    <s v="Win"/>
    <s v="NA"/>
    <x v="3"/>
    <x v="87"/>
    <x v="11"/>
    <s v="Chennai"/>
    <s v="V Kohli, F du Plessis, RM Patidar, GJ Maxwell, C Green, Anuj Rawat, KD Karthik, KV Sharma, AS Joseph, Mayank Dagar, Mohammed Siraj, Yash Dayal"/>
    <s v="RD Gaikwad, R Ravindra, AM Rahane, DJ Mitchell, S Dube, RA Jadeja, Sameer Rizvi, MS Dhoni, DL Chahar, M Theekshana, TU Deshpande, Mustafizur Rahman"/>
  </r>
  <r>
    <n v="1370353"/>
    <s v="Gujarat Titans"/>
    <s v="Chennai Super Kings"/>
    <x v="2"/>
    <n v="2023"/>
    <d v="2023-05-29T00:00:00"/>
    <x v="3"/>
    <x v="0"/>
    <s v="Win"/>
    <s v="NA"/>
    <x v="3"/>
    <x v="88"/>
    <x v="0"/>
    <s v="Ahmedabad"/>
    <s v="WP Saha, Shubman Gill, B Sai Sudharsan, HH Pandya, Rashid Khan, V Shankar, DA Miller, R Tewatia, MM Sharma, Noor Ahmad, Mohammed Shami, J Little"/>
    <s v="RD Gaikwad, DP Conway, S Dube, AM Rahane, AT Rayudu, MS Dhoni, RA Jadeja, MM Ali, DL Chahar, M Pathirana, TU Deshpande, M Theekshana"/>
  </r>
  <r>
    <n v="1370352"/>
    <s v="Gujarat Titans"/>
    <s v="Mumbai Indians"/>
    <x v="2"/>
    <n v="2023"/>
    <d v="2023-05-26T00:00:00"/>
    <x v="1"/>
    <x v="0"/>
    <s v="Win"/>
    <s v="NA"/>
    <x v="8"/>
    <x v="18"/>
    <x v="0"/>
    <s v="Ahmedabad"/>
    <s v="J Little, WP Saha, Shubman Gill, B Sai Sudharsan, HH Pandya, Rashid Khan, DA Miller, R Tewatia, V Shankar, Noor Ahmad, Mohammed Shami, MM Sharma"/>
    <s v="Ishan Kishan, Akash Madhwal, RG Sharma, N Wadhera, C Green, SA Yadav, Tilak Varma, Vishnu Vinod, TH David, CJ Jordan, PP Chawla, K Kartikeya, JP Behrendorff"/>
  </r>
  <r>
    <n v="1370351"/>
    <s v="Mumbai Indians"/>
    <s v="Lucknow Super Giants"/>
    <x v="2"/>
    <n v="2023"/>
    <d v="2023-05-24T00:00:00"/>
    <x v="1"/>
    <x v="1"/>
    <s v="Win"/>
    <s v="NA"/>
    <x v="2"/>
    <x v="12"/>
    <x v="11"/>
    <s v="Chennai"/>
    <s v="Ishan Kishan, RG Sharma, C Green, SA Yadav, Tilak Varma, TH David, N Wadhera, CJ Jordan, HR Shokeen, PP Chawla, JP Behrendorff, Akash Madhwal"/>
    <s v="Yash Thakur, KR Mayers, PN Mankad, KH Pandya, MP Stoinis, A Badoni, N Pooran, DJ Hooda, K Gowtham, Ravi Bishnoi, Naveen-ul-Haq, Mohsin Khan"/>
  </r>
  <r>
    <n v="1370350"/>
    <s v="Chennai Super Kings"/>
    <s v="Gujarat Titans"/>
    <x v="2"/>
    <n v="2023"/>
    <d v="2023-05-23T00:00:00"/>
    <x v="6"/>
    <x v="0"/>
    <s v="Win"/>
    <s v="NA"/>
    <x v="3"/>
    <x v="68"/>
    <x v="11"/>
    <s v="Chennai"/>
    <s v="M Pathirana, RD Gaikwad, DP Conway, S Dube, AM Rahane, AT Rayudu, RA Jadeja, MS Dhoni, MM Ali, DL Chahar, TU Deshpande, M Theekshana"/>
    <s v="MM Sharma, WP Saha, Shubman Gill, HH Pandya, MD Shanaka, DA Miller, V Shankar, R Tewatia, Rashid Khan, DG Nalkande, Noor Ahmad, Mohammed Shami"/>
  </r>
  <r>
    <n v="1359543"/>
    <s v="Sunrisers Hyderabad"/>
    <s v="Mumbai Indians"/>
    <x v="2"/>
    <n v="2023"/>
    <d v="2023-05-21T00:00:00"/>
    <x v="1"/>
    <x v="0"/>
    <s v="Win"/>
    <s v="NA"/>
    <x v="2"/>
    <x v="59"/>
    <x v="6"/>
    <s v="Mumbai"/>
    <s v="Kartik Tyagi, Vivrant Sharma, MA Agarwal, H Klaasen, GD Phillips, AK Markram, HC Brook, Sanvir Singh, Nithish Kumar Reddy, Mayank Dagar, B Kumar, Umran Malik"/>
    <s v="Ishan Kishan, RG Sharma, C Green, SA Yadav, TH David, N Wadhera, CJ Jordan, PP Chawla, JP Behrendorff, K Kartikeya, Akash Madhwal"/>
  </r>
  <r>
    <n v="1359544"/>
    <s v="Royal Challengers Bangalore"/>
    <s v="Gujarat Titans"/>
    <x v="2"/>
    <n v="2023"/>
    <d v="2023-05-21T00:00:00"/>
    <x v="6"/>
    <x v="0"/>
    <s v="Win"/>
    <s v="NA"/>
    <x v="8"/>
    <x v="18"/>
    <x v="10"/>
    <s v="Bengaluru"/>
    <s v="H Sharma, V Kohli, F du Plessis, GJ Maxwell, MK Lomror, MG Bracewell, KD Karthik, Anuj Rawat, HV Patel, WD Parnell, Vijaykumar Vyshak, Mohammed Siraj"/>
    <s v="Yash Dayal, WP Saha, Shubman Gill, V Shankar, MD Shanaka, DA Miller, R Tewatia, HH Pandya, Rashid Khan, Noor Ahmad, Mohammed Shami, MM Sharma"/>
  </r>
  <r>
    <n v="1359542"/>
    <s v="Lucknow Super Giants"/>
    <s v="Kolkata Knight Riders"/>
    <x v="2"/>
    <n v="2023"/>
    <d v="2023-05-20T00:00:00"/>
    <x v="8"/>
    <x v="0"/>
    <s v="Win"/>
    <s v="NA"/>
    <x v="6"/>
    <x v="42"/>
    <x v="8"/>
    <s v="Kolkata"/>
    <s v="Yash Thakur, KS Sharma, Q de Kock, PN Mankad, MP Stoinis, KH Pandya, A Badoni, N Pooran, K Gowtham, Ravi Bishnoi, Naveen-ul-Haq, Mohsin Khan"/>
    <s v="Harshit Rana, JJ Roy, VR Iyer, N Rana, Rahmanullah Gurbaz, RK Singh, AD Russell, SN Thakur, SP Narine, VG Arora, CV Varun, Suyash Sharma"/>
  </r>
  <r>
    <n v="1359541"/>
    <s v="Chennai Super Kings"/>
    <s v="Delhi Capitals"/>
    <x v="2"/>
    <n v="2023"/>
    <d v="2023-05-20T00:00:00"/>
    <x v="3"/>
    <x v="1"/>
    <s v="Win"/>
    <s v="NA"/>
    <x v="3"/>
    <x v="68"/>
    <x v="5"/>
    <s v="Delhi"/>
    <s v="M Pathirana, RD Gaikwad, DP Conway, S Dube, MS Dhoni, RA Jadeja, AM Rahane, MM Ali, AT Rayudu, DL Chahar, TU Deshpande, M Theekshana"/>
    <s v="KK Ahmed, PP Shaw, DA Warner, PD Salt, RR Rossouw, YV Dhull, AR Patel, Aman Hakim Khan, Lalit Yadav, A Nortje, Kuldeep Yadav, C Sakariya"/>
  </r>
  <r>
    <n v="1359540"/>
    <s v="Punjab Kings"/>
    <s v="Rajasthan Royals"/>
    <x v="2"/>
    <n v="2023"/>
    <d v="2023-05-19T00:00:00"/>
    <x v="7"/>
    <x v="0"/>
    <s v="Win"/>
    <s v="NA"/>
    <x v="7"/>
    <x v="89"/>
    <x v="7"/>
    <s v="Dharamsala"/>
    <s v="NT Ellis, P Simran Singh, S Dhawan, Atharva Taide, LS Livingstone, SM Curran, JM Sharma, M Shahrukh Khan, Harpreet Brar, RD Chahar, K Rabada, Arshdeep Singh"/>
    <s v="YS Chahal, YBK Jaiswal, JC Buttler, D Padikkal, SV Samson, SO Hetmyer, R Parag, Dhruv Jurel, TA Boult, A Zampa, Navdeep Saini, Sandeep Sharma"/>
  </r>
  <r>
    <n v="1359539"/>
    <s v="Sunrisers Hyderabad"/>
    <s v="Royal Challengers Bangalore"/>
    <x v="2"/>
    <n v="2023"/>
    <d v="2023-05-18T00:00:00"/>
    <x v="10"/>
    <x v="0"/>
    <s v="Win"/>
    <s v="NA"/>
    <x v="11"/>
    <x v="31"/>
    <x v="9"/>
    <s v="Hyderabad"/>
    <s v="T Natarajan, Abhishek Sharma, RA Tripathi, AK Markram, H Klaasen, HC Brook, GD Phillips, Abdul Samad, B Kumar, Kartik Tyagi, Mayank Dagar, Nithish Kumar Reddy"/>
    <s v="V Kohli, F du Plessis, GJ Maxwell, MG Bracewell, MK Lomror, Anuj Rawat, Shahbaz Ahmed, HV Patel, WD Parnell, KV Sharma, Mohammed Siraj"/>
  </r>
  <r>
    <n v="1359538"/>
    <s v="Delhi Capitals"/>
    <s v="Punjab Kings"/>
    <x v="2"/>
    <n v="2023"/>
    <d v="2023-05-17T00:00:00"/>
    <x v="0"/>
    <x v="0"/>
    <s v="Win"/>
    <s v="NA"/>
    <x v="5"/>
    <x v="90"/>
    <x v="7"/>
    <s v="Dharamsala"/>
    <s v="Mukesh Kumar, DA Warner, PP Shaw, RR Rossouw, PD Salt, AR Patel, Aman Hakim Khan, YV Dhull, Kuldeep Yadav, A Nortje, I Sharma, KK Ahmed"/>
    <s v="NT Ellis, P Simran Singh, S Dhawan, Atharva Taide, LS Livingstone, JM Sharma, M Shahrukh Khan, SM Curran, Harpreet Brar, RD Chahar, K Rabada, Arshdeep Singh"/>
  </r>
  <r>
    <n v="1359537"/>
    <s v="Lucknow Super Giants"/>
    <s v="Mumbai Indians"/>
    <x v="2"/>
    <n v="2023"/>
    <d v="2023-05-16T00:00:00"/>
    <x v="1"/>
    <x v="0"/>
    <s v="Win"/>
    <s v="NA"/>
    <x v="6"/>
    <x v="67"/>
    <x v="3"/>
    <s v="Lucknow"/>
    <s v="Yash Thakur, DJ Hooda, Q de Kock, PN Mankad, KH Pandya, MP Stoinis, N Pooran, A Badoni, Naveen-ul-Haq, Ravi Bishnoi, Swapnil Singh, Mohsin Khan"/>
    <s v="Akash Madhwal, Ishan Kishan, RG Sharma, SA Yadav, N Wadhera, TH David, Vishnu Vinod, C Green, CJ Jordan, HR Shokeen, PP Chawla, JP Behrendorff"/>
  </r>
  <r>
    <n v="1359536"/>
    <s v="Gujarat Titans"/>
    <s v="Sunrisers Hyderabad"/>
    <x v="2"/>
    <n v="2023"/>
    <d v="2023-05-15T00:00:00"/>
    <x v="4"/>
    <x v="0"/>
    <s v="Win"/>
    <s v="NA"/>
    <x v="8"/>
    <x v="18"/>
    <x v="0"/>
    <s v="Ahmedabad"/>
    <s v="Yash Dayal, WP Saha, Shubman Gill, B Sai Sudharsan, HH Pandya, DA Miller, R Tewatia, MD Shanaka, Rashid Khan, Noor Ahmad, Mohammed Shami, MM Sharma"/>
    <s v="T Natarajan, Anmolpreet Singh, Abhishek Sharma, AK Markram, RA Tripathi, H Klaasen, Sanvir Singh, Abdul Samad, M Jansen, B Kumar, M Markande, Fazalhaq Farooqi"/>
  </r>
  <r>
    <n v="1359534"/>
    <s v="Royal Challengers Bangalore"/>
    <s v="Rajasthan Royals"/>
    <x v="2"/>
    <n v="2023"/>
    <d v="2023-05-14T00:00:00"/>
    <x v="10"/>
    <x v="1"/>
    <s v="Win"/>
    <s v="NA"/>
    <x v="11"/>
    <x v="91"/>
    <x v="4"/>
    <s v="Jaipur"/>
    <s v="Shahbaz Ahmed, V Kohli, F du Plessis, GJ Maxwell, MK Lomror, KD Karthik, MG Bracewell, Anuj Rawat, WD Parnell, KV Sharma, HV Patel, Mohammed Siraj"/>
    <s v="YS Chahal, YBK Jaiswal, JC Buttler, SV Samson, JE Root, D Padikkal, SO Hetmyer, Dhruv Jurel, R Ashwin, A Zampa, Sandeep Sharma, KM Asif"/>
  </r>
  <r>
    <n v="1359535"/>
    <s v="Chennai Super Kings"/>
    <s v="Kolkata Knight Riders"/>
    <x v="2"/>
    <n v="2023"/>
    <d v="2023-05-14T00:00:00"/>
    <x v="3"/>
    <x v="1"/>
    <s v="Win"/>
    <s v="NA"/>
    <x v="10"/>
    <x v="92"/>
    <x v="11"/>
    <s v="Chennai"/>
    <s v="M Pathirana, RD Gaikwad, DP Conway, AM Rahane, AT Rayudu, S Dube, MM Ali, RA Jadeja, MS Dhoni, DL Chahar, TU Deshpande, M Theekshana"/>
    <s v="Suyash Sharma, JJ Roy, Rahmanullah Gurbaz, VR Iyer, N Rana, RK Singh, AD Russell, SN Thakur, SP Narine, VG Arora, Harshit Rana, CV Varun"/>
  </r>
  <r>
    <n v="1359533"/>
    <s v="Punjab Kings"/>
    <s v="Delhi Capitals"/>
    <x v="2"/>
    <n v="2023"/>
    <d v="2023-05-13T00:00:00"/>
    <x v="5"/>
    <x v="0"/>
    <s v="Win"/>
    <s v="NA"/>
    <x v="1"/>
    <x v="19"/>
    <x v="5"/>
    <s v="Delhi"/>
    <s v="NT Ellis, P Simran Singh, S Dhawan, LS Livingstone, JM Sharma, SM Curran, Harpreet Brar, M Shahrukh Khan, Sikandar Raza, R Dhawan, RD Chahar, Arshdeep Singh"/>
    <s v="KK Ahmed, DA Warner, PD Salt, MR Marsh, RR Rossouw, AR Patel, MK Pandey, Aman Hakim Khan, P Dubey, Kuldeep Yadav, Mukesh Kumar, I Sharma"/>
  </r>
  <r>
    <n v="1359532"/>
    <s v="Sunrisers Hyderabad"/>
    <s v="Lucknow Super Giants"/>
    <x v="2"/>
    <n v="2023"/>
    <d v="2023-05-13T00:00:00"/>
    <x v="4"/>
    <x v="1"/>
    <s v="Win"/>
    <s v="NA"/>
    <x v="6"/>
    <x v="93"/>
    <x v="9"/>
    <s v="Hyderabad"/>
    <s v="Vivrant Sharma, Anmolpreet Singh, Abhishek Sharma, RA Tripathi, AK Markram, H Klaasen, GD Phillips, Abdul Samad, B Kumar, T Natarajan, M Markande, Fazalhaq Farooqi"/>
    <s v="A Mishra, KR Mayers, Q de Kock, PN Mankad, MP Stoinis, N Pooran, KH Pandya, Yash Thakur, Ravi Bishnoi, Yudhvir Singh, Avesh Khan, A Badoni"/>
  </r>
  <r>
    <n v="1359531"/>
    <s v="Mumbai Indians"/>
    <s v="Gujarat Titans"/>
    <x v="2"/>
    <n v="2023"/>
    <d v="2023-05-12T00:00:00"/>
    <x v="6"/>
    <x v="0"/>
    <s v="Win"/>
    <s v="NA"/>
    <x v="2"/>
    <x v="11"/>
    <x v="6"/>
    <s v="Mumbai"/>
    <s v="Akash Madhwal, Ishan Kishan, RG Sharma, SA Yadav, N Wadhera, Vishnu Vinod, TH David, C Green, CJ Jordan, PP Chawla, JP Behrendorff, K Kartikeya"/>
    <s v="MM Sharma, WP Saha, Shubman Gill, HH Pandya, V Shankar, DA Miller, A Manohar, R Tewatia, Rashid Khan, Noor Ahmad, AS Joseph, Mohammed Shami"/>
  </r>
  <r>
    <n v="1359530"/>
    <s v="Kolkata Knight Riders"/>
    <s v="Rajasthan Royals"/>
    <x v="2"/>
    <n v="2023"/>
    <d v="2023-05-11T00:00:00"/>
    <x v="7"/>
    <x v="0"/>
    <s v="Win"/>
    <s v="NA"/>
    <x v="7"/>
    <x v="94"/>
    <x v="8"/>
    <s v="Kolkata"/>
    <s v="Suyash Sharma, JJ Roy, Rahmanullah Gurbaz, VR Iyer, N Rana, AD Russell, RK Singh, SN Thakur, AS Roy, SP Narine, Harshit Rana, CV Varun"/>
    <s v="YBK Jaiswal, JC Buttler, SV Samson, JE Root, Dhruv Jurel, SO Hetmyer, R Ashwin, Sandeep Sharma, KM Asif, TA Boult, YS Chahal"/>
  </r>
  <r>
    <n v="1359529"/>
    <s v="Chennai Super Kings"/>
    <s v="Delhi Capitals"/>
    <x v="2"/>
    <n v="2023"/>
    <d v="2023-05-10T00:00:00"/>
    <x v="3"/>
    <x v="1"/>
    <s v="Win"/>
    <s v="NA"/>
    <x v="3"/>
    <x v="64"/>
    <x v="11"/>
    <s v="Chennai"/>
    <s v="M Pathirana, RD Gaikwad, DP Conway, AM Rahane, MM Ali, S Dube, AT Rayudu, RA Jadeja, MS Dhoni, DL Chahar, TU Deshpande, M Theekshana"/>
    <s v="KK Ahmed, DA Warner, PD Salt, MR Marsh, MK Pandey, RR Rossouw, RV Patel, AR Patel, Aman Hakim Khan, Lalit Yadav, Kuldeep Yadav, I Sharma"/>
  </r>
  <r>
    <n v="1359528"/>
    <s v="Royal Challengers Bangalore"/>
    <s v="Mumbai Indians"/>
    <x v="2"/>
    <n v="2023"/>
    <d v="2023-05-09T00:00:00"/>
    <x v="1"/>
    <x v="0"/>
    <s v="Win"/>
    <s v="NA"/>
    <x v="2"/>
    <x v="11"/>
    <x v="6"/>
    <s v="Mumbai"/>
    <s v="V Kohli, F du Plessis, Anuj Rawat, GJ Maxwell, MK Lomror, KD Karthik, KM Jadhav, PWH de Silva, JR Hazlewood, Mohammed Siraj, Vijaykumar Vyshak, HV Patel"/>
    <s v="Ishan Kishan, RG Sharma, SA Yadav, N Wadhera, TH David, C Green, CJ Jordan, PP Chawla, JP Behrendorff, K Kartikeya, Akash Madhwal"/>
  </r>
  <r>
    <n v="1359527"/>
    <s v="Punjab Kings"/>
    <s v="Kolkata Knight Riders"/>
    <x v="2"/>
    <n v="2023"/>
    <d v="2023-05-08T00:00:00"/>
    <x v="0"/>
    <x v="1"/>
    <s v="Win"/>
    <s v="NA"/>
    <x v="10"/>
    <x v="20"/>
    <x v="8"/>
    <s v="Kolkata"/>
    <s v="NT Ellis, P Simran Singh, S Dhawan, PBB Rajapaksa, LS Livingstone, JM Sharma, SM Curran, R Dhawan, M Shahrukh Khan, Harpreet Brar, RD Chahar, Arshdeep Singh"/>
    <s v="Suyash Sharma, JJ Roy, Rahmanullah Gurbaz, N Rana, VR Iyer, AD Russell, RK Singh, SN Thakur, SP Narine, Harshit Rana, VG Arora, CV Varun"/>
  </r>
  <r>
    <n v="1359525"/>
    <s v="Gujarat Titans"/>
    <s v="Lucknow Super Giants"/>
    <x v="2"/>
    <n v="2023"/>
    <d v="2023-05-07T00:00:00"/>
    <x v="9"/>
    <x v="0"/>
    <s v="Win"/>
    <s v="NA"/>
    <x v="8"/>
    <x v="18"/>
    <x v="0"/>
    <s v="Ahmedabad"/>
    <s v="AS Joseph, WP Saha, Shubman Gill, HH Pandya, DA Miller, V Shankar, Rashid Khan, R Tewatia, A Manohar, MM Sharma, Mohammed Shami, Noor Ahmad"/>
    <s v="Yash Thakur, KR Mayers, Q de Kock, DJ Hooda, MP Stoinis, N Pooran, A Badoni, Swapnil Singh, KH Pandya, Ravi Bishnoi, Mohsin Khan, Avesh Khan"/>
  </r>
  <r>
    <n v="1359526"/>
    <s v="Rajasthan Royals"/>
    <s v="Sunrisers Hyderabad"/>
    <x v="2"/>
    <n v="2023"/>
    <d v="2023-05-07T00:00:00"/>
    <x v="7"/>
    <x v="1"/>
    <s v="Win"/>
    <s v="NA"/>
    <x v="4"/>
    <x v="95"/>
    <x v="4"/>
    <s v="Jaipur"/>
    <s v="OC McCoy, YBK Jaiswal, JC Buttler, SV Samson, SO Hetmyer, JE Root, Dhruv Jurel, R Ashwin, Sandeep Sharma, M Ashwin, K Yadav, YS Chahal"/>
    <s v="T Natarajan, Anmolpreet Singh, Abhishek Sharma, RA Tripathi, H Klaasen, AK Markram, GD Phillips, Abdul Samad, M Jansen, Vivrant Sharma, M Markande, B Kumar"/>
  </r>
  <r>
    <n v="1359523"/>
    <s v="Mumbai Indians"/>
    <s v="Chennai Super Kings"/>
    <x v="2"/>
    <n v="2023"/>
    <d v="2023-05-06T00:00:00"/>
    <x v="3"/>
    <x v="0"/>
    <s v="Win"/>
    <s v="NA"/>
    <x v="3"/>
    <x v="76"/>
    <x v="11"/>
    <s v="Chennai"/>
    <s v="R Goyal, C Green, Ishan Kishan, RG Sharma, N Wadhera, SA Yadav, T Stubbs, TH David, Arshad Khan, JC Archer, PP Chawla, Akash Madhwal"/>
    <s v="M Theekshana, RD Gaikwad, DP Conway, AM Rahane, AT Rayudu, S Dube, MS Dhoni, MM Ali, RA Jadeja, DL Chahar, M Pathirana, TU Deshpande"/>
  </r>
  <r>
    <n v="1359524"/>
    <s v="Royal Challengers Bangalore"/>
    <s v="Delhi Capitals"/>
    <x v="2"/>
    <n v="2023"/>
    <d v="2023-05-06T00:00:00"/>
    <x v="10"/>
    <x v="1"/>
    <s v="Win"/>
    <s v="NA"/>
    <x v="5"/>
    <x v="39"/>
    <x v="5"/>
    <s v="Delhi"/>
    <s v="HV Patel, V Kohli, F du Plessis, GJ Maxwell, MK Lomror, KD Karthik, Anuj Rawat, KM Jadhav, PWH de Silva, KV Sharma, Mohammed Siraj, JR Hazlewood"/>
    <s v="I Sharma, DA Warner, PD Salt, MR Marsh, RR Rossouw, AR Patel, Aman Hakim Khan, MK Pandey, Kuldeep Yadav, Mukesh Kumar, KK Ahmed, RV Patel"/>
  </r>
  <r>
    <n v="1359522"/>
    <s v="Rajasthan Royals"/>
    <s v="Gujarat Titans"/>
    <x v="2"/>
    <n v="2023"/>
    <d v="2023-05-05T00:00:00"/>
    <x v="7"/>
    <x v="1"/>
    <s v="Win"/>
    <s v="NA"/>
    <x v="8"/>
    <x v="78"/>
    <x v="4"/>
    <s v="Jaipur"/>
    <s v="YBK Jaiswal, JC Buttler, SV Samson, D Padikkal, R Ashwin, R Parag, SO Hetmyer, Dhruv Jurel, TA Boult, A Zampa, Sandeep Sharma, YS Chahal"/>
    <s v="MM Sharma, WP Saha, Shubman Gill, HH Pandya, Rashid Khan, DA Miller, V Shankar, R Tewatia, A Manohar, Noor Ahmad, Mohammed Shami, J Little"/>
  </r>
  <r>
    <n v="1359521"/>
    <s v="Kolkata Knight Riders"/>
    <s v="Sunrisers Hyderabad"/>
    <x v="2"/>
    <n v="2023"/>
    <d v="2023-05-04T00:00:00"/>
    <x v="8"/>
    <x v="1"/>
    <s v="Win"/>
    <s v="NA"/>
    <x v="10"/>
    <x v="61"/>
    <x v="9"/>
    <s v="Hyderabad"/>
    <s v="JJ Roy, Rahmanullah Gurbaz, VR Iyer, N Rana, RK Singh, AD Russell, SP Narine, SN Thakur, AS Roy, Harshit Rana, VG Arora, CV Varun"/>
    <s v="T Natarajan, Abhishek Sharma, MA Agarwal, RA Tripathi, AK Markram, HC Brook, H Klaasen, Abdul Samad, M Jansen, B Kumar, M Markande, Kartik Tyagi"/>
  </r>
  <r>
    <n v="1359519"/>
    <s v="Lucknow Super Giants"/>
    <s v="Chennai Super Kings"/>
    <x v="2"/>
    <n v="2023"/>
    <d v="2023-05-03T00:00:00"/>
    <x v="3"/>
    <x v="0"/>
    <s v="no result"/>
    <s v="NA"/>
    <x v="9"/>
    <x v="16"/>
    <x v="3"/>
    <s v="Lucknow"/>
    <s v="M Vohra, KR Mayers, KS Sharma, KH Pandya, MP Stoinis, N Pooran, A Badoni, K Gowtham, Naveen-ul-Haq, Ravi Bishnoi, Mohsin Khan"/>
    <s v="AT Rayudu, RD Gaikwad, DP Conway, AM Rahane, MM Ali, S Dube, RA Jadeja, MS Dhoni, M Pathirana, TU Deshpande, M Theekshana, DL Chahar"/>
  </r>
  <r>
    <n v="1359520"/>
    <s v="Punjab Kings"/>
    <s v="Mumbai Indians"/>
    <x v="2"/>
    <n v="2023"/>
    <d v="2023-05-03T00:00:00"/>
    <x v="1"/>
    <x v="0"/>
    <s v="Win"/>
    <s v="NA"/>
    <x v="2"/>
    <x v="9"/>
    <x v="14"/>
    <s v="Chandigarh"/>
    <s v="NT Ellis, P Simran Singh, S Dhawan, MW Short, LS Livingstone, JM Sharma, SM Curran, M Shahrukh Khan, Harpreet Brar, R Dhawan, RD Chahar, Arshdeep Singh"/>
    <s v="Akash Madhwal, RG Sharma, Ishan Kishan, C Green, SA Yadav, TH David, Tilak Varma, N Wadhera, PP Chawla, JC Archer, K Kartikeya, Arshad Khan"/>
  </r>
  <r>
    <n v="1359518"/>
    <s v="Delhi Capitals"/>
    <s v="Gujarat Titans"/>
    <x v="2"/>
    <n v="2023"/>
    <d v="2023-05-02T00:00:00"/>
    <x v="5"/>
    <x v="1"/>
    <s v="Win"/>
    <s v="NA"/>
    <x v="5"/>
    <x v="96"/>
    <x v="0"/>
    <s v="Ahmedabad"/>
    <s v="KK Ahmed, PD Salt, DA Warner, PK Garg, RR Rossouw, MK Pandey, AR Patel, Aman Hakim Khan, RV Patel, A Nortje, Kuldeep Yadav, I Sharma"/>
    <s v="MM Sharma, WP Saha, Shubman Gill, HH Pandya, V Shankar, DA Miller, A Manohar, R Tewatia, Rashid Khan, Noor Ahmad, Mohammed Shami, J Little"/>
  </r>
  <r>
    <n v="1359517"/>
    <s v="Royal Challengers Bangalore"/>
    <s v="Lucknow Super Giants"/>
    <x v="2"/>
    <n v="2023"/>
    <d v="2023-05-01T00:00:00"/>
    <x v="10"/>
    <x v="1"/>
    <s v="Win"/>
    <s v="NA"/>
    <x v="11"/>
    <x v="56"/>
    <x v="3"/>
    <s v="Lucknow"/>
    <s v="V Kohli, F du Plessis, Anuj Rawat, GJ Maxwell, SS Prabhudessai, KD Karthik, MK Lomror, PWH de Silva, KV Sharma, Mohammed Siraj, JR Hazlewood, HV Patel"/>
    <s v="KR Mayers, A Badoni, KH Pandya, DJ Hooda, MP Stoinis, N Pooran, K Gowtham, Ravi Bishnoi, A Mishra, Naveen-ul-Haq, KL Rahul, Yash Thakur"/>
  </r>
  <r>
    <n v="1359515"/>
    <s v="Chennai Super Kings"/>
    <s v="Punjab Kings"/>
    <x v="2"/>
    <n v="2023"/>
    <d v="2023-04-30T00:00:00"/>
    <x v="3"/>
    <x v="1"/>
    <s v="Win"/>
    <s v="NA"/>
    <x v="1"/>
    <x v="88"/>
    <x v="11"/>
    <s v="Chennai"/>
    <s v="Akash Singh, RD Gaikwad, DP Conway, S Dube, MM Ali, RA Jadeja, MS Dhoni, AM Rahane, M Pathirana, TU Deshpande, M Theekshana, AT Rayudu"/>
    <s v="K Rabada, P Simran Singh, S Dhawan, Atharva Taide, LS Livingstone, SM Curran, JM Sharma, M Shahrukh Khan, Sikandar Raza, Harpreet Brar, RD Chahar, Arshdeep Singh"/>
  </r>
  <r>
    <n v="1359516"/>
    <s v="Rajasthan Royals"/>
    <s v="Mumbai Indians"/>
    <x v="2"/>
    <n v="2023"/>
    <d v="2023-04-30T00:00:00"/>
    <x v="7"/>
    <x v="1"/>
    <s v="Win"/>
    <s v="NA"/>
    <x v="2"/>
    <x v="94"/>
    <x v="6"/>
    <s v="Mumbai"/>
    <s v="KR Sen, YBK Jaiswal, JC Buttler, SV Samson, D Padikkal, JO Holder, SO Hetmyer, Dhruv Jurel, R Ashwin, TA Boult, Sandeep Sharma, YS Chahal"/>
    <s v="RG Sharma, Ishan Kishan, C Green, SA Yadav, Tilak Varma, TH David, PP Chawla, JC Archer, K Kartikeya, RP Meredith, Arshad Khan"/>
  </r>
  <r>
    <n v="1359514"/>
    <s v="Sunrisers Hyderabad"/>
    <s v="Delhi Capitals"/>
    <x v="2"/>
    <n v="2023"/>
    <d v="2023-04-29T00:00:00"/>
    <x v="4"/>
    <x v="1"/>
    <s v="Win"/>
    <s v="NA"/>
    <x v="4"/>
    <x v="10"/>
    <x v="5"/>
    <s v="Delhi"/>
    <s v="T Natarajan, Abhishek Sharma, MA Agarwal, RA Tripathi, AK Markram, HC Brook, H Klaasen, Abdul Samad, AJ Hosein, M Markande, B Kumar, Umran Malik"/>
    <s v="I Sharma, DA Warner, PD Salt, MR Marsh, MK Pandey, PK Garg, SN Khan, AR Patel, RV Patel, Kuldeep Yadav, A Nortje, Mukesh Kumar"/>
  </r>
  <r>
    <n v="1359513"/>
    <s v="Kolkata Knight Riders"/>
    <s v="Gujarat Titans"/>
    <x v="2"/>
    <n v="2023"/>
    <d v="2023-04-29T00:00:00"/>
    <x v="6"/>
    <x v="0"/>
    <s v="Win"/>
    <s v="NA"/>
    <x v="8"/>
    <x v="97"/>
    <x v="8"/>
    <s v="Kolkata"/>
    <s v="Suyash Sharma, N Jagadeesan, Rahmanullah Gurbaz, SN Thakur, VR Iyer, N Rana, RK Singh, AD Russell, D Wiese, SP Narine, Harshit Rana, CV Varun"/>
    <s v="MM Sharma, WP Saha, Shubman Gill, HH Pandya, V Shankar, DA Miller, A Manohar, R Tewatia, Rashid Khan, Noor Ahmad, Mohammed Shami, J Little"/>
  </r>
  <r>
    <n v="1359512"/>
    <s v="Lucknow Super Giants"/>
    <s v="Punjab Kings"/>
    <x v="2"/>
    <n v="2023"/>
    <d v="2023-04-28T00:00:00"/>
    <x v="0"/>
    <x v="0"/>
    <s v="Win"/>
    <s v="NA"/>
    <x v="6"/>
    <x v="67"/>
    <x v="14"/>
    <s v="Chandigarh"/>
    <s v="A Mishra, KL Rahul, KR Mayers, A Badoni, MP Stoinis, N Pooran, DJ Hooda, KH Pandya, Naveen-ul-Haq, Ravi Bishnoi, Avesh Khan, Yash Thakur"/>
    <s v="Gurnoor Brar, P Simran Singh, S Dhawan, Atharva Taide, Sikandar Raza, LS Livingstone, SM Curran, JM Sharma, M Shahrukh Khan, RD Chahar, K Rabada, Arshdeep Singh"/>
  </r>
  <r>
    <n v="1359511"/>
    <s v="Rajasthan Royals"/>
    <s v="Chennai Super Kings"/>
    <x v="2"/>
    <n v="2023"/>
    <d v="2023-04-27T00:00:00"/>
    <x v="7"/>
    <x v="1"/>
    <s v="Win"/>
    <s v="NA"/>
    <x v="7"/>
    <x v="94"/>
    <x v="4"/>
    <s v="Jaipur"/>
    <s v="K Yadav, YBK Jaiswal, JC Buttler, SV Samson, SO Hetmyer, Dhruv Jurel, D Padikkal, R Ashwin, JO Holder, Sandeep Sharma, YS Chahal, A Zampa"/>
    <s v="Akash Singh, RD Gaikwad, DP Conway, AM Rahane, S Dube, AT Rayudu, MM Ali, RA Jadeja, MS Dhoni, M Pathirana, TU Deshpande, M Theekshana"/>
  </r>
  <r>
    <n v="1359510"/>
    <s v="Kolkata Knight Riders"/>
    <s v="Royal Challengers Bangalore"/>
    <x v="2"/>
    <n v="2023"/>
    <d v="2023-04-26T00:00:00"/>
    <x v="10"/>
    <x v="0"/>
    <s v="Win"/>
    <s v="NA"/>
    <x v="10"/>
    <x v="61"/>
    <x v="10"/>
    <s v="Bengaluru"/>
    <s v="Suyash Sharma, JJ Roy, N Jagadeesan, VR Iyer, N Rana, AD Russell, RK Singh, D Wiese, SP Narine, VG Arora, UT Yadav, CV Varun"/>
    <s v="HV Patel, V Kohli, F du Plessis, Shahbaz Ahmed, GJ Maxwell, MK Lomror, KD Karthik, SS Prabhudessai, PWH de Silva, DJ Willey, Vijaykumar Vyshak, Mohammed Siraj"/>
  </r>
  <r>
    <n v="1359509"/>
    <s v="Gujarat Titans"/>
    <s v="Mumbai Indians"/>
    <x v="2"/>
    <n v="2023"/>
    <d v="2023-04-25T00:00:00"/>
    <x v="1"/>
    <x v="0"/>
    <s v="Win"/>
    <s v="NA"/>
    <x v="8"/>
    <x v="98"/>
    <x v="0"/>
    <s v="Ahmedabad"/>
    <s v="J Little, WP Saha, Shubman Gill, HH Pandya, V Shankar, DA Miller, A Manohar, R Tewatia, Rashid Khan, MM Sharma, Mohammed Shami, Noor Ahmad"/>
    <s v="K Kartikeya, RG Sharma, Ishan Kishan, C Green, Tilak Varma, SA Yadav, TH David, N Wadhera, PP Chawla, Arjun Tendulkar, JP Behrendorff, RP Meredith"/>
  </r>
  <r>
    <n v="1359508"/>
    <s v="Delhi Capitals"/>
    <s v="Sunrisers Hyderabad"/>
    <x v="2"/>
    <n v="2023"/>
    <d v="2023-04-24T00:00:00"/>
    <x v="5"/>
    <x v="1"/>
    <s v="Win"/>
    <s v="NA"/>
    <x v="5"/>
    <x v="99"/>
    <x v="9"/>
    <s v="Hyderabad"/>
    <s v="Mukesh Kumar, DA Warner, PD Salt, MR Marsh, SN Khan, MK Pandey, Aman Hakim Khan, AR Patel, RV Patel, A Nortje, Kuldeep Yadav, I Sharma"/>
    <s v="T Natarajan, HC Brook, MA Agarwal, RA Tripathi, Abhishek Sharma, AK Markram, H Klaasen, Washington Sundar, M Jansen, M Markande, B Kumar, Umran Malik"/>
  </r>
  <r>
    <n v="1359507"/>
    <s v="Chennai Super Kings"/>
    <s v="Kolkata Knight Riders"/>
    <x v="2"/>
    <n v="2023"/>
    <d v="2023-04-23T00:00:00"/>
    <x v="8"/>
    <x v="0"/>
    <s v="Win"/>
    <s v="NA"/>
    <x v="3"/>
    <x v="100"/>
    <x v="8"/>
    <s v="Kolkata"/>
    <s v="Akash Singh, RD Gaikwad, DP Conway, AM Rahane, S Dube, RA Jadeja, MS Dhoni, MM Ali, AT Rayudu, M Pathirana, TU Deshpande, M Theekshana"/>
    <s v="Suyash Sharma, N Jagadeesan, SP Narine, VR Iyer, N Rana, JJ Roy, RK Singh, AD Russell, D Wiese, UT Yadav, CV Varun, K Khejroliya"/>
  </r>
  <r>
    <n v="1359506"/>
    <s v="Royal Challengers Bangalore"/>
    <s v="Rajasthan Royals"/>
    <x v="2"/>
    <n v="2023"/>
    <d v="2023-04-23T00:00:00"/>
    <x v="7"/>
    <x v="0"/>
    <s v="Win"/>
    <s v="NA"/>
    <x v="11"/>
    <x v="101"/>
    <x v="10"/>
    <s v="Bengaluru"/>
    <s v="HV Patel, V Kohli, F du Plessis, Shahbaz Ahmed, GJ Maxwell, MK Lomror, KD Karthik, SS Prabhudessai, PWH de Silva, DJ Willey, Vijaykumar Vyshak, Mohammed Siraj"/>
    <s v="YBK Jaiswal, JC Buttler, D Padikkal, SV Samson, SO Hetmyer, Dhruv Jurel, R Ashwin, Abdul Basith, JO Holder, TA Boult, Sandeep Sharma, YS Chahal"/>
  </r>
  <r>
    <n v="1359504"/>
    <s v="Gujarat Titans"/>
    <s v="Lucknow Super Giants"/>
    <x v="2"/>
    <n v="2023"/>
    <d v="2023-04-22T00:00:00"/>
    <x v="6"/>
    <x v="1"/>
    <s v="Win"/>
    <s v="NA"/>
    <x v="8"/>
    <x v="83"/>
    <x v="3"/>
    <s v="Lucknow"/>
    <s v="J Yadav, WP Saha, Shubman Gill, HH Pandya, A Manohar, V Shankar, DA Miller, R Tewatia, Rashid Khan, Mohammed Shami, Noor Ahmad, MM Sharma"/>
    <s v="A Mishra, KL Rahul, KR Mayers, KH Pandya, N Pooran, A Badoni, MP Stoinis, DJ Hooda, PN Mankad, Ravi Bishnoi, Avesh Khan, Naveen-ul-Haq"/>
  </r>
  <r>
    <n v="1359505"/>
    <s v="Punjab Kings"/>
    <s v="Mumbai Indians"/>
    <x v="2"/>
    <n v="2023"/>
    <d v="2023-04-22T00:00:00"/>
    <x v="1"/>
    <x v="0"/>
    <s v="Win"/>
    <s v="NA"/>
    <x v="1"/>
    <x v="57"/>
    <x v="6"/>
    <s v="Mumbai"/>
    <s v="NT Ellis, MW Short, P Simran Singh, Atharva Taide, LS Livingstone, Harpreet Singh, SM Curran, JM Sharma, M Shahrukh Khan, Harpreet Brar, Arshdeep Singh, RD Chahar"/>
    <s v="JP Behrendorff, RG Sharma, Ishan Kishan, C Green, SA Yadav, TH David, Tilak Varma, N Wadhera, JC Archer, Arjun Tendulkar, HR Shokeen, PP Chawla"/>
  </r>
  <r>
    <n v="1359503"/>
    <s v="Sunrisers Hyderabad"/>
    <s v="Chennai Super Kings"/>
    <x v="2"/>
    <n v="2023"/>
    <d v="2023-04-21T00:00:00"/>
    <x v="3"/>
    <x v="0"/>
    <s v="Win"/>
    <s v="NA"/>
    <x v="3"/>
    <x v="64"/>
    <x v="11"/>
    <s v="Chennai"/>
    <s v="Mayank Dagar, HC Brook, Abhishek Sharma, RA Tripathi, AK Markram, H Klaasen, MA Agarwal, M Jansen, Washington Sundar, B Kumar, M Markande, Umran Malik"/>
    <s v="Akash Singh, RD Gaikwad, DP Conway, AM Rahane, AT Rayudu, MM Ali, S Dube, RA Jadeja, MS Dhoni, TU Deshpande, M Theekshana, M Pathirana"/>
  </r>
  <r>
    <n v="1359501"/>
    <s v="Royal Challengers Bangalore"/>
    <s v="Punjab Kings"/>
    <x v="2"/>
    <n v="2023"/>
    <d v="2023-04-20T00:00:00"/>
    <x v="0"/>
    <x v="0"/>
    <s v="Win"/>
    <s v="NA"/>
    <x v="11"/>
    <x v="45"/>
    <x v="14"/>
    <s v="Chandigarh"/>
    <s v="Vijaykumar Vyshak, V Kohli, F du Plessis, GJ Maxwell, KD Karthik, MK Lomror, Shahbaz Ahmed, SS Prabhudessai, PWH de Silva, HV Patel, WD Parnell, Mohammed Siraj"/>
    <s v="RD Chahar, Atharva Taide, P Simran Singh, MW Short, LS Livingstone, Harpreet Singh, SM Curran, JM Sharma, M Shahrukh Khan, Harpreet Brar, NT Ellis, Arshdeep Singh"/>
  </r>
  <r>
    <n v="1359502"/>
    <s v="Kolkata Knight Riders"/>
    <s v="Delhi Capitals"/>
    <x v="2"/>
    <n v="2023"/>
    <d v="2023-04-20T00:00:00"/>
    <x v="5"/>
    <x v="0"/>
    <s v="Win"/>
    <s v="NA"/>
    <x v="5"/>
    <x v="58"/>
    <x v="5"/>
    <s v="Delhi"/>
    <s v="JJ Roy, Liton Das, VR Iyer, N Rana, Mandeep Singh, RK Singh, SP Narine, AD Russell, AS Roy, UT Yadav, CV Varun, K Khejroliya"/>
    <s v="I Sharma, DA Warner, PP Shaw, MR Marsh, PD Salt, MK Pandey, AR Patel, Aman Hakim Khan, Lalit Yadav, Mukesh Kumar, Kuldeep Yadav, A Nortje"/>
  </r>
  <r>
    <n v="1359500"/>
    <s v="Lucknow Super Giants"/>
    <s v="Rajasthan Royals"/>
    <x v="2"/>
    <n v="2023"/>
    <d v="2023-04-19T00:00:00"/>
    <x v="7"/>
    <x v="0"/>
    <s v="Win"/>
    <s v="NA"/>
    <x v="6"/>
    <x v="67"/>
    <x v="4"/>
    <s v="Jaipur"/>
    <s v="A Mishra, KL Rahul, KR Mayers, A Badoni, DJ Hooda, MP Stoinis, N Pooran, KH Pandya, Yudhvir Singh, Naveen-ul-Haq, Ravi Bishnoi, Avesh Khan"/>
    <s v="YS Chahal, YBK Jaiswal, JC Buttler, SV Samson, D Padikkal, SO Hetmyer, R Parag, Dhruv Jurel, R Ashwin, JO Holder, TA Boult, Sandeep Sharma"/>
  </r>
  <r>
    <n v="1359499"/>
    <s v="Mumbai Indians"/>
    <s v="Sunrisers Hyderabad"/>
    <x v="2"/>
    <n v="2023"/>
    <d v="2023-04-18T00:00:00"/>
    <x v="4"/>
    <x v="0"/>
    <s v="Win"/>
    <s v="NA"/>
    <x v="2"/>
    <x v="59"/>
    <x v="9"/>
    <s v="Hyderabad"/>
    <s v="RP Meredith, RG Sharma, Ishan Kishan, C Green, SA Yadav, Tilak Varma, TH David, N Wadhera, Arjun Tendulkar, HR Shokeen, PP Chawla, JP Behrendorff"/>
    <s v="T Natarajan, HC Brook, MA Agarwal, RA Tripathi, AK Markram, Abhishek Sharma, H Klaasen, Abdul Samad, M Jansen, Washington Sundar, B Kumar, M Markande"/>
  </r>
  <r>
    <n v="1359498"/>
    <s v="Chennai Super Kings"/>
    <s v="Royal Challengers Bangalore"/>
    <x v="2"/>
    <n v="2023"/>
    <d v="2023-04-17T00:00:00"/>
    <x v="10"/>
    <x v="0"/>
    <s v="Win"/>
    <s v="NA"/>
    <x v="3"/>
    <x v="88"/>
    <x v="10"/>
    <s v="Bengaluru"/>
    <s v="RD Gaikwad, DP Conway, AM Rahane, S Dube, AT Rayudu, MM Ali, RA Jadeja, MS Dhoni, TU Deshpande, M Theekshana, M Pathirana, Akash Singh"/>
    <s v="V Kohli, F du Plessis, MK Lomror, GJ Maxwell, Shahbaz Ahmed, KD Karthik, SS Prabhudessai, WD Parnell, PWH de Silva, HV Patel, Mohammed Siraj, Vijaykumar Vyshak"/>
  </r>
  <r>
    <n v="1359497"/>
    <s v="Gujarat Titans"/>
    <s v="Rajasthan Royals"/>
    <x v="2"/>
    <n v="2023"/>
    <d v="2023-04-16T00:00:00"/>
    <x v="7"/>
    <x v="0"/>
    <s v="Win"/>
    <s v="NA"/>
    <x v="7"/>
    <x v="77"/>
    <x v="0"/>
    <s v="Ahmedabad"/>
    <s v="Noor Ahmad, WP Saha, Shubman Gill, B Sai Sudharsan, HH Pandya, DA Miller, A Manohar, R Tewatia, Rashid Khan, AS Joseph, Mohammed Shami, MM Sharma"/>
    <s v="YS Chahal, YBK Jaiswal, JC Buttler, D Padikkal, SV Samson, R Parag, SO Hetmyer, Dhruv Jurel, R Ashwin, TA Boult, Sandeep Sharma, A Zampa"/>
  </r>
  <r>
    <n v="1359496"/>
    <s v="Kolkata Knight Riders"/>
    <s v="Mumbai Indians"/>
    <x v="2"/>
    <n v="2023"/>
    <d v="2023-04-16T00:00:00"/>
    <x v="1"/>
    <x v="0"/>
    <s v="Win"/>
    <s v="NA"/>
    <x v="2"/>
    <x v="65"/>
    <x v="6"/>
    <s v="Mumbai"/>
    <s v="Suyash Sharma, Rahmanullah Gurbaz, N Jagadeesan, VR Iyer, N Rana, SN Thakur, RK Singh, AD Russell, SP Narine, UT Yadav, LH Ferguson, CV Varun"/>
    <s v="RP Meredith, RG Sharma, Ishan Kishan, SA Yadav, Tilak Varma, TH David, N Wadhera, C Green, Arjun Tendulkar, HR Shokeen, PP Chawla, D Jansen"/>
  </r>
  <r>
    <n v="1359494"/>
    <s v="Royal Challengers Bangalore"/>
    <s v="Delhi Capitals"/>
    <x v="2"/>
    <n v="2023"/>
    <d v="2023-04-15T00:00:00"/>
    <x v="5"/>
    <x v="0"/>
    <s v="Win"/>
    <s v="NA"/>
    <x v="11"/>
    <x v="31"/>
    <x v="10"/>
    <s v="Bengaluru"/>
    <s v="V Kohli, F du Plessis, MK Lomror, GJ Maxwell, HV Patel, Shahbaz Ahmed, KD Karthik, Anuj Rawat, PWH de Silva, WD Parnell, Mohammed Siraj, Vijaykumar Vyshak"/>
    <s v="DA Warner, PP Shaw, MR Marsh, YV Dhull, MK Pandey, Abishek Porel, AR Patel, Aman Hakim Khan, Lalit Yadav, A Nortje, Kuldeep Yadav, Mustafizur Rahman"/>
  </r>
  <r>
    <n v="1359495"/>
    <s v="Lucknow Super Giants"/>
    <s v="Punjab Kings"/>
    <x v="2"/>
    <n v="2023"/>
    <d v="2023-04-15T00:00:00"/>
    <x v="0"/>
    <x v="0"/>
    <s v="Win"/>
    <s v="NA"/>
    <x v="1"/>
    <x v="102"/>
    <x v="3"/>
    <s v="Lucknow"/>
    <s v="KL Rahul, KR Mayers, DJ Hooda, KH Pandya, N Pooran, MP Stoinis, A Badoni, K Gowtham, Yudhvir Singh, Ravi Bishnoi, Avesh Khan, MA Wood"/>
    <s v="Atharva Taide, P Simran Singh, MW Short, Harpreet Singh, Sikandar Raza, SM Curran, JM Sharma, M Shahrukh Khan, Harpreet Brar, K Rabada, RD Chahar, Arshdeep Singh"/>
  </r>
  <r>
    <n v="1359493"/>
    <s v="Sunrisers Hyderabad"/>
    <s v="Kolkata Knight Riders"/>
    <x v="2"/>
    <n v="2023"/>
    <d v="2023-04-14T00:00:00"/>
    <x v="8"/>
    <x v="0"/>
    <s v="Win"/>
    <s v="NA"/>
    <x v="4"/>
    <x v="103"/>
    <x v="8"/>
    <s v="Kolkata"/>
    <s v="Washington Sundar, HC Brook, MA Agarwal, RA Tripathi, AK Markram, Abhishek Sharma, H Klaasen, M Jansen, M Markande, B Kumar, Umran Malik, T Natarajan"/>
    <s v="Suyash Sharma, Rahmanullah Gurbaz, N Jagadeesan, VR Iyer, SP Narine, N Rana, AD Russell, RK Singh, SN Thakur, UT Yadav, LH Ferguson, CV Varun"/>
  </r>
  <r>
    <n v="1359492"/>
    <s v="Punjab Kings"/>
    <s v="Gujarat Titans"/>
    <x v="2"/>
    <n v="2023"/>
    <d v="2023-04-13T00:00:00"/>
    <x v="6"/>
    <x v="0"/>
    <s v="Win"/>
    <s v="NA"/>
    <x v="8"/>
    <x v="83"/>
    <x v="14"/>
    <s v="Chandigarh"/>
    <s v="RD Chahar, P Simran Singh, S Dhawan, MW Short, PBB Rajapaksa, JM Sharma, SM Curran, M Shahrukh Khan, Harpreet Brar, R Dhawan, K Rabada, Arshdeep Singh"/>
    <s v="WP Saha, Shubman Gill, B Sai Sudharsan, HH Pandya, DA Miller, R Tewatia, Rashid Khan, AS Joseph, Mohammed Shami, MM Sharma, J Little"/>
  </r>
  <r>
    <n v="1359491"/>
    <s v="Rajasthan Royals"/>
    <s v="Chennai Super Kings"/>
    <x v="2"/>
    <n v="2023"/>
    <d v="2023-04-12T00:00:00"/>
    <x v="3"/>
    <x v="0"/>
    <s v="Win"/>
    <s v="NA"/>
    <x v="7"/>
    <x v="55"/>
    <x v="11"/>
    <s v="Chennai"/>
    <s v="YBK Jaiswal, JC Buttler, D Padikkal, SV Samson, R Ashwin, SO Hetmyer, Dhruv Jurel, JO Holder, A Zampa, KR Sen, Sandeep Sharma, YS Chahal"/>
    <s v="RD Gaikwad, DP Conway, AM Rahane, S Dube, MM Ali, AT Rayudu, RA Jadeja, MS Dhoni, SSB Magala, TU Deshpande, M Theekshana, Akash Singh"/>
  </r>
  <r>
    <n v="1359490"/>
    <s v="Delhi Capitals"/>
    <s v="Mumbai Indians"/>
    <x v="2"/>
    <n v="2023"/>
    <d v="2023-04-11T00:00:00"/>
    <x v="1"/>
    <x v="0"/>
    <s v="Win"/>
    <s v="NA"/>
    <x v="2"/>
    <x v="2"/>
    <x v="5"/>
    <s v="Delhi"/>
    <s v="Mukesh Kumar, DA Warner, PP Shaw, MK Pandey, YV Dhull, R Powell, Lalit Yadav, AR Patel, Abishek Porel, Kuldeep Yadav, A Nortje, Mustafizur Rahman"/>
    <s v="RP Meredith, RG Sharma, Ishan Kishan, Tilak Varma, SA Yadav, TH David, C Green, N Wadhera, HR Shokeen, Arshad Khan, JP Behrendorff, PP Chawla"/>
  </r>
  <r>
    <n v="1359489"/>
    <s v="Royal Challengers Bangalore"/>
    <s v="Lucknow Super Giants"/>
    <x v="2"/>
    <n v="2023"/>
    <d v="2023-04-10T00:00:00"/>
    <x v="9"/>
    <x v="0"/>
    <s v="Win"/>
    <s v="NA"/>
    <x v="6"/>
    <x v="42"/>
    <x v="10"/>
    <s v="Bengaluru"/>
    <s v="Anuj Rawat, V Kohli, F du Plessis, GJ Maxwell, KD Karthik, MK Lomror, Shahbaz Ahmed, DJ Willey, WD Parnell, HV Patel, Mohammed Siraj, KV Sharma"/>
    <s v="A Mishra, KR Mayers, KL Rahul, DJ Hooda, KH Pandya, MP Stoinis, N Pooran, A Badoni, JD Unadkat, MA Wood, Ravi Bishnoi, Avesh Khan"/>
  </r>
  <r>
    <n v="1359488"/>
    <s v="Punjab Kings"/>
    <s v="Sunrisers Hyderabad"/>
    <x v="2"/>
    <n v="2023"/>
    <d v="2023-04-09T00:00:00"/>
    <x v="4"/>
    <x v="0"/>
    <s v="Win"/>
    <s v="NA"/>
    <x v="4"/>
    <x v="104"/>
    <x v="9"/>
    <s v="Hyderabad"/>
    <s v="P Simran Singh, S Dhawan, MW Short, JM Sharma, SM Curran, Sikandar Raza, M Shahrukh Khan, Harpreet Brar, RD Chahar, NT Ellis, Mohit Rathee, Arshdeep Singh"/>
    <s v="HC Brook, MA Agarwal, RA Tripathi, AK Markram, H Klaasen, Washington Sundar, M Jansen, M Markande, B Kumar, Umran Malik, T Natarajan"/>
  </r>
  <r>
    <n v="1359487"/>
    <s v="Gujarat Titans"/>
    <s v="Kolkata Knight Riders"/>
    <x v="2"/>
    <n v="2023"/>
    <d v="2023-04-09T00:00:00"/>
    <x v="6"/>
    <x v="1"/>
    <s v="Win"/>
    <s v="NA"/>
    <x v="10"/>
    <x v="92"/>
    <x v="0"/>
    <s v="Ahmedabad"/>
    <s v="J Little, WP Saha, Shubman Gill, B Sai Sudharsan, A Manohar, V Shankar, DA Miller, R Tewatia, Rashid Khan, AS Joseph, Mohammed Shami, Yash Dayal"/>
    <s v="Suyash Sharma, Rahmanullah Gurbaz, N Jagadeesan, VR Iyer, N Rana, RK Singh, AD Russell, SP Narine, SN Thakur, UT Yadav, LH Ferguson, CV Varun"/>
  </r>
  <r>
    <n v="1359485"/>
    <s v="Rajasthan Royals"/>
    <s v="Delhi Capitals"/>
    <x v="2"/>
    <n v="2023"/>
    <d v="2023-04-08T00:00:00"/>
    <x v="5"/>
    <x v="0"/>
    <s v="Win"/>
    <s v="NA"/>
    <x v="7"/>
    <x v="94"/>
    <x v="13"/>
    <s v="Guwahati"/>
    <s v="M Ashwin, YBK Jaiswal, JC Buttler, SV Samson, R Parag, SO Hetmyer, Dhruv Jurel, JO Holder, R Ashwin, YS Chahal, TA Boult, Sandeep Sharma"/>
    <s v="KK Ahmed, PP Shaw, DA Warner, MK Pandey, RR Rossouw, Lalit Yadav, AR Patel, R Powell, Abishek Porel, Kuldeep Yadav, A Nortje, Mukesh Kumar"/>
  </r>
  <r>
    <n v="1359486"/>
    <s v="Mumbai Indians"/>
    <s v="Chennai Super Kings"/>
    <x v="2"/>
    <n v="2023"/>
    <d v="2023-04-08T00:00:00"/>
    <x v="3"/>
    <x v="0"/>
    <s v="Win"/>
    <s v="NA"/>
    <x v="3"/>
    <x v="64"/>
    <x v="6"/>
    <s v="Mumbai"/>
    <s v="K Kartikeya, RG Sharma, Ishan Kishan, C Green, SA Yadav, Tilak Varma, Arshad Khan, TH David, T Stubbs, HR Shokeen, PP Chawla, JP Behrendorff"/>
    <s v="DL Chahar, DP Conway, RD Gaikwad, AM Rahane, S Dube, AT Rayudu, RA Jadeja, MS Dhoni, D Pretorius, MJ Santner, SSB Magala, TU Deshpande"/>
  </r>
  <r>
    <n v="1359484"/>
    <s v="Sunrisers Hyderabad"/>
    <s v="Lucknow Super Giants"/>
    <x v="2"/>
    <n v="2023"/>
    <d v="2023-04-07T00:00:00"/>
    <x v="4"/>
    <x v="1"/>
    <s v="Win"/>
    <s v="NA"/>
    <x v="6"/>
    <x v="0"/>
    <x v="3"/>
    <s v="Lucknow"/>
    <s v="Fazalhaq Farooqi, Anmolpreet Singh, MA Agarwal, RA Tripathi, AK Markram, HC Brook, Washington Sundar, Abdul Samad, AU Rashid, Umran Malik, B Kumar, T Natarajan"/>
    <s v="A Mishra, KR Mayers, KL Rahul, DJ Hooda, KH Pandya, MP Stoinis, R Shepherd, N Pooran, Yash Thakur, JD Unadkat, Ravi Bishnoi, A Badoni"/>
  </r>
  <r>
    <n v="1359483"/>
    <s v="Kolkata Knight Riders"/>
    <s v="Royal Challengers Bangalore"/>
    <x v="2"/>
    <n v="2023"/>
    <d v="2023-04-06T00:00:00"/>
    <x v="10"/>
    <x v="0"/>
    <s v="Win"/>
    <s v="NA"/>
    <x v="10"/>
    <x v="51"/>
    <x v="8"/>
    <s v="Kolkata"/>
    <s v="Suyash Sharma, Rahmanullah Gurbaz, VR Iyer, Mandeep Singh, N Rana, RK Singh, AD Russell, SN Thakur, SP Narine, UT Yadav, TG Southee, CV Varun"/>
    <s v="Mohammed Siraj, V Kohli, F du Plessis, MG Bracewell, GJ Maxwell, HV Patel, Shahbaz Ahmed, KD Karthik, Anuj Rawat, DJ Willey, KV Sharma, Akash Deep"/>
  </r>
  <r>
    <n v="1359482"/>
    <s v="Punjab Kings"/>
    <s v="Rajasthan Royals"/>
    <x v="2"/>
    <n v="2023"/>
    <d v="2023-04-05T00:00:00"/>
    <x v="7"/>
    <x v="0"/>
    <s v="Win"/>
    <s v="NA"/>
    <x v="1"/>
    <x v="105"/>
    <x v="13"/>
    <s v="Guwahati"/>
    <s v="P Simran Singh, S Dhawan, PBB Rajapaksa, JM Sharma, Sikandar Raza, M Shahrukh Khan, SM Curran, Harpreet Brar, NT Ellis, RD Chahar, Arshdeep Singh, R Dhawan"/>
    <s v="YBK Jaiswal, R Ashwin, JC Buttler, SV Samson, D Padikkal, R Parag, SO Hetmyer, Dhruv Jurel, JO Holder, YS Chahal, TA Boult, KM Asif"/>
  </r>
  <r>
    <n v="1359481"/>
    <s v="Delhi Capitals"/>
    <s v="Gujarat Titans"/>
    <x v="2"/>
    <n v="2023"/>
    <d v="2023-04-04T00:00:00"/>
    <x v="6"/>
    <x v="0"/>
    <s v="Win"/>
    <s v="NA"/>
    <x v="8"/>
    <x v="14"/>
    <x v="5"/>
    <s v="Delhi"/>
    <s v="KK Ahmed, DA Warner, PP Shaw, MR Marsh, SN Khan, RR Rossouw, Abishek Porel, AR Patel, Aman Hakim Khan, Kuldeep Yadav, A Nortje, Mukesh Kumar"/>
    <s v="J Little, WP Saha, Shubman Gill, B Sai Sudharsan, HH Pandya, V Shankar, DA Miller, R Tewatia, Rashid Khan, AS Joseph, Yash Dayal, Mohammed Shami"/>
  </r>
  <r>
    <n v="1359480"/>
    <s v="Chennai Super Kings"/>
    <s v="Lucknow Super Giants"/>
    <x v="2"/>
    <n v="2023"/>
    <d v="2023-04-03T00:00:00"/>
    <x v="9"/>
    <x v="0"/>
    <s v="Win"/>
    <s v="NA"/>
    <x v="3"/>
    <x v="106"/>
    <x v="11"/>
    <s v="Chennai"/>
    <s v="TU Deshpande, RD Gaikwad, DP Conway, S Dube, MM Ali, BA Stokes, AT Rayudu, RA Jadeja, MS Dhoni, MJ Santner, DL Chahar, RS Hangargekar"/>
    <s v="Avesh Khan, KL Rahul, KR Mayers, DJ Hooda, KH Pandya, MP Stoinis, N Pooran, A Badoni, K Gowtham, MA Wood, Yash Thakur, Ravi Bishnoi"/>
  </r>
  <r>
    <n v="1359478"/>
    <s v="Rajasthan Royals"/>
    <s v="Sunrisers Hyderabad"/>
    <x v="2"/>
    <n v="2023"/>
    <d v="2023-04-02T00:00:00"/>
    <x v="4"/>
    <x v="0"/>
    <s v="Win"/>
    <s v="NA"/>
    <x v="7"/>
    <x v="33"/>
    <x v="9"/>
    <s v="Hyderabad"/>
    <s v="NA Saini, YBK Jaiswal, JC Buttler, SV Samson, D Padikkal, R Parag, SO Hetmyer, R Ashwin, JO Holder, TA Boult, KM Asif, YS Chahal"/>
    <s v="Fazalhaq Farooqi, Abhishek Sharma, MA Agarwal, RA Tripathi, HC Brook, Washington Sundar, GD Phillips, Abdul Samad, AU Rashid, B Kumar, Umran Malik, T Natarajan"/>
  </r>
  <r>
    <n v="1359479"/>
    <s v="Mumbai Indians"/>
    <s v="Royal Challengers Bangalore"/>
    <x v="2"/>
    <n v="2023"/>
    <d v="2023-04-02T00:00:00"/>
    <x v="10"/>
    <x v="0"/>
    <s v="Win"/>
    <s v="NA"/>
    <x v="11"/>
    <x v="56"/>
    <x v="10"/>
    <s v="Bengaluru"/>
    <s v="JP Behrendorff, RG Sharma, Ishan Kishan, C Green, SA Yadav, Tilak Varma, N Wadhera, TH David, HR Shokeen, Arshad Khan, PP Chawla, JC Archer"/>
    <s v="V Kohli, F du Plessis, KD Karthik, GJ Maxwell, MG Bracewell, Shahbaz Ahmed, HV Patel, Akash Deep, RJW Topley, Mohammed Siraj, KV Sharma"/>
  </r>
  <r>
    <n v="1359477"/>
    <s v="Lucknow Super Giants"/>
    <s v="Delhi Capitals"/>
    <x v="2"/>
    <n v="2023"/>
    <d v="2023-04-01T00:00:00"/>
    <x v="5"/>
    <x v="0"/>
    <s v="Win"/>
    <s v="NA"/>
    <x v="6"/>
    <x v="107"/>
    <x v="3"/>
    <s v="Lucknow"/>
    <s v="KL Rahul, KR Mayers, DJ Hooda, KH Pandya, MP Stoinis, N Pooran, A Badoni, K Gowtham, Avesh Khan, Ravi Bishnoi, JD Unadkat, MA Wood"/>
    <s v="KK Ahmed, PP Shaw, DA Warner, MR Marsh, SN Khan, RR Rossouw, R Powell, Aman Hakim Khan, AR Patel, Kuldeep Yadav, C Sakariya, Mukesh Kumar"/>
  </r>
  <r>
    <n v="1359476"/>
    <s v="Punjab Kings"/>
    <s v="Kolkata Knight Riders"/>
    <x v="2"/>
    <n v="2023"/>
    <d v="2023-04-01T00:00:00"/>
    <x v="8"/>
    <x v="0"/>
    <s v="Win"/>
    <s v="NA"/>
    <x v="1"/>
    <x v="108"/>
    <x v="14"/>
    <s v="Chandigarh"/>
    <s v="P Simran Singh, S Dhawan, PBB Rajapaksa, JM Sharma, Sikandar Raza, SM Curran, M Shahrukh Khan, Harpreet Brar, RD Chahar, Arshdeep Singh, NT Ellis, R Dhawan"/>
    <s v="Mandeep Singh, Rahmanullah Gurbaz, AS Roy, VR Iyer, N Rana, RK Singh, AD Russell, SN Thakur, SP Narine, TG Southee, UT Yadav, CV Varun"/>
  </r>
  <r>
    <n v="1359475"/>
    <s v="Chennai Super Kings"/>
    <s v="Gujarat Titans"/>
    <x v="2"/>
    <n v="2023"/>
    <d v="2023-03-31T00:00:00"/>
    <x v="6"/>
    <x v="0"/>
    <s v="Win"/>
    <s v="NA"/>
    <x v="8"/>
    <x v="78"/>
    <x v="0"/>
    <s v="Ahmedabad"/>
    <s v="TU Deshpande, DP Conway, RD Gaikwad, MM Ali, BA Stokes, AT Rayudu, S Dube, RA Jadeja, MS Dhoni, MJ Santner, DL Chahar, RS Hangargekar"/>
    <s v="KS Williamson, WP Saha, Shubman Gill, B Sai Sudharsan, HH Pandya, V Shankar, R Tewatia, Rashid Khan, Mohammed Shami, J Little, Yash Dayal, AS Joseph"/>
  </r>
  <r>
    <n v="1312200"/>
    <s v="Rajasthan Royals"/>
    <s v="Gujarat Titans"/>
    <x v="3"/>
    <n v="2022"/>
    <d v="2022-05-29T00:00:00"/>
    <x v="7"/>
    <x v="1"/>
    <s v="Win"/>
    <s v="NA"/>
    <x v="8"/>
    <x v="109"/>
    <x v="0"/>
    <s v="Ahmedabad"/>
    <s v="YBK Jaiswal, JC Buttler, SV Samson, D Padikkal, SO Hetmyer, R Ashwin, R Parag, TA Boult, OC McCoy, M Prasidh Krishna, YS Chahal"/>
    <s v="WP Saha, Shubman Gill, MS Wade, HH Pandya, DA Miller, R Tewatia, Rashid Khan, R Sai Kishore, LH Ferguson, Yash Dayal, Mohammed Shami"/>
  </r>
  <r>
    <n v="1312199"/>
    <s v="Royal Challengers Bangalore"/>
    <s v="Rajasthan Royals"/>
    <x v="3"/>
    <n v="2022"/>
    <d v="2022-05-27T00:00:00"/>
    <x v="7"/>
    <x v="0"/>
    <s v="Win"/>
    <s v="NA"/>
    <x v="7"/>
    <x v="33"/>
    <x v="0"/>
    <s v="Ahmedabad"/>
    <s v="V Kohli, F du Plessis, RM Patidar, GJ Maxwell, MK Lomror, KD Karthik, Shahbaz Ahmed, PWH de Silva, HV Patel, JR Hazlewood, Mohammed Siraj"/>
    <s v="YBK Jaiswal, JC Buttler, SV Samson, D Padikkal, SO Hetmyer, R Parag, R Ashwin, TA Boult, YS Chahal, M Prasidh Krishna, OC McCoy"/>
  </r>
  <r>
    <n v="1312198"/>
    <s v="Royal Challengers Bangalore"/>
    <s v="Lucknow Super Giants"/>
    <x v="3"/>
    <n v="2022"/>
    <d v="2022-05-25T00:00:00"/>
    <x v="9"/>
    <x v="0"/>
    <s v="Win"/>
    <s v="NA"/>
    <x v="11"/>
    <x v="44"/>
    <x v="8"/>
    <s v="Kolkata"/>
    <s v="V Kohli, F du Plessis, RM Patidar, GJ Maxwell, MK Lomror, KD Karthik, Shahbaz Ahmed, HV Patel, PWH de Silva, JR Hazlewood, Mohammed Siraj"/>
    <s v="Q de Kock, KL Rahul, M Vohra, DJ Hooda, MP Stoinis, E Lewis, KH Pandya, PVD Chameera, Mohsin Khan, Avesh Khan, Ravi Bishnoi"/>
  </r>
  <r>
    <n v="1312197"/>
    <s v="Rajasthan Royals"/>
    <s v="Gujarat Titans"/>
    <x v="3"/>
    <n v="2022"/>
    <d v="2022-05-24T00:00:00"/>
    <x v="6"/>
    <x v="0"/>
    <s v="Win"/>
    <s v="NA"/>
    <x v="8"/>
    <x v="110"/>
    <x v="8"/>
    <s v="Kolkata"/>
    <s v="YBK Jaiswal, JC Buttler, SV Samson, D Padikkal, SO Hetmyer, R Parag, R Ashwin, TA Boult, YS Chahal, M Prasidh Krishna, OC McCoy"/>
    <s v="WP Saha, Shubman Gill, MS Wade, HH Pandya, DA Miller, R Tewatia, Rashid Khan, R Sai Kishore, AS Joseph, Yash Dayal, Mohammed Shami"/>
  </r>
  <r>
    <n v="1304116"/>
    <s v="Sunrisers Hyderabad"/>
    <s v="Punjab Kings"/>
    <x v="3"/>
    <n v="2022"/>
    <d v="2022-05-22T00:00:00"/>
    <x v="4"/>
    <x v="1"/>
    <s v="Win"/>
    <s v="NA"/>
    <x v="1"/>
    <x v="15"/>
    <x v="6"/>
    <s v="Mumbai"/>
    <s v="PK Garg, Abhishek Sharma, RA Tripathi, AK Markram, N Pooran, Washington Sundar, R Shepherd, J Suchith, B Kumar, Umran Malik, Fazalhaq Farooqi"/>
    <s v="JM Bairstow, S Dhawan, M Shahrukh Khan, MA Agarwal, LS Livingstone, JM Sharma, PN Mankad, Harpreet Brar, K Rabada, NT Ellis, Arshdeep Singh"/>
  </r>
  <r>
    <n v="1304115"/>
    <s v="Delhi Capitals"/>
    <s v="Mumbai Indians"/>
    <x v="3"/>
    <n v="2022"/>
    <d v="2022-05-21T00:00:00"/>
    <x v="1"/>
    <x v="0"/>
    <s v="Win"/>
    <s v="NA"/>
    <x v="2"/>
    <x v="75"/>
    <x v="6"/>
    <s v="Mumbai"/>
    <s v="PP Shaw, DA Warner, MR Marsh, RR Pant, SN Khan, R Powell, AR Patel, SN Thakur, Kuldeep Yadav, A Nortje, KK Ahmed"/>
    <s v="Ishan Kishan, RG Sharma, D Brevis, Tilak Varma, TH David, Ramandeep Singh, DR Sams, HR Shokeen, JJ Bumrah, M Markande, RP Meredith"/>
  </r>
  <r>
    <n v="1304114"/>
    <s v="Chennai Super Kings"/>
    <s v="Rajasthan Royals"/>
    <x v="3"/>
    <n v="2022"/>
    <d v="2022-05-20T00:00:00"/>
    <x v="3"/>
    <x v="1"/>
    <s v="Win"/>
    <s v="NA"/>
    <x v="7"/>
    <x v="55"/>
    <x v="15"/>
    <s v="Mumbai"/>
    <s v="RD Gaikwad, DP Conway, MM Ali, N Jagadeesan, AT Rayudu, MS Dhoni, MJ Santner, Simarjeet Singh, Mukesh Choudhary, PH Solanki, M Pathirana"/>
    <s v="YBK Jaiswal, JC Buttler, SV Samson, D Padikkal, R Ashwin, SO Hetmyer, R Parag, TA Boult, YS Chahal, M Prasidh Krishna, OC McCoy"/>
  </r>
  <r>
    <n v="1304113"/>
    <s v="Gujarat Titans"/>
    <s v="Royal Challengers Bangalore"/>
    <x v="3"/>
    <n v="2022"/>
    <d v="2022-05-19T00:00:00"/>
    <x v="6"/>
    <x v="1"/>
    <s v="Win"/>
    <s v="NA"/>
    <x v="11"/>
    <x v="31"/>
    <x v="6"/>
    <s v="Mumbai"/>
    <s v="WP Saha, Shubman Gill, MS Wade, HH Pandya, DA Miller, R Tewatia, Rashid Khan, R Sai Kishore, LH Ferguson, Yash Dayal, Mohammed Shami"/>
    <s v="V Kohli, F du Plessis, GJ Maxwell, KD Karthik, RM Patidar, MK Lomror, Shahbaz Ahmed, HV Patel, PWH de Silva, JR Hazlewood, S Kaul"/>
  </r>
  <r>
    <n v="1304112"/>
    <s v="Lucknow Super Giants"/>
    <s v="Kolkata Knight Riders"/>
    <x v="3"/>
    <n v="2022"/>
    <d v="2022-05-18T00:00:00"/>
    <x v="9"/>
    <x v="1"/>
    <s v="Win"/>
    <s v="NA"/>
    <x v="6"/>
    <x v="52"/>
    <x v="16"/>
    <s v="Navi Mumbai"/>
    <s v="Q de Kock, KL Rahul, E Lewis, DJ Hooda, M Vohra, MP Stoinis, JO Holder, K Gowtham, Mohsin Khan, Avesh Khan, Ravi Bishnoi"/>
    <s v="VR Iyer, A Tomar, N Rana, SS Iyer, SW Billings, AD Russell, RK Singh, SP Narine, UT Yadav, TG Southee, CV Varun"/>
  </r>
  <r>
    <n v="1304111"/>
    <s v="Sunrisers Hyderabad"/>
    <s v="Mumbai Indians"/>
    <x v="3"/>
    <n v="2022"/>
    <d v="2022-05-17T00:00:00"/>
    <x v="1"/>
    <x v="0"/>
    <s v="Win"/>
    <s v="NA"/>
    <x v="4"/>
    <x v="111"/>
    <x v="6"/>
    <s v="Mumbai"/>
    <s v="Abhishek Sharma, PK Garg, RA Tripathi, N Pooran, AK Markram, KS Williamson, Washington Sundar, B Kumar, Umran Malik, T Natarajan, Fazalhaq Farooqi"/>
    <s v="RG Sharma, Ishan Kishan, DR Sams, Tilak Varma, TH David, T Stubbs, Ramandeep Singh, R Sanjay Yadav, JJ Bumrah, M Markande, RP Meredith"/>
  </r>
  <r>
    <n v="1304110"/>
    <s v="Delhi Capitals"/>
    <s v="Punjab Kings"/>
    <x v="3"/>
    <n v="2022"/>
    <d v="2022-05-16T00:00:00"/>
    <x v="0"/>
    <x v="0"/>
    <s v="Win"/>
    <s v="NA"/>
    <x v="5"/>
    <x v="51"/>
    <x v="16"/>
    <s v="Navi Mumbai"/>
    <s v="DA Warner, SN Khan, MR Marsh, Lalit Yadav, RR Pant, R Powell, AR Patel, SN Thakur, Kuldeep Yadav, A Nortje, KK Ahmed"/>
    <s v="JM Bairstow, S Dhawan, PBB Rajapaksa, LS Livingstone, MA Agarwal, JM Sharma, Harpreet Brar, R Dhawan, RD Chahar, K Rabada, Arshdeep Singh"/>
  </r>
  <r>
    <n v="1304109"/>
    <s v="Rajasthan Royals"/>
    <s v="Lucknow Super Giants"/>
    <x v="3"/>
    <n v="2022"/>
    <d v="2022-05-15T00:00:00"/>
    <x v="7"/>
    <x v="1"/>
    <s v="Win"/>
    <s v="NA"/>
    <x v="7"/>
    <x v="29"/>
    <x v="15"/>
    <s v="Mumbai"/>
    <s v="YBK Jaiswal, JC Buttler, SV Samson, D Padikkal, R Parag, JDS Neesham, R Ashwin, TA Boult, M Prasidh Krishna, YS Chahal, OC McCoy"/>
    <s v="Q de Kock, KL Rahul, A Badoni, DJ Hooda, KH Pandya, MP Stoinis, JO Holder, PVD Chameera, Mohsin Khan, Avesh Khan, Ravi Bishnoi"/>
  </r>
  <r>
    <n v="1304108"/>
    <s v="Chennai Super Kings"/>
    <s v="Gujarat Titans"/>
    <x v="3"/>
    <n v="2022"/>
    <d v="2022-05-15T00:00:00"/>
    <x v="3"/>
    <x v="1"/>
    <s v="Win"/>
    <s v="NA"/>
    <x v="8"/>
    <x v="112"/>
    <x v="6"/>
    <s v="Mumbai"/>
    <s v="RD Gaikwad, DP Conway, MM Ali, N Jagadeesan, S Dube, MS Dhoni, MJ Santner, PH Solanki, Simarjeet Singh, M Pathirana, Mukesh Choudhary"/>
    <s v="WP Saha, Shubman Gill, MS Wade, HH Pandya, DA Miller, R Tewatia, Rashid Khan, R Sai Kishore, AS Joseph, Yash Dayal, Mohammed Shami"/>
  </r>
  <r>
    <n v="1304107"/>
    <s v="Kolkata Knight Riders"/>
    <s v="Sunrisers Hyderabad"/>
    <x v="3"/>
    <n v="2022"/>
    <d v="2022-05-14T00:00:00"/>
    <x v="8"/>
    <x v="1"/>
    <s v="Win"/>
    <s v="NA"/>
    <x v="10"/>
    <x v="20"/>
    <x v="17"/>
    <s v="Pune"/>
    <s v="VR Iyer, AM Rahane, N Rana, SS Iyer, SW Billings, RK Singh, AD Russell, SP Narine, UT Yadav, TG Southee, CV Varun"/>
    <s v="Abhishek Sharma, KS Williamson, RA Tripathi, AK Markram, N Pooran, Washington Sundar, Shashank Singh, M Jansen, B Kumar, Umran Malik, T Natarajan"/>
  </r>
  <r>
    <n v="1304106"/>
    <s v="Punjab Kings"/>
    <s v="Royal Challengers Bangalore"/>
    <x v="3"/>
    <n v="2022"/>
    <d v="2022-05-13T00:00:00"/>
    <x v="10"/>
    <x v="0"/>
    <s v="Win"/>
    <s v="NA"/>
    <x v="1"/>
    <x v="71"/>
    <x v="15"/>
    <s v="Mumbai"/>
    <s v="JM Bairstow, S Dhawan, PBB Rajapaksa, LS Livingstone, MA Agarwal, JM Sharma, Harpreet Brar, R Dhawan, RD Chahar, K Rabada, Arshdeep Singh"/>
    <s v="V Kohli, F du Plessis, RM Patidar, MK Lomror, GJ Maxwell, KD Karthik, Shahbaz Ahmed, HV Patel, PWH de Silva, Mohammed Siraj, JR Hazlewood"/>
  </r>
  <r>
    <n v="1304105"/>
    <s v="Chennai Super Kings"/>
    <s v="Mumbai Indians"/>
    <x v="3"/>
    <n v="2022"/>
    <d v="2022-05-12T00:00:00"/>
    <x v="1"/>
    <x v="0"/>
    <s v="Win"/>
    <s v="NA"/>
    <x v="2"/>
    <x v="113"/>
    <x v="6"/>
    <s v="Mumbai"/>
    <s v="RD Gaikwad, DP Conway, MM Ali, RV Uthappa, AT Rayudu, MS Dhoni, S Dube, DJ Bravo, Simarjeet Singh, M Theekshana, Mukesh Choudhary"/>
    <s v="Ishan Kishan, RG Sharma, DR Sams, Tilak Varma, T Stubbs, HR Shokeen, TH David, Ramandeep Singh, JJ Bumrah, RP Meredith, K Kartikeya"/>
  </r>
  <r>
    <n v="1304104"/>
    <s v="Rajasthan Royals"/>
    <s v="Delhi Capitals"/>
    <x v="3"/>
    <n v="2022"/>
    <d v="2022-05-11T00:00:00"/>
    <x v="5"/>
    <x v="0"/>
    <s v="Win"/>
    <s v="NA"/>
    <x v="5"/>
    <x v="10"/>
    <x v="16"/>
    <s v="Navi Mumbai"/>
    <s v="YBK Jaiswal, JC Buttler, R Ashwin, D Padikkal, SV Samson, R Parag, HE van der Dussen, TA Boult, M Prasidh Krishna, YS Chahal, KR Sen"/>
    <s v="KS Bharat, DA Warner, MR Marsh, RR Pant, R Powell, Lalit Yadav, AR Patel, SN Thakur, Kuldeep Yadav, A Nortje, C Sakariya"/>
  </r>
  <r>
    <n v="1304103"/>
    <s v="Gujarat Titans"/>
    <s v="Lucknow Super Giants"/>
    <x v="3"/>
    <n v="2022"/>
    <d v="2022-05-10T00:00:00"/>
    <x v="6"/>
    <x v="1"/>
    <s v="Win"/>
    <s v="NA"/>
    <x v="8"/>
    <x v="18"/>
    <x v="17"/>
    <s v="Pune"/>
    <s v="WP Saha, Shubman Gill, MS Wade, HH Pandya, DA Miller, R Tewatia, Rashid Khan, R Sai Kishore, AS Joseph, Yash Dayal, Mohammed Shami"/>
    <s v="Q de Kock, KL Rahul, DJ Hooda, KS Sharma, KH Pandya, A Badoni, MP Stoinis, JO Holder, Mohsin Khan, PVD Chameera, Avesh Khan"/>
  </r>
  <r>
    <n v="1304102"/>
    <s v="Kolkata Knight Riders"/>
    <s v="Mumbai Indians"/>
    <x v="3"/>
    <n v="2022"/>
    <d v="2022-05-09T00:00:00"/>
    <x v="1"/>
    <x v="0"/>
    <s v="Win"/>
    <s v="NA"/>
    <x v="10"/>
    <x v="75"/>
    <x v="16"/>
    <s v="Navi Mumbai"/>
    <s v="VR Iyer, AM Rahane, N Rana, SS Iyer, AD Russell, RK Singh, SP Jackson, PJ Cummins, SP Narine, TG Southee, CV Varun"/>
    <s v="RG Sharma, Ishan Kishan, Tilak Varma, Ramandeep Singh, TH David, KA Pollard, DR Sams, M Ashwin, K Kartikeya, JJ Bumrah, RP Meredith"/>
  </r>
  <r>
    <n v="1304100"/>
    <s v="Royal Challengers Bangalore"/>
    <s v="Sunrisers Hyderabad"/>
    <x v="3"/>
    <n v="2022"/>
    <d v="2022-05-08T00:00:00"/>
    <x v="10"/>
    <x v="1"/>
    <s v="Win"/>
    <s v="NA"/>
    <x v="11"/>
    <x v="114"/>
    <x v="6"/>
    <s v="Mumbai"/>
    <s v="V Kohli, F du Plessis, RM Patidar, GJ Maxwell, KD Karthik, MK Lomror, Shahbaz Ahmed, PWH de Silva, HV Patel, JR Hazlewood, Mohammed Siraj"/>
    <s v="Abhishek Sharma, KS Williamson, RA Tripathi, AK Markram, N Pooran, J Suchith, Shashank Singh, Kartik Tyagi, B Kumar, Umran Malik, Fazalhaq Farooqi"/>
  </r>
  <r>
    <n v="1304101"/>
    <s v="Chennai Super Kings"/>
    <s v="Delhi Capitals"/>
    <x v="3"/>
    <n v="2022"/>
    <d v="2022-05-08T00:00:00"/>
    <x v="5"/>
    <x v="0"/>
    <s v="Win"/>
    <s v="NA"/>
    <x v="3"/>
    <x v="88"/>
    <x v="16"/>
    <s v="Navi Mumbai"/>
    <s v="RD Gaikwad, DP Conway, S Dube, AT Rayudu, MS Dhoni, MM Ali, RV Uthappa, DJ Bravo, Simarjeet Singh, M Theekshana, Mukesh Choudhary"/>
    <s v="DA Warner, KS Bharat, MR Marsh, RR Pant, R Powell, RV Patel, AR Patel, SN Thakur, Kuldeep Yadav, A Nortje, KK Ahmed"/>
  </r>
  <r>
    <n v="1304099"/>
    <s v="Lucknow Super Giants"/>
    <s v="Kolkata Knight Riders"/>
    <x v="3"/>
    <n v="2022"/>
    <d v="2022-05-07T00:00:00"/>
    <x v="8"/>
    <x v="0"/>
    <s v="Win"/>
    <s v="NA"/>
    <x v="6"/>
    <x v="32"/>
    <x v="17"/>
    <s v="Pune"/>
    <s v="Q de Kock, KL Rahul, DJ Hooda, KH Pandya, A Badoni, MP Stoinis, JO Holder, PVD Chameera, Avesh Khan, Mohsin Khan, Ravi Bishnoi"/>
    <s v="B Indrajith, AJ Finch, SS Iyer, N Rana, RK Singh, AD Russell, SP Narine, AS Roy, Shivam Mavi, TG Southee, Harshit Rana"/>
  </r>
  <r>
    <n v="1304098"/>
    <s v="Punjab Kings"/>
    <s v="Rajasthan Royals"/>
    <x v="3"/>
    <n v="2022"/>
    <d v="2022-05-07T00:00:00"/>
    <x v="0"/>
    <x v="1"/>
    <s v="Win"/>
    <s v="NA"/>
    <x v="7"/>
    <x v="94"/>
    <x v="6"/>
    <s v="Mumbai"/>
    <s v="JM Bairstow, S Dhawan, PBB Rajapaksa, MA Agarwal, JM Sharma, LS Livingstone, R Dhawan, K Rabada, RD Chahar, Arshdeep Singh, Sandeep Sharma"/>
    <s v="YBK Jaiswal, JC Buttler, SV Samson, D Padikkal, SO Hetmyer, R Parag, R Ashwin, TA Boult, M Prasidh Krishna, YS Chahal, KR Sen"/>
  </r>
  <r>
    <n v="1304097"/>
    <s v="Mumbai Indians"/>
    <s v="Gujarat Titans"/>
    <x v="3"/>
    <n v="2022"/>
    <d v="2022-05-06T00:00:00"/>
    <x v="6"/>
    <x v="0"/>
    <s v="Win"/>
    <s v="NA"/>
    <x v="2"/>
    <x v="34"/>
    <x v="15"/>
    <s v="Mumbai"/>
    <s v="Ishan Kishan, RG Sharma, SA Yadav, Tilak Varma, KA Pollard, TH David, DR Sams, M Ashwin, K Kartikeya, JJ Bumrah, RP Meredith"/>
    <s v="WP Saha, Shubman Gill, HH Pandya, B Sai Sudharsan, DA Miller, R Tewatia, Rashid Khan, PJ Sangwan, LH Ferguson, AS Joseph, Mohammed Shami"/>
  </r>
  <r>
    <n v="1304096"/>
    <s v="Delhi Capitals"/>
    <s v="Sunrisers Hyderabad"/>
    <x v="3"/>
    <n v="2022"/>
    <d v="2022-05-05T00:00:00"/>
    <x v="4"/>
    <x v="0"/>
    <s v="Win"/>
    <s v="NA"/>
    <x v="5"/>
    <x v="115"/>
    <x v="15"/>
    <s v="Mumbai"/>
    <s v="Mandeep Singh, DA Warner, MR Marsh, RR Pant, R Powell, Lalit Yadav, RV Patel, SN Thakur, Kuldeep Yadav, A Nortje, KK Ahmed"/>
    <s v="Abhishek Sharma, KS Williamson, RA Tripathi, AK Markram, N Pooran, Shashank Singh, SA Abbott, S Gopal, Kartik Tyagi, B Kumar, Umran Malik"/>
  </r>
  <r>
    <n v="1304095"/>
    <s v="Royal Challengers Bangalore"/>
    <s v="Chennai Super Kings"/>
    <x v="3"/>
    <n v="2022"/>
    <d v="2022-05-04T00:00:00"/>
    <x v="3"/>
    <x v="0"/>
    <s v="Win"/>
    <s v="NA"/>
    <x v="11"/>
    <x v="27"/>
    <x v="17"/>
    <s v="Pune"/>
    <s v="V Kohli, F du Plessis, GJ Maxwell, MK Lomror, RM Patidar, KD Karthik, PWH de Silva, Shahbaz Ahmed, HV Patel, Mohammed Siraj, JR Hazlewood"/>
    <s v="RD Gaikwad, DP Conway, RV Uthappa, AT Rayudu, MM Ali, RA Jadeja, MS Dhoni, D Pretorius, Simarjeet Singh, M Theekshana, Mukesh Choudhary"/>
  </r>
  <r>
    <n v="1304094"/>
    <s v="Gujarat Titans"/>
    <s v="Punjab Kings"/>
    <x v="3"/>
    <n v="2022"/>
    <d v="2022-05-03T00:00:00"/>
    <x v="6"/>
    <x v="1"/>
    <s v="Win"/>
    <s v="NA"/>
    <x v="1"/>
    <x v="116"/>
    <x v="16"/>
    <s v="Navi Mumbai"/>
    <s v="WP Saha, Shubman Gill, B Sai Sudharsan, HH Pandya, DA Miller, R Tewatia, Rashid Khan, PJ Sangwan, LH Ferguson, AS Joseph, Mohammed Shami"/>
    <s v="JM Bairstow, S Dhawan, PBB Rajapaksa, LS Livingstone, MA Agarwal, JM Sharma, R Dhawan, K Rabada, RD Chahar, Arshdeep Singh, Sandeep Sharma"/>
  </r>
  <r>
    <n v="1304093"/>
    <s v="Rajasthan Royals"/>
    <s v="Kolkata Knight Riders"/>
    <x v="3"/>
    <n v="2022"/>
    <d v="2022-05-02T00:00:00"/>
    <x v="8"/>
    <x v="0"/>
    <s v="Win"/>
    <s v="NA"/>
    <x v="10"/>
    <x v="92"/>
    <x v="6"/>
    <s v="Mumbai"/>
    <s v="JC Buttler, D Padikkal, SV Samson, KK Nair, R Parag, SO Hetmyer, R Ashwin, TA Boult, M Prasidh Krishna, YS Chahal, KR Sen"/>
    <s v="B Indrajith, AJ Finch, SS Iyer, N Rana, RK Singh, AS Roy, AD Russell, SP Narine, UT Yadav, TG Southee, Shivam Mavi"/>
  </r>
  <r>
    <n v="1304091"/>
    <s v="Lucknow Super Giants"/>
    <s v="Delhi Capitals"/>
    <x v="3"/>
    <n v="2022"/>
    <d v="2022-05-01T00:00:00"/>
    <x v="9"/>
    <x v="1"/>
    <s v="Win"/>
    <s v="NA"/>
    <x v="6"/>
    <x v="117"/>
    <x v="6"/>
    <s v="Mumbai"/>
    <s v="Q de Kock, KL Rahul, DJ Hooda, MP Stoinis, KH Pandya, A Badoni, JO Holder, Mohsin Khan, K Gowtham, PVD Chameera, Ravi Bishnoi"/>
    <s v="PP Shaw, DA Warner, MR Marsh, RR Pant, Lalit Yadav, R Powell, AR Patel, SN Thakur, Kuldeep Yadav, Mustafizur Rahman, C Sakariya"/>
  </r>
  <r>
    <n v="1304092"/>
    <s v="Chennai Super Kings"/>
    <s v="Sunrisers Hyderabad"/>
    <x v="3"/>
    <n v="2022"/>
    <d v="2022-05-01T00:00:00"/>
    <x v="4"/>
    <x v="0"/>
    <s v="Win"/>
    <s v="NA"/>
    <x v="3"/>
    <x v="68"/>
    <x v="17"/>
    <s v="Pune"/>
    <s v="RD Gaikwad, DP Conway, MS Dhoni, RA Jadeja, RV Uthappa, AT Rayudu, Simarjeet Singh, MJ Santner, D Pretorius, Mukesh Choudhary, M Theekshana"/>
    <s v="Abhishek Sharma, KS Williamson, RA Tripathi, AK Markram, N Pooran, Shashank Singh, Washington Sundar, M Jansen, B Kumar, T Natarajan, Umran Malik"/>
  </r>
  <r>
    <n v="1304090"/>
    <s v="Rajasthan Royals"/>
    <s v="Mumbai Indians"/>
    <x v="3"/>
    <n v="2022"/>
    <d v="2022-04-30T00:00:00"/>
    <x v="1"/>
    <x v="0"/>
    <s v="Win"/>
    <s v="NA"/>
    <x v="2"/>
    <x v="11"/>
    <x v="16"/>
    <s v="Navi Mumbai"/>
    <s v="JC Buttler, D Padikkal, SV Samson, DJ Mitchell, SO Hetmyer, R Parag, R Ashwin, TA Boult, M Prasidh Krishna, YS Chahal, KR Sen"/>
    <s v="RG Sharma, Ishan Kishan, SA Yadav, Tilak Varma, KA Pollard, TH David, DR Sams, HR Shokeen, K Kartikeya, JJ Bumrah, RP Meredith"/>
  </r>
  <r>
    <n v="1304089"/>
    <s v="Royal Challengers Bangalore"/>
    <s v="Gujarat Titans"/>
    <x v="3"/>
    <n v="2022"/>
    <d v="2022-04-30T00:00:00"/>
    <x v="10"/>
    <x v="1"/>
    <s v="Win"/>
    <s v="NA"/>
    <x v="8"/>
    <x v="118"/>
    <x v="15"/>
    <s v="Mumbai"/>
    <s v="V Kohli, F du Plessis, RM Patidar, GJ Maxwell, KD Karthik, Shahbaz Ahmed, MK Lomror, PWH de Silva, HV Patel, JR Hazlewood, Mohammed Siraj"/>
    <s v="WP Saha, Shubman Gill, B Sai Sudharsan, HH Pandya, DA Miller, R Tewatia, Rashid Khan, PJ Sangwan, AS Joseph, LH Ferguson, Mohammed Shami"/>
  </r>
  <r>
    <n v="1304088"/>
    <s v="Lucknow Super Giants"/>
    <s v="Punjab Kings"/>
    <x v="3"/>
    <n v="2022"/>
    <d v="2022-04-29T00:00:00"/>
    <x v="0"/>
    <x v="0"/>
    <s v="Win"/>
    <s v="NA"/>
    <x v="6"/>
    <x v="0"/>
    <x v="17"/>
    <s v="Pune"/>
    <s v="Q de Kock, KL Rahul, DJ Hooda, KH Pandya, MP Stoinis, A Badoni, JO Holder, PVD Chameera, Mohsin Khan, Avesh Khan, Ravi Bishnoi"/>
    <s v="MA Agarwal, S Dhawan, JM Bairstow, PBB Rajapaksa, LS Livingstone, JM Sharma, R Dhawan, K Rabada, RD Chahar, Arshdeep Singh, Sandeep Sharma"/>
  </r>
  <r>
    <n v="1304087"/>
    <s v="Kolkata Knight Riders"/>
    <s v="Delhi Capitals"/>
    <x v="3"/>
    <n v="2022"/>
    <d v="2022-04-28T00:00:00"/>
    <x v="5"/>
    <x v="0"/>
    <s v="Win"/>
    <s v="NA"/>
    <x v="5"/>
    <x v="63"/>
    <x v="6"/>
    <s v="Mumbai"/>
    <s v="AJ Finch, VR Iyer, SS Iyer, B Indrajith, SP Narine, N Rana, AD Russell, RK Singh, UT Yadav, TG Southee, Harshit Rana"/>
    <s v="PP Shaw, DA Warner, MR Marsh, Lalit Yadav, RR Pant, R Powell, AR Patel, SN Thakur, Kuldeep Yadav, Mustafizur Rahman, C Sakariya"/>
  </r>
  <r>
    <n v="1304086"/>
    <s v="Sunrisers Hyderabad"/>
    <s v="Gujarat Titans"/>
    <x v="3"/>
    <n v="2022"/>
    <d v="2022-04-27T00:00:00"/>
    <x v="6"/>
    <x v="0"/>
    <s v="Win"/>
    <s v="NA"/>
    <x v="8"/>
    <x v="119"/>
    <x v="6"/>
    <s v="Mumbai"/>
    <s v="Abhishek Sharma, KS Williamson, RA Tripathi, AK Markram, N Pooran, Washington Sundar, Shashank Singh, M Jansen, B Kumar, T Natarajan, Umran Malik"/>
    <s v="WP Saha, Shubman Gill, HH Pandya, DA Miller, R Tewatia, A Manohar, Rashid Khan, LH Ferguson, AS Joseph, Yash Dayal, Mohammed Shami"/>
  </r>
  <r>
    <n v="1304085"/>
    <s v="Rajasthan Royals"/>
    <s v="Royal Challengers Bangalore"/>
    <x v="3"/>
    <n v="2022"/>
    <d v="2022-04-26T00:00:00"/>
    <x v="10"/>
    <x v="0"/>
    <s v="Win"/>
    <s v="NA"/>
    <x v="7"/>
    <x v="85"/>
    <x v="17"/>
    <s v="Pune"/>
    <s v="JC Buttler, D Padikkal, R Ashwin, SV Samson, DJ Mitchell, R Parag, SO Hetmyer, TA Boult, M Prasidh Krishna, YS Chahal, KR Sen"/>
    <s v="V Kohli, F du Plessis, RM Patidar, GJ Maxwell, Shahbaz Ahmed, SS Prabhudessai, KD Karthik, PWH de Silva, HV Patel, Mohammed Siraj, JR Hazlewood"/>
  </r>
  <r>
    <n v="1304084"/>
    <s v="Punjab Kings"/>
    <s v="Chennai Super Kings"/>
    <x v="3"/>
    <n v="2022"/>
    <d v="2022-04-25T00:00:00"/>
    <x v="3"/>
    <x v="0"/>
    <s v="Win"/>
    <s v="NA"/>
    <x v="1"/>
    <x v="104"/>
    <x v="6"/>
    <s v="Mumbai"/>
    <s v="MA Agarwal, S Dhawan, PBB Rajapaksa, LS Livingstone, JM Bairstow, JM Sharma, R Dhawan, K Rabada, RD Chahar, Arshdeep Singh, Sandeep Sharma"/>
    <s v="RD Gaikwad, RV Uthappa, MJ Santner, S Dube, AT Rayudu, RA Jadeja, MS Dhoni, D Pretorius, DJ Bravo, Mukesh Choudhary, M Theekshana"/>
  </r>
  <r>
    <n v="1304083"/>
    <s v="Lucknow Super Giants"/>
    <s v="Mumbai Indians"/>
    <x v="3"/>
    <n v="2022"/>
    <d v="2022-04-24T00:00:00"/>
    <x v="1"/>
    <x v="0"/>
    <s v="Win"/>
    <s v="NA"/>
    <x v="6"/>
    <x v="41"/>
    <x v="6"/>
    <s v="Mumbai"/>
    <s v="Q de Kock, KL Rahul, MK Pandey, MP Stoinis, KH Pandya, DJ Hooda, A Badoni, JO Holder, PVD Chameera, Ravi Bishnoi, Mohsin Khan"/>
    <s v="Ishan Kishan, RG Sharma, D Brevis, SA Yadav, Tilak Varma, KA Pollard, DR Sams, JD Unadkat, HR Shokeen, JJ Bumrah, RP Meredith"/>
  </r>
  <r>
    <n v="1304081"/>
    <s v="Gujarat Titans"/>
    <s v="Kolkata Knight Riders"/>
    <x v="3"/>
    <n v="2022"/>
    <d v="2022-04-23T00:00:00"/>
    <x v="6"/>
    <x v="1"/>
    <s v="Win"/>
    <s v="NA"/>
    <x v="8"/>
    <x v="78"/>
    <x v="16"/>
    <s v="Navi Mumbai"/>
    <s v="WP Saha, Shubman Gill, HH Pandya, DA Miller, R Tewatia, Rashid Khan, A Manohar, LH Ferguson, AS Joseph, Yash Dayal, Mohammed Shami"/>
    <s v="SW Billings, SP Narine, SS Iyer, N Rana, RK Singh, VR Iyer, AD Russell, Shivam Mavi, UT Yadav, TG Southee, CV Varun"/>
  </r>
  <r>
    <n v="1304082"/>
    <s v="Royal Challengers Bangalore"/>
    <s v="Sunrisers Hyderabad"/>
    <x v="3"/>
    <n v="2022"/>
    <d v="2022-04-23T00:00:00"/>
    <x v="4"/>
    <x v="0"/>
    <s v="Win"/>
    <s v="NA"/>
    <x v="4"/>
    <x v="120"/>
    <x v="15"/>
    <s v="Mumbai"/>
    <s v="F du Plessis, Anuj Rawat, V Kohli, GJ Maxwell, SS Prabhudessai, Shahbaz Ahmed, KD Karthik, HV Patel, PWH de Silva, JR Hazlewood, Mohammed Siraj"/>
    <s v="Abhishek Sharma, KS Williamson, RA Tripathi, AK Markram, N Pooran, Shashank Singh, J Suchith, B Kumar, M Jansen, T Natarajan, Umran Malik"/>
  </r>
  <r>
    <n v="1304080"/>
    <s v="Rajasthan Royals"/>
    <s v="Delhi Capitals"/>
    <x v="3"/>
    <n v="2022"/>
    <d v="2022-04-22T00:00:00"/>
    <x v="5"/>
    <x v="0"/>
    <s v="Win"/>
    <s v="NA"/>
    <x v="7"/>
    <x v="33"/>
    <x v="6"/>
    <s v="Mumbai"/>
    <s v="JC Buttler, D Padikkal, SV Samson, SO Hetmyer, R Parag, KK Nair, R Ashwin, TA Boult, OC McCoy, M Prasidh Krishna, YS Chahal"/>
    <s v="PP Shaw, DA Warner, SN Khan, RR Pant, Lalit Yadav, AR Patel, SN Thakur, R Powell, Kuldeep Yadav, Mustafizur Rahman, KK Ahmed"/>
  </r>
  <r>
    <n v="1304079"/>
    <s v="Mumbai Indians"/>
    <s v="Chennai Super Kings"/>
    <x v="3"/>
    <n v="2022"/>
    <d v="2022-04-21T00:00:00"/>
    <x v="3"/>
    <x v="0"/>
    <s v="Win"/>
    <s v="NA"/>
    <x v="3"/>
    <x v="121"/>
    <x v="16"/>
    <s v="Navi Mumbai"/>
    <s v="RG Sharma, Ishan Kishan, D Brevis, SA Yadav, Tilak Varma, HR Shokeen, KA Pollard, DR Sams, JD Unadkat, RP Meredith, JJ Bumrah"/>
    <s v="RD Gaikwad, RV Uthappa, MJ Santner, AT Rayudu, S Dube, RA Jadeja, MS Dhoni, D Pretorius, DJ Bravo, Mukesh Choudhary, M Theekshana"/>
  </r>
  <r>
    <n v="1304078"/>
    <s v="Punjab Kings"/>
    <s v="Delhi Capitals"/>
    <x v="3"/>
    <n v="2022"/>
    <d v="2022-04-20T00:00:00"/>
    <x v="5"/>
    <x v="0"/>
    <s v="Win"/>
    <s v="NA"/>
    <x v="5"/>
    <x v="63"/>
    <x v="15"/>
    <s v="Mumbai"/>
    <s v="MA Agarwal, S Dhawan, JM Bairstow, LS Livingstone, JM Sharma, M Shahrukh Khan, K Rabada, NT Ellis, RD Chahar, Arshdeep Singh, VG Arora"/>
    <s v="PP Shaw, DA Warner, SN Khan, RR Pant, R Powell, Lalit Yadav, SN Thakur, AR Patel, Kuldeep Yadav, Mustafizur Rahman, KK Ahmed"/>
  </r>
  <r>
    <n v="1304077"/>
    <s v="Royal Challengers Bangalore"/>
    <s v="Lucknow Super Giants"/>
    <x v="3"/>
    <n v="2022"/>
    <d v="2022-04-19T00:00:00"/>
    <x v="9"/>
    <x v="0"/>
    <s v="Win"/>
    <s v="NA"/>
    <x v="11"/>
    <x v="56"/>
    <x v="16"/>
    <s v="Mumbai"/>
    <s v="Anuj Rawat, F du Plessis, V Kohli, GJ Maxwell, SS Prabhudessai, Shahbaz Ahmed, KD Karthik, HV Patel, PWH de Silva, JR Hazlewood, Mohammed Siraj"/>
    <s v="Q de Kock, KL Rahul, MK Pandey, KH Pandya, DJ Hooda, A Badoni, MP Stoinis, JO Holder, PVD Chameera, Ravi Bishnoi, Avesh Khan"/>
  </r>
  <r>
    <n v="1304076"/>
    <s v="Rajasthan Royals"/>
    <s v="Kolkata Knight Riders"/>
    <x v="3"/>
    <n v="2022"/>
    <d v="2022-04-18T00:00:00"/>
    <x v="8"/>
    <x v="0"/>
    <s v="Win"/>
    <s v="NA"/>
    <x v="7"/>
    <x v="36"/>
    <x v="15"/>
    <s v="Mumbai"/>
    <s v="JC Buttler, D Padikkal, SV Samson, SO Hetmyer, R Parag, KK Nair, R Ashwin, TA Boult, OC McCoy, M Prasidh Krishna, YS Chahal"/>
    <s v="AJ Finch, SP Narine, SS Iyer, N Rana, AD Russell, VR Iyer, SP Jackson, Shivam Mavi, PJ Cummins, UT Yadav, CV Varun"/>
  </r>
  <r>
    <n v="1304074"/>
    <s v="Punjab Kings"/>
    <s v="Sunrisers Hyderabad"/>
    <x v="3"/>
    <n v="2022"/>
    <d v="2022-04-17T00:00:00"/>
    <x v="4"/>
    <x v="0"/>
    <s v="Win"/>
    <s v="NA"/>
    <x v="4"/>
    <x v="119"/>
    <x v="16"/>
    <s v="Mumbai"/>
    <s v="S Dhawan, P Simran Singh, JM Bairstow, LS Livingstone, JM Sharma, M Shahrukh Khan, OF Smith, K Rabada, RD Chahar, VG Arora, Arshdeep Singh"/>
    <s v="Abhishek Sharma, KS Williamson, RA Tripathi, AK Markram, N Pooran, Shashank Singh, J Suchith, B Kumar, M Jansen, T Natarajan, Umran Malik"/>
  </r>
  <r>
    <n v="1304075"/>
    <s v="Chennai Super Kings"/>
    <s v="Gujarat Titans"/>
    <x v="3"/>
    <n v="2022"/>
    <d v="2022-04-17T00:00:00"/>
    <x v="6"/>
    <x v="0"/>
    <s v="Win"/>
    <s v="NA"/>
    <x v="8"/>
    <x v="110"/>
    <x v="17"/>
    <s v="Pune"/>
    <s v="RD Gaikwad, RV Uthappa, MM Ali, AT Rayudu, S Dube, RA Jadeja, MS Dhoni, DJ Bravo, CJ Jordan, M Theekshana, Mukesh Choudhary"/>
    <s v="WP Saha, Shubman Gill, V Shankar, A Manohar, DA Miller, R Tewatia, Rashid Khan, AS Joseph, LH Ferguson, Mohammed Shami, Yash Dayal"/>
  </r>
  <r>
    <n v="1304073"/>
    <s v="Royal Challengers Bangalore"/>
    <s v="Delhi Capitals"/>
    <x v="3"/>
    <n v="2022"/>
    <d v="2022-04-16T00:00:00"/>
    <x v="5"/>
    <x v="0"/>
    <s v="Win"/>
    <s v="NA"/>
    <x v="11"/>
    <x v="122"/>
    <x v="6"/>
    <s v="Mumbai"/>
    <s v="F du Plessis, Anuj Rawat, V Kohli, GJ Maxwell, SS Prabhudessai, Shahbaz Ahmed, KD Karthik, PWH de Silva, Mohammed Siraj, HV Patel, JR Hazlewood"/>
    <s v="PP Shaw, DA Warner, MR Marsh, RR Pant, R Powell, Lalit Yadav, SN Thakur, AR Patel, Kuldeep Yadav, Mustafizur Rahman, KK Ahmed"/>
  </r>
  <r>
    <n v="1304072"/>
    <s v="Lucknow Super Giants"/>
    <s v="Mumbai Indians"/>
    <x v="3"/>
    <n v="2022"/>
    <d v="2022-04-16T00:00:00"/>
    <x v="1"/>
    <x v="0"/>
    <s v="Win"/>
    <s v="NA"/>
    <x v="6"/>
    <x v="41"/>
    <x v="15"/>
    <s v="Mumbai"/>
    <s v="KL Rahul, Q de Kock, MK Pandey, MP Stoinis, DJ Hooda, KH Pandya, A Badoni, JO Holder, PVD Chameera, Avesh Khan, Ravi Bishnoi"/>
    <s v="Ishan Kishan, RG Sharma, D Brevis, SA Yadav, Tilak Varma, KA Pollard, FA Allen, JD Unadkat, M Ashwin, JJ Bumrah, TS Mills"/>
  </r>
  <r>
    <n v="1304071"/>
    <s v="Kolkata Knight Riders"/>
    <s v="Sunrisers Hyderabad"/>
    <x v="3"/>
    <n v="2022"/>
    <d v="2022-04-15T00:00:00"/>
    <x v="4"/>
    <x v="0"/>
    <s v="Win"/>
    <s v="NA"/>
    <x v="4"/>
    <x v="111"/>
    <x v="15"/>
    <s v="Mumbai"/>
    <s v="VR Iyer, AJ Finch, SS Iyer, SP Narine, N Rana, SP Jackson, AD Russell, PJ Cummins, Aman Hakim Khan, UT Yadav, CV Varun"/>
    <s v="Abhishek Sharma, KS Williamson, RA Tripathi, AK Markram, N Pooran, Shashank Singh, J Suchith, M Jansen, B Kumar, T Natarajan, Umran Malik"/>
  </r>
  <r>
    <n v="1304070"/>
    <s v="Gujarat Titans"/>
    <s v="Rajasthan Royals"/>
    <x v="3"/>
    <n v="2022"/>
    <d v="2022-04-14T00:00:00"/>
    <x v="7"/>
    <x v="0"/>
    <s v="Win"/>
    <s v="NA"/>
    <x v="8"/>
    <x v="109"/>
    <x v="16"/>
    <s v="Mumbai"/>
    <s v="MS Wade, Shubman Gill, V Shankar, HH Pandya, A Manohar, DA Miller, R Tewatia, Rashid Khan, Mohammed Shami, LH Ferguson, Yash Dayal"/>
    <s v="JC Buttler, D Padikkal, R Ashwin, SV Samson, HE van der Dussen, SO Hetmyer, R Parag, JDS Neesham, M Prasidh Krishna, YS Chahal, KR Sen"/>
  </r>
  <r>
    <n v="1304069"/>
    <s v="Punjab Kings"/>
    <s v="Mumbai Indians"/>
    <x v="3"/>
    <n v="2022"/>
    <d v="2022-04-13T00:00:00"/>
    <x v="1"/>
    <x v="0"/>
    <s v="Win"/>
    <s v="NA"/>
    <x v="1"/>
    <x v="123"/>
    <x v="17"/>
    <s v="Pune"/>
    <s v="MA Agarwal, S Dhawan, JM Bairstow, LS Livingstone, JM Sharma, M Shahrukh Khan, OF Smith, K Rabada, RD Chahar, VG Arora, Arshdeep Singh"/>
    <s v="RG Sharma, Ishan Kishan, D Brevis, Tilak Varma, SA Yadav, KA Pollard, JD Unadkat, M Ashwin, JJ Bumrah, TS Mills, Basil Thampi"/>
  </r>
  <r>
    <n v="1304068"/>
    <s v="Chennai Super Kings"/>
    <s v="Royal Challengers Bangalore"/>
    <x v="3"/>
    <n v="2022"/>
    <d v="2022-04-12T00:00:00"/>
    <x v="10"/>
    <x v="0"/>
    <s v="Win"/>
    <s v="NA"/>
    <x v="3"/>
    <x v="86"/>
    <x v="16"/>
    <s v="Mumbai"/>
    <s v="RD Gaikwad, RV Uthappa, MM Ali, S Dube, RA Jadeja, MS Dhoni, AT Rayudu, DJ Bravo, CJ Jordan, M Theekshana, Mukesh Choudhary"/>
    <s v="F du Plessis, Anuj Rawat, V Kohli, GJ Maxwell, Shahbaz Ahmed, SS Prabhudessai, KD Karthik, PWH de Silva, Akash Deep, Mohammed Siraj, JR Hazlewood"/>
  </r>
  <r>
    <n v="1304067"/>
    <s v="Gujarat Titans"/>
    <s v="Sunrisers Hyderabad"/>
    <x v="3"/>
    <n v="2022"/>
    <d v="2022-04-11T00:00:00"/>
    <x v="4"/>
    <x v="0"/>
    <s v="Win"/>
    <s v="NA"/>
    <x v="4"/>
    <x v="124"/>
    <x v="16"/>
    <s v="Mumbai"/>
    <s v="MS Wade, Shubman Gill, B Sai Sudharsan, HH Pandya, DA Miller, A Manohar, R Tewatia, Rashid Khan, DG Nalkande, Mohammed Shami, LH Ferguson"/>
    <s v="Abhishek Sharma, KS Williamson, RA Tripathi, N Pooran, AK Markram, Shashank Singh, Washington Sundar, M Jansen, B Kumar, T Natarajan, Umran Malik"/>
  </r>
  <r>
    <n v="1304065"/>
    <s v="Delhi Capitals"/>
    <s v="Kolkata Knight Riders"/>
    <x v="3"/>
    <n v="2022"/>
    <d v="2022-04-10T00:00:00"/>
    <x v="8"/>
    <x v="0"/>
    <s v="Win"/>
    <s v="NA"/>
    <x v="5"/>
    <x v="63"/>
    <x v="15"/>
    <s v="Mumbai"/>
    <s v="PP Shaw, DA Warner, RR Pant, Lalit Yadav, R Powell, AR Patel, SN Thakur, SN Khan, Kuldeep Yadav, Mustafizur Rahman, KK Ahmed"/>
    <s v="AM Rahane, VR Iyer, SS Iyer, N Rana, AD Russell, SW Billings, PJ Cummins, SP Narine, UT Yadav, Rasikh Salam, CV Varun"/>
  </r>
  <r>
    <n v="1304066"/>
    <s v="Rajasthan Royals"/>
    <s v="Lucknow Super Giants"/>
    <x v="3"/>
    <n v="2022"/>
    <d v="2022-04-10T00:00:00"/>
    <x v="9"/>
    <x v="0"/>
    <s v="Win"/>
    <s v="NA"/>
    <x v="7"/>
    <x v="36"/>
    <x v="6"/>
    <s v="Mumbai"/>
    <s v="JC Buttler, D Padikkal, SV Samson, HE van der Dussen, SO Hetmyer, R Ashwin, R Parag, TA Boult, YS Chahal, KR Sen, M Prasidh Krishna"/>
    <s v="KL Rahul, Q de Kock, K Gowtham, JO Holder, DJ Hooda, A Badoni, KH Pandya, MP Stoinis, PVD Chameera, Avesh Khan, Ravi Bishnoi"/>
  </r>
  <r>
    <n v="1304064"/>
    <s v="Mumbai Indians"/>
    <s v="Royal Challengers Bangalore"/>
    <x v="3"/>
    <n v="2022"/>
    <d v="2022-04-09T00:00:00"/>
    <x v="10"/>
    <x v="0"/>
    <s v="Win"/>
    <s v="NA"/>
    <x v="11"/>
    <x v="125"/>
    <x v="17"/>
    <s v="Pune"/>
    <s v="Ishan Kishan, RG Sharma, D Brevis, SA Yadav, Tilak Varma, KA Pollard, Ramandeep Singh, JD Unadkat, M Ashwin, JJ Bumrah, Basil Thampi"/>
    <s v="F du Plessis, Anuj Rawat, V Kohli, KD Karthik, GJ Maxwell, DJ Willey, Shahbaz Ahmed, PWH de Silva, HV Patel, Mohammed Siraj, Akash Deep"/>
  </r>
  <r>
    <n v="1304063"/>
    <s v="Chennai Super Kings"/>
    <s v="Sunrisers Hyderabad"/>
    <x v="3"/>
    <n v="2022"/>
    <d v="2022-04-09T00:00:00"/>
    <x v="4"/>
    <x v="0"/>
    <s v="Win"/>
    <s v="NA"/>
    <x v="4"/>
    <x v="13"/>
    <x v="16"/>
    <s v="Mumbai"/>
    <s v="RV Uthappa, RD Gaikwad, MM Ali, AT Rayudu, S Dube, RA Jadeja, MS Dhoni, DJ Bravo, CJ Jordan, M Theekshana, Mukesh Choudhary"/>
    <s v="Abhishek Sharma, KS Williamson, RA Tripathi, N Pooran, AK Markram, Shashank Singh, Washington Sundar, B Kumar, M Jansen, Umran Malik, T Natarajan"/>
  </r>
  <r>
    <n v="1304062"/>
    <s v="Punjab Kings"/>
    <s v="Gujarat Titans"/>
    <x v="3"/>
    <n v="2022"/>
    <d v="2022-04-08T00:00:00"/>
    <x v="6"/>
    <x v="0"/>
    <s v="Win"/>
    <s v="NA"/>
    <x v="8"/>
    <x v="18"/>
    <x v="15"/>
    <s v="Mumbai"/>
    <s v="MA Agarwal, S Dhawan, JM Bairstow, LS Livingstone, JM Sharma, OF Smith, M Shahrukh Khan, K Rabada, RD Chahar, VG Arora, Arshdeep Singh"/>
    <s v="MS Wade, Shubman Gill, B Sai Sudharsan, HH Pandya, DA Miller, R Tewatia, A Manohar, Rashid Khan, DG Nalkande, Mohammed Shami, LH Ferguson"/>
  </r>
  <r>
    <n v="1304061"/>
    <s v="Delhi Capitals"/>
    <s v="Lucknow Super Giants"/>
    <x v="3"/>
    <n v="2022"/>
    <d v="2022-04-07T00:00:00"/>
    <x v="9"/>
    <x v="0"/>
    <s v="Win"/>
    <s v="NA"/>
    <x v="6"/>
    <x v="52"/>
    <x v="16"/>
    <s v="Mumbai"/>
    <s v="PP Shaw, DA Warner, R Powell, RR Pant, SN Khan, Lalit Yadav, AR Patel, SN Thakur, Kuldeep Yadav, Mustafizur Rahman, A Nortje"/>
    <s v="KL Rahul, Q de Kock, E Lewis, DJ Hooda, KH Pandya, A Badoni, K Gowtham, JO Holder, Avesh Khan, AJ Tye, Ravi Bishnoi"/>
  </r>
  <r>
    <n v="1304060"/>
    <s v="Mumbai Indians"/>
    <s v="Kolkata Knight Riders"/>
    <x v="3"/>
    <n v="2022"/>
    <d v="2022-04-06T00:00:00"/>
    <x v="8"/>
    <x v="0"/>
    <s v="Win"/>
    <s v="NA"/>
    <x v="10"/>
    <x v="126"/>
    <x v="17"/>
    <s v="Pune"/>
    <s v="RG Sharma, Ishan Kishan, D Brevis, SA Yadav, Tilak Varma, KA Pollard, DR Sams, M Ashwin, TS Mills, JJ Bumrah, Basil Thampi"/>
    <s v="AM Rahane, VR Iyer, SS Iyer, SW Billings, N Rana, AD Russell, PJ Cummins, SP Narine, Rasikh Salam, UT Yadav, CV Varun"/>
  </r>
  <r>
    <n v="1304059"/>
    <s v="Rajasthan Royals"/>
    <s v="Royal Challengers Bangalore"/>
    <x v="3"/>
    <n v="2022"/>
    <d v="2022-04-05T00:00:00"/>
    <x v="10"/>
    <x v="0"/>
    <s v="Win"/>
    <s v="NA"/>
    <x v="11"/>
    <x v="122"/>
    <x v="6"/>
    <s v="Mumbai"/>
    <s v="JC Buttler, YBK Jaiswal, D Padikkal, SV Samson, SO Hetmyer, R Parag, R Ashwin, Navdeep Saini, TA Boult, YS Chahal, M Prasidh Krishna"/>
    <s v="F du Plessis, Anuj Rawat, V Kohli, DJ Willey, SE Rutherford, Shahbaz Ahmed, KD Karthik, HV Patel, PWH de Silva, Mohammed Siraj, Akash Deep"/>
  </r>
  <r>
    <n v="1304058"/>
    <s v="Lucknow Super Giants"/>
    <s v="Sunrisers Hyderabad"/>
    <x v="3"/>
    <n v="2022"/>
    <d v="2022-04-04T00:00:00"/>
    <x v="4"/>
    <x v="0"/>
    <s v="Win"/>
    <s v="NA"/>
    <x v="6"/>
    <x v="32"/>
    <x v="16"/>
    <s v="Mumbai"/>
    <s v="KL Rahul, Q de Kock, E Lewis, MK Pandey, DJ Hooda, A Badoni, KH Pandya, JO Holder, AJ Tye, Ravi Bishnoi, Avesh Khan"/>
    <s v="Abhishek Sharma, KS Williamson, RA Tripathi, AK Markram, N Pooran, Washington Sundar, Abdul Samad, R Shepherd, B Kumar, Umran Malik, T Natarajan"/>
  </r>
  <r>
    <n v="1304057"/>
    <s v="Punjab Kings"/>
    <s v="Chennai Super Kings"/>
    <x v="3"/>
    <n v="2022"/>
    <d v="2022-04-03T00:00:00"/>
    <x v="3"/>
    <x v="0"/>
    <s v="Win"/>
    <s v="NA"/>
    <x v="1"/>
    <x v="127"/>
    <x v="15"/>
    <s v="Mumbai"/>
    <s v="MA Agarwal, S Dhawan, PBB Rajapaksa, LS Livingstone, JM Sharma, M Shahrukh Khan, OF Smith, K Rabada, RD Chahar, VG Arora, Arshdeep Singh"/>
    <s v="RV Uthappa, RD Gaikwad, MM Ali, AT Rayudu, RA Jadeja, S Dube, MS Dhoni, DJ Bravo, D Pretorius, CJ Jordan, Mukesh Choudhary"/>
  </r>
  <r>
    <n v="1304056"/>
    <s v="Gujarat Titans"/>
    <s v="Delhi Capitals"/>
    <x v="3"/>
    <n v="2022"/>
    <d v="2022-04-02T00:00:00"/>
    <x v="5"/>
    <x v="0"/>
    <s v="Win"/>
    <s v="NA"/>
    <x v="8"/>
    <x v="128"/>
    <x v="17"/>
    <s v="Pune"/>
    <s v="MS Wade, Shubman Gill, V Shankar, HH Pandya, DA Miller, R Tewatia, A Manohar, Rashid Khan, VR Aaron, LH Ferguson, Mohammed Shami"/>
    <s v="PP Shaw, TL Seifert, Mandeep Singh, RR Pant, Lalit Yadav, R Powell, AR Patel, SN Thakur, Kuldeep Yadav, KK Ahmed, Mustafizur Rahman"/>
  </r>
  <r>
    <n v="1304055"/>
    <s v="Rajasthan Royals"/>
    <s v="Mumbai Indians"/>
    <x v="3"/>
    <n v="2022"/>
    <d v="2022-04-02T00:00:00"/>
    <x v="1"/>
    <x v="0"/>
    <s v="Win"/>
    <s v="NA"/>
    <x v="7"/>
    <x v="33"/>
    <x v="16"/>
    <s v="Mumbai"/>
    <s v="JC Buttler, YBK Jaiswal, D Padikkal, SV Samson, SO Hetmyer, R Parag, R Ashwin, Navdeep Saini, TA Boult, YS Chahal, M Prasidh Krishna"/>
    <s v="Ishan Kishan, RG Sharma, Anmolpreet Singh, Tilak Varma, KA Pollard, TH David, DR Sams, M Ashwin, JJ Bumrah, TS Mills, Basil Thampi"/>
  </r>
  <r>
    <n v="1304054"/>
    <s v="Punjab Kings"/>
    <s v="Kolkata Knight Riders"/>
    <x v="3"/>
    <n v="2022"/>
    <d v="2022-04-01T00:00:00"/>
    <x v="8"/>
    <x v="0"/>
    <s v="Win"/>
    <s v="NA"/>
    <x v="10"/>
    <x v="129"/>
    <x v="6"/>
    <s v="Mumbai"/>
    <s v="MA Agarwal, S Dhawan, PBB Rajapaksa, LS Livingstone, RA Bawa, M Shahrukh Khan, Harpreet Brar, OF Smith, RD Chahar, K Rabada, Arshdeep Singh"/>
    <s v="AM Rahane, VR Iyer, SS Iyer, SW Billings, N Rana, AD Russell, SP Narine, TG Southee, UT Yadav, CV Varun, Shivam Mavi"/>
  </r>
  <r>
    <n v="1304053"/>
    <s v="Chennai Super Kings"/>
    <s v="Lucknow Super Giants"/>
    <x v="3"/>
    <n v="2022"/>
    <d v="2022-03-31T00:00:00"/>
    <x v="9"/>
    <x v="0"/>
    <s v="Win"/>
    <s v="NA"/>
    <x v="6"/>
    <x v="130"/>
    <x v="15"/>
    <s v="Mumbai"/>
    <s v="RV Uthappa, RD Gaikwad, MM Ali, S Dube, AT Rayudu, RA Jadeja, MS Dhoni, D Pretorius, DJ Bravo, TU Deshpande, Mukesh Choudhary"/>
    <s v="KL Rahul, Q de Kock, MK Pandey, E Lewis, DJ Hooda, A Badoni, KH Pandya, PVD Chameera, AJ Tye, Ravi Bishnoi, Avesh Khan"/>
  </r>
  <r>
    <n v="1304052"/>
    <s v="Kolkata Knight Riders"/>
    <s v="Royal Challengers Bangalore"/>
    <x v="3"/>
    <n v="2022"/>
    <d v="2022-03-30T00:00:00"/>
    <x v="10"/>
    <x v="0"/>
    <s v="Win"/>
    <s v="NA"/>
    <x v="11"/>
    <x v="114"/>
    <x v="16"/>
    <s v="Mumbai"/>
    <s v="AM Rahane, VR Iyer, SS Iyer, N Rana, SP Narine, SW Billings, SP Jackson, AD Russell, TG Southee, UT Yadav, CV Varun"/>
    <s v="F du Plessis, Anuj Rawat, V Kohli, DJ Willey, SE Rutherford, Shahbaz Ahmed, KD Karthik, PWH de Silva, HV Patel, Mohammed Siraj, Akash Deep"/>
  </r>
  <r>
    <n v="1304051"/>
    <s v="Rajasthan Royals"/>
    <s v="Sunrisers Hyderabad"/>
    <x v="3"/>
    <n v="2022"/>
    <d v="2022-03-29T00:00:00"/>
    <x v="4"/>
    <x v="0"/>
    <s v="Win"/>
    <s v="NA"/>
    <x v="7"/>
    <x v="70"/>
    <x v="17"/>
    <s v="Pune"/>
    <s v="JC Buttler, YBK Jaiswal, SV Samson, D Padikkal, SO Hetmyer, R Parag, NM Coulter-Nile, R Ashwin, YS Chahal, TA Boult, M Prasidh Krishna"/>
    <s v="KS Williamson, Abhishek Sharma, RA Tripathi, N Pooran, AK Markram, Abdul Samad, R Shepherd, Washington Sundar, B Kumar, Umran Malik, T Natarajan"/>
  </r>
  <r>
    <n v="1304050"/>
    <s v="Lucknow Super Giants"/>
    <s v="Gujarat Titans"/>
    <x v="3"/>
    <n v="2022"/>
    <d v="2022-03-28T00:00:00"/>
    <x v="6"/>
    <x v="0"/>
    <s v="Win"/>
    <s v="NA"/>
    <x v="8"/>
    <x v="96"/>
    <x v="6"/>
    <s v="Mumbai"/>
    <s v="KL Rahul, Q de Kock, E Lewis, MK Pandey, DJ Hooda, A Badoni, KH Pandya, PVD Chameera, Mohsin Khan, Ravi Bishnoi, Avesh Khan"/>
    <s v="Shubman Gill, MS Wade, V Shankar, HH Pandya, DA Miller, R Tewatia, A Manohar, Rashid Khan, LH Ferguson, Mohammed Shami, VR Aaron"/>
  </r>
  <r>
    <n v="1304049"/>
    <s v="Royal Challengers Bangalore"/>
    <s v="Punjab Kings"/>
    <x v="3"/>
    <n v="2022"/>
    <d v="2022-03-27T00:00:00"/>
    <x v="0"/>
    <x v="0"/>
    <s v="Win"/>
    <s v="NA"/>
    <x v="1"/>
    <x v="131"/>
    <x v="16"/>
    <s v="Mumbai"/>
    <s v="F du Plessis, Anuj Rawat, V Kohli, KD Karthik, SE Rutherford, DJ Willey, Shahbaz Ahmed, PWH de Silva, HV Patel, Mohammed Siraj, Akash Deep"/>
    <s v="MA Agarwal, S Dhawan, PBB Rajapaksa, LS Livingstone, RA Bawa, M Shahrukh Khan, OF Smith, Harpreet Brar, Arshdeep Singh, Sandeep Sharma, RD Chahar"/>
  </r>
  <r>
    <n v="1304048"/>
    <s v="Mumbai Indians"/>
    <s v="Delhi Capitals"/>
    <x v="3"/>
    <n v="2022"/>
    <d v="2022-03-27T00:00:00"/>
    <x v="5"/>
    <x v="0"/>
    <s v="Win"/>
    <s v="NA"/>
    <x v="5"/>
    <x v="63"/>
    <x v="15"/>
    <s v="Mumbai"/>
    <s v="RG Sharma, Ishan Kishan, Anmolpreet Singh, Tilak Varma, KA Pollard, TH David, DR Sams, M Ashwin, TS Mills, JJ Bumrah, Basil Thampi"/>
    <s v="PP Shaw, TL Seifert, Mandeep Singh, RR Pant, Lalit Yadav, R Powell, SN Thakur, AR Patel, Kuldeep Yadav, KK Ahmed, KL Nagarkoti"/>
  </r>
  <r>
    <n v="1304047"/>
    <s v="Chennai Super Kings"/>
    <s v="Kolkata Knight Riders"/>
    <x v="3"/>
    <n v="2022"/>
    <d v="2022-03-26T00:00:00"/>
    <x v="8"/>
    <x v="0"/>
    <s v="Win"/>
    <s v="NA"/>
    <x v="10"/>
    <x v="129"/>
    <x v="6"/>
    <s v="Mumbai"/>
    <s v="RD Gaikwad, DP Conway, RV Uthappa, AT Rayudu, RA Jadeja, S Dube, MS Dhoni, DJ Bravo, MJ Santner, AF Milne, TU Deshpande"/>
    <s v="AM Rahane, VR Iyer, N Rana, SS Iyer, SW Billings, SP Jackson, AD Russell, SP Narine, UT Yadav, Shivam Mavi, CV Varun"/>
  </r>
  <r>
    <n v="1254117"/>
    <s v="Chennai Super Kings"/>
    <s v="Kolkata Knight Riders"/>
    <x v="4"/>
    <n v="2021"/>
    <d v="2021-10-15T00:00:00"/>
    <x v="8"/>
    <x v="0"/>
    <s v="Win"/>
    <s v="NA"/>
    <x v="3"/>
    <x v="56"/>
    <x v="18"/>
    <s v="Dubai"/>
    <s v="RD Gaikwad, F du Plessis, RV Uthappa, MM Ali, AT Rayudu, MS Dhoni, RA Jadeja, DJ Bravo, SN Thakur, DL Chahar, JR Hazlewood"/>
    <s v="Shubman Gill, VR Iyer, N Rana, SP Narine, EJG Morgan, KD Karthik, Shakib Al Hasan, RA Tripathi, LH Ferguson, Shivam Mavi, CV Varun"/>
  </r>
  <r>
    <n v="1254116"/>
    <s v="Delhi Capitals"/>
    <s v="Kolkata Knight Riders"/>
    <x v="4"/>
    <n v="2021"/>
    <d v="2021-10-13T00:00:00"/>
    <x v="8"/>
    <x v="0"/>
    <s v="Win"/>
    <s v="NA"/>
    <x v="10"/>
    <x v="65"/>
    <x v="19"/>
    <s v="Sharjah"/>
    <s v="PP Shaw, S Dhawan, MP Stoinis, SS Iyer, RR Pant, SO Hetmyer, AR Patel, R Ashwin, K Rabada, Avesh Khan, A Nortje"/>
    <s v="Shubman Gill, VR Iyer, N Rana, RA Tripathi, KD Karthik, EJG Morgan, Shakib Al Hasan, SP Narine, LH Ferguson, Shivam Mavi, CV Varun"/>
  </r>
  <r>
    <n v="1254115"/>
    <s v="Royal Challengers Bangalore"/>
    <s v="Kolkata Knight Riders"/>
    <x v="4"/>
    <n v="2021"/>
    <d v="2021-10-11T00:00:00"/>
    <x v="10"/>
    <x v="1"/>
    <s v="Win"/>
    <s v="NA"/>
    <x v="10"/>
    <x v="24"/>
    <x v="19"/>
    <s v="Sharjah"/>
    <s v="D Padikkal, V Kohli, KS Bharat, GJ Maxwell, AB de Villiers, Shahbaz Ahmed, DT Christian, HV Patel, GHS Garton, Mohammed Siraj, YS Chahal"/>
    <s v="Shubman Gill, VR Iyer, RA Tripathi, N Rana, SP Narine, KD Karthik, EJG Morgan, Shakib Al Hasan, LH Ferguson, Shivam Mavi, CV Varun"/>
  </r>
  <r>
    <n v="1254114"/>
    <s v="Delhi Capitals"/>
    <s v="Chennai Super Kings"/>
    <x v="4"/>
    <n v="2021"/>
    <d v="2021-10-10T00:00:00"/>
    <x v="3"/>
    <x v="0"/>
    <s v="Win"/>
    <s v="NA"/>
    <x v="3"/>
    <x v="68"/>
    <x v="18"/>
    <s v="Dubai"/>
    <s v="PP Shaw, S Dhawan, SS Iyer, AR Patel, RR Pant, SO Hetmyer, TK Curran, R Ashwin, K Rabada, Avesh Khan, A Nortje"/>
    <s v="RD Gaikwad, F du Plessis, RV Uthappa, SN Thakur, AT Rayudu, MM Ali, MS Dhoni, RA Jadeja, DJ Bravo, DL Chahar, JR Hazlewood"/>
  </r>
  <r>
    <n v="1254101"/>
    <s v="Delhi Capitals"/>
    <s v="Royal Challengers Bangalore"/>
    <x v="4"/>
    <n v="2021"/>
    <d v="2021-10-08T00:00:00"/>
    <x v="10"/>
    <x v="0"/>
    <s v="Win"/>
    <s v="NA"/>
    <x v="11"/>
    <x v="132"/>
    <x v="18"/>
    <s v="Dubai"/>
    <s v="PP Shaw, S Dhawan, RR Pant, SS Iyer, SO Hetmyer, RV Patel, AR Patel, R Ashwin, K Rabada, Avesh Khan, A Nortje"/>
    <s v="V Kohli, D Padikkal, KS Bharat, AB de Villiers, GJ Maxwell, DT Christian, Shahbaz Ahmed, GHS Garton, HV Patel, Mohammed Siraj, YS Chahal"/>
  </r>
  <r>
    <n v="1254088"/>
    <s v="Mumbai Indians"/>
    <s v="Sunrisers Hyderabad"/>
    <x v="4"/>
    <n v="2021"/>
    <d v="2021-10-08T00:00:00"/>
    <x v="1"/>
    <x v="1"/>
    <s v="Win"/>
    <s v="NA"/>
    <x v="2"/>
    <x v="9"/>
    <x v="20"/>
    <s v="Abu Dhabi"/>
    <s v="RG Sharma, Ishan Kishan, HH Pandya, KA Pollard, SA Yadav, JDS Neesham, KH Pandya, NM Coulter-Nile, PP Chawla, JJ Bumrah, TA Boult"/>
    <s v="JJ Roy, Abhishek Sharma, MK Pandey, Mohammad Nabi, Abdul Samad, PK Garg, JO Holder, Rashid Khan, WP Saha, S Kaul, Umran Malik"/>
  </r>
  <r>
    <n v="1254106"/>
    <s v="Kolkata Knight Riders"/>
    <s v="Rajasthan Royals"/>
    <x v="4"/>
    <n v="2021"/>
    <d v="2021-10-07T00:00:00"/>
    <x v="7"/>
    <x v="0"/>
    <s v="Win"/>
    <s v="NA"/>
    <x v="10"/>
    <x v="133"/>
    <x v="19"/>
    <s v="Sharjah"/>
    <s v="Shubman Gill, VR Iyer, N Rana, RA Tripathi, KD Karthik, EJG Morgan, Shakib Al Hasan, SP Narine, LH Ferguson, CV Varun, Shivam Mavi"/>
    <s v="YBK Jaiswal, LS Livingstone, SV Samson, S Dube, Anuj Rawat, GD Phillips, R Tewatia, CH Morris, JD Unadkat, C Sakariya, Mustafizur Rahman"/>
  </r>
  <r>
    <n v="1254094"/>
    <s v="Chennai Super Kings"/>
    <s v="Punjab Kings"/>
    <x v="4"/>
    <n v="2021"/>
    <d v="2021-10-07T00:00:00"/>
    <x v="0"/>
    <x v="0"/>
    <s v="Win"/>
    <s v="NA"/>
    <x v="1"/>
    <x v="41"/>
    <x v="18"/>
    <s v="Dubai"/>
    <s v="RD Gaikwad, F du Plessis, MM Ali, RV Uthappa, AT Rayudu, MS Dhoni, RA Jadeja, DJ Bravo, DL Chahar, SN Thakur, JR Hazlewood"/>
    <s v="KL Rahul, MA Agarwal, SN Khan, M Shahrukh Khan, AK Markram, MC Henriques, CJ Jordan, Harpreet Brar, Ravi Bishnoi, Mohammed Shami, Arshdeep Singh"/>
  </r>
  <r>
    <n v="1254095"/>
    <s v="Sunrisers Hyderabad"/>
    <s v="Royal Challengers Bangalore"/>
    <x v="4"/>
    <n v="2021"/>
    <d v="2021-10-06T00:00:00"/>
    <x v="10"/>
    <x v="0"/>
    <s v="Win"/>
    <s v="NA"/>
    <x v="4"/>
    <x v="124"/>
    <x v="20"/>
    <s v="Abu Dhabi"/>
    <s v="JJ Roy, Abhishek Sharma, KS Williamson, PK Garg, Abdul Samad, WP Saha, JO Holder, Rashid Khan, B Kumar, S Kaul, Umran Malik"/>
    <s v="V Kohli, D Padikkal, DT Christian, KS Bharat, GJ Maxwell, AB de Villiers, Shahbaz Ahmed, GHS Garton, HV Patel, Mohammed Siraj, YS Chahal"/>
  </r>
  <r>
    <n v="1254093"/>
    <s v="Rajasthan Royals"/>
    <s v="Mumbai Indians"/>
    <x v="4"/>
    <n v="2021"/>
    <d v="2021-10-05T00:00:00"/>
    <x v="1"/>
    <x v="0"/>
    <s v="Win"/>
    <s v="NA"/>
    <x v="2"/>
    <x v="134"/>
    <x v="19"/>
    <s v="Sharjah"/>
    <s v="E Lewis, YBK Jaiswal, SV Samson, S Dube, GD Phillips, DA Miller, R Tewatia, S Gopal, C Sakariya, K Yadav, Mustafizur Rahman"/>
    <s v="RG Sharma, Ishan Kishan, SA Yadav, HH Pandya, SS Tiwary, KA Pollard, JDS Neesham, NM Coulter-Nile, J Yadav, JJ Bumrah, TA Boult"/>
  </r>
  <r>
    <n v="1254110"/>
    <s v="Chennai Super Kings"/>
    <s v="Delhi Capitals"/>
    <x v="4"/>
    <n v="2021"/>
    <d v="2021-10-04T00:00:00"/>
    <x v="5"/>
    <x v="0"/>
    <s v="Win"/>
    <s v="NA"/>
    <x v="5"/>
    <x v="99"/>
    <x v="18"/>
    <s v="Dubai"/>
    <s v="RD Gaikwad, F du Plessis, RV Uthappa, MM Ali, AT Rayudu, MS Dhoni, RA Jadeja, DJ Bravo, DL Chahar, SN Thakur, JR Hazlewood"/>
    <s v="PP Shaw, S Dhawan, SS Iyer, RR Pant, RV Patel, R Ashwin, SO Hetmyer, AR Patel, K Rabada, Avesh Khan, A Nortje"/>
  </r>
  <r>
    <n v="1254109"/>
    <s v="Sunrisers Hyderabad"/>
    <s v="Kolkata Knight Riders"/>
    <x v="4"/>
    <n v="2021"/>
    <d v="2021-10-03T00:00:00"/>
    <x v="4"/>
    <x v="1"/>
    <s v="Win"/>
    <s v="NA"/>
    <x v="10"/>
    <x v="18"/>
    <x v="18"/>
    <s v="Dubai"/>
    <s v="JJ Roy, WP Saha, KS Williamson, PK Garg, Abhishek Sharma, Abdul Samad, JO Holder, Rashid Khan, B Kumar, S Kaul, Umran Malik"/>
    <s v="Shubman Gill, VR Iyer, RA Tripathi, N Rana, KD Karthik, EJG Morgan, Shakib Al Hasan, SP Narine, TG Southee, CV Varun, Shivam Mavi"/>
  </r>
  <r>
    <n v="1254090"/>
    <s v="Royal Challengers Bangalore"/>
    <s v="Punjab Kings"/>
    <x v="4"/>
    <n v="2021"/>
    <d v="2021-10-03T00:00:00"/>
    <x v="10"/>
    <x v="1"/>
    <s v="Win"/>
    <s v="NA"/>
    <x v="11"/>
    <x v="101"/>
    <x v="19"/>
    <s v="Sharjah"/>
    <s v="V Kohli, D Padikkal, DT Christian, GJ Maxwell, AB de Villiers, Shahbaz Ahmed, KS Bharat, GHS Garton, HV Patel, Mohammed Siraj, YS Chahal"/>
    <s v="KL Rahul, MA Agarwal, N Pooran, AK Markram, SN Khan, M Shahrukh Khan, MC Henriques, Harpreet Brar, Ravi Bishnoi, Mohammed Shami, Arshdeep Singh"/>
  </r>
  <r>
    <n v="1254112"/>
    <s v="Mumbai Indians"/>
    <s v="Delhi Capitals"/>
    <x v="4"/>
    <n v="2021"/>
    <d v="2021-10-02T00:00:00"/>
    <x v="5"/>
    <x v="0"/>
    <s v="Win"/>
    <s v="NA"/>
    <x v="5"/>
    <x v="99"/>
    <x v="19"/>
    <s v="Sharjah"/>
    <s v="RG Sharma, Q de Kock, SA Yadav, SS Tiwary, KA Pollard, HH Pandya, KH Pandya, NM Coulter-Nile, J Yadav, JJ Bumrah, TA Boult"/>
    <s v="PP Shaw, S Dhawan, SPD Smith, RR Pant, SS Iyer, AR Patel, SO Hetmyer, R Ashwin, K Rabada, Avesh Khan, A Nortje"/>
  </r>
  <r>
    <n v="1254089"/>
    <s v="Chennai Super Kings"/>
    <s v="Rajasthan Royals"/>
    <x v="4"/>
    <n v="2021"/>
    <d v="2021-10-02T00:00:00"/>
    <x v="7"/>
    <x v="0"/>
    <s v="Win"/>
    <s v="NA"/>
    <x v="7"/>
    <x v="68"/>
    <x v="20"/>
    <s v="Abu Dhabi"/>
    <s v="RD Gaikwad, F du Plessis, SK Raina, MM Ali, AT Rayudu, RA Jadeja, MS Dhoni, SM Curran, SN Thakur, JR Hazlewood, KM Asif"/>
    <s v="E Lewis, YBK Jaiswal, SV Samson, S Dube, GD Phillips, DA Miller, R Tewatia, Akash Singh, M Markande, C Sakariya, Mustafizur Rahman"/>
  </r>
  <r>
    <n v="1254102"/>
    <s v="Kolkata Knight Riders"/>
    <s v="Punjab Kings"/>
    <x v="4"/>
    <n v="2021"/>
    <d v="2021-10-01T00:00:00"/>
    <x v="0"/>
    <x v="0"/>
    <s v="Win"/>
    <s v="NA"/>
    <x v="1"/>
    <x v="41"/>
    <x v="18"/>
    <s v="Dubai"/>
    <s v="VR Iyer, Shubman Gill, RA Tripathi, N Rana, EJG Morgan, KD Karthik, TL Seifert, SP Narine, TG Southee, CV Varun, Shivam Mavi"/>
    <s v="KL Rahul, MA Agarwal, N Pooran, AK Markram, DJ Hooda, M Shahrukh Khan, FA Allen, NT Ellis, Ravi Bishnoi, Mohammed Shami, Arshdeep Singh"/>
  </r>
  <r>
    <n v="1254091"/>
    <s v="Sunrisers Hyderabad"/>
    <s v="Chennai Super Kings"/>
    <x v="4"/>
    <n v="2021"/>
    <d v="2021-09-30T00:00:00"/>
    <x v="3"/>
    <x v="0"/>
    <s v="Win"/>
    <s v="NA"/>
    <x v="3"/>
    <x v="28"/>
    <x v="19"/>
    <s v="Sharjah"/>
    <s v="JJ Roy, WP Saha, KS Williamson, PK Garg, Abhishek Sharma, Abdul Samad, JO Holder, Rashid Khan, B Kumar, Sandeep Sharma, S Kaul"/>
    <s v="RD Gaikwad, F du Plessis, MM Ali, SK Raina, AT Rayudu, MS Dhoni, RA Jadeja, DJ Bravo, SN Thakur, DL Chahar, JR Hazlewood"/>
  </r>
  <r>
    <n v="1254103"/>
    <s v="Rajasthan Royals"/>
    <s v="Royal Challengers Bangalore"/>
    <x v="4"/>
    <n v="2021"/>
    <d v="2021-09-29T00:00:00"/>
    <x v="10"/>
    <x v="0"/>
    <s v="Win"/>
    <s v="NA"/>
    <x v="11"/>
    <x v="36"/>
    <x v="18"/>
    <s v="Dubai"/>
    <s v="E Lewis, YBK Jaiswal, SV Samson, MK Lomror, LS Livingstone, R Tewatia, R Parag, CH Morris, C Sakariya, Kartik Tyagi, Mustafizur Rahman"/>
    <s v="V Kohli, D Padikkal, KS Bharat, GJ Maxwell, AB de Villiers, DT Christian, Shahbaz Ahmed, GHS Garton, HV Patel, Mohammed Siraj, YS Chahal"/>
  </r>
  <r>
    <n v="1254092"/>
    <s v="Delhi Capitals"/>
    <s v="Kolkata Knight Riders"/>
    <x v="4"/>
    <n v="2021"/>
    <d v="2021-09-28T00:00:00"/>
    <x v="8"/>
    <x v="0"/>
    <s v="Win"/>
    <s v="NA"/>
    <x v="10"/>
    <x v="24"/>
    <x v="19"/>
    <s v="Sharjah"/>
    <s v="SPD Smith, S Dhawan, SS Iyer, RR Pant, SO Hetmyer, Lalit Yadav, AR Patel, R Ashwin, K Rabada, Avesh Khan, A Nortje"/>
    <s v="Shubman Gill, VR Iyer, RA Tripathi, N Rana, EJG Morgan, KD Karthik, SP Narine, TG Southee, LH Ferguson, S Sandeep Warrier, CV Varun"/>
  </r>
  <r>
    <n v="1254099"/>
    <s v="Punjab Kings"/>
    <s v="Mumbai Indians"/>
    <x v="4"/>
    <n v="2021"/>
    <d v="2021-09-28T00:00:00"/>
    <x v="1"/>
    <x v="0"/>
    <s v="Win"/>
    <s v="NA"/>
    <x v="2"/>
    <x v="135"/>
    <x v="20"/>
    <s v="Abu Dhabi"/>
    <s v="KL Rahul, Mandeep Singh, CH Gayle, AK Markram, N Pooran, DJ Hooda, Harpreet Brar, NT Ellis, Ravi Bishnoi, Mohammed Shami, Arshdeep Singh"/>
    <s v="RG Sharma, Q de Kock, SA Yadav, SS Tiwary, HH Pandya, KA Pollard, KH Pandya, NM Coulter-Nile, RD Chahar, TA Boult, JJ Bumrah"/>
  </r>
  <r>
    <n v="1254100"/>
    <s v="Rajasthan Royals"/>
    <s v="Sunrisers Hyderabad"/>
    <x v="4"/>
    <n v="2021"/>
    <d v="2021-09-27T00:00:00"/>
    <x v="7"/>
    <x v="1"/>
    <s v="Win"/>
    <s v="NA"/>
    <x v="4"/>
    <x v="136"/>
    <x v="18"/>
    <s v="Dubai"/>
    <s v="E Lewis, YBK Jaiswal, SV Samson, LS Livingstone, MK Lomror, R Parag, R Tewatia, CH Morris, JD Unadkat, C Sakariya, Mustafizur Rahman"/>
    <s v="JJ Roy, WP Saha, KS Williamson, PK Garg, Abhishek Sharma, JO Holder, Abdul Samad, Rashid Khan, B Kumar, Sandeep Sharma, S Kaul"/>
  </r>
  <r>
    <n v="1254108"/>
    <s v="Royal Challengers Bangalore"/>
    <s v="Mumbai Indians"/>
    <x v="4"/>
    <n v="2021"/>
    <d v="2021-09-26T00:00:00"/>
    <x v="1"/>
    <x v="0"/>
    <s v="Win"/>
    <s v="NA"/>
    <x v="11"/>
    <x v="101"/>
    <x v="18"/>
    <s v="Dubai"/>
    <s v="V Kohli, D Padikkal, KS Bharat, GJ Maxwell, AB de Villiers, DT Christian, Shahbaz Ahmed, KA Jamieson, HV Patel, Mohammed Siraj, YS Chahal"/>
    <s v="RG Sharma, Q de Kock, Ishan Kishan, SA Yadav, KH Pandya, KA Pollard, HH Pandya, AF Milne, RD Chahar, JJ Bumrah, TA Boult"/>
  </r>
  <r>
    <n v="1254098"/>
    <s v="Kolkata Knight Riders"/>
    <s v="Chennai Super Kings"/>
    <x v="4"/>
    <n v="2021"/>
    <d v="2021-09-26T00:00:00"/>
    <x v="8"/>
    <x v="1"/>
    <s v="Win"/>
    <s v="NA"/>
    <x v="3"/>
    <x v="64"/>
    <x v="20"/>
    <s v="Abu Dhabi"/>
    <s v="Shubman Gill, VR Iyer, RA Tripathi, EJG Morgan, N Rana, AD Russell, KD Karthik, SP Narine, LH Ferguson, M Prasidh Krishna, CV Varun"/>
    <s v="RD Gaikwad, F du Plessis, MM Ali, AT Rayudu, SK Raina, MS Dhoni, RA Jadeja, SM Curran, SN Thakur, DL Chahar, JR Hazlewood"/>
  </r>
  <r>
    <n v="1254097"/>
    <s v="Delhi Capitals"/>
    <s v="Rajasthan Royals"/>
    <x v="4"/>
    <n v="2021"/>
    <d v="2021-09-25T00:00:00"/>
    <x v="7"/>
    <x v="0"/>
    <s v="Win"/>
    <s v="NA"/>
    <x v="5"/>
    <x v="1"/>
    <x v="20"/>
    <s v="Abu Dhabi"/>
    <s v="PP Shaw, S Dhawan, SS Iyer, RR Pant, SO Hetmyer, Lalit Yadav, AR Patel, R Ashwin, K Rabada, A Nortje, Avesh Khan"/>
    <s v="LS Livingstone, YBK Jaiswal, SV Samson, DA Miller, MK Lomror, R Parag, R Tewatia, T Shamsi, Kartik Tyagi, C Sakariya, Mustafizur Rahman"/>
  </r>
  <r>
    <n v="1254107"/>
    <s v="Punjab Kings"/>
    <s v="Sunrisers Hyderabad"/>
    <x v="4"/>
    <n v="2021"/>
    <d v="2021-09-25T00:00:00"/>
    <x v="4"/>
    <x v="0"/>
    <s v="Win"/>
    <s v="NA"/>
    <x v="1"/>
    <x v="137"/>
    <x v="19"/>
    <s v="Sharjah"/>
    <s v="KL Rahul, MA Agarwal, CH Gayle, AK Markram, N Pooran, DJ Hooda, Harpreet Brar, NT Ellis, Mohammed Shami, Ravi Bishnoi, Arshdeep Singh"/>
    <s v="DA Warner, WP Saha, KS Williamson, MK Pandey, KM Jadhav, Abdul Samad, JO Holder, Rashid Khan, B Kumar, Sandeep Sharma, KK Ahmed"/>
  </r>
  <r>
    <n v="1254113"/>
    <s v="Royal Challengers Bangalore"/>
    <s v="Chennai Super Kings"/>
    <x v="4"/>
    <n v="2021"/>
    <d v="2021-09-24T00:00:00"/>
    <x v="3"/>
    <x v="0"/>
    <s v="Win"/>
    <s v="NA"/>
    <x v="3"/>
    <x v="138"/>
    <x v="19"/>
    <s v="Sharjah"/>
    <s v="V Kohli, D Padikkal, AB de Villiers, GJ Maxwell, TH David, HV Patel, PWH de Silva, KS Bharat, Navdeep Saini, Mohammed Siraj, YS Chahal"/>
    <s v="RD Gaikwad, F du Plessis, MM Ali, AT Rayudu, SK Raina, MS Dhoni, RA Jadeja, DJ Bravo, SN Thakur, DL Chahar, JR Hazlewood"/>
  </r>
  <r>
    <n v="1254096"/>
    <s v="Mumbai Indians"/>
    <s v="Kolkata Knight Riders"/>
    <x v="4"/>
    <n v="2021"/>
    <d v="2021-09-23T00:00:00"/>
    <x v="8"/>
    <x v="0"/>
    <s v="Win"/>
    <s v="NA"/>
    <x v="10"/>
    <x v="24"/>
    <x v="20"/>
    <s v="Abu Dhabi"/>
    <s v="RG Sharma, Q de Kock, SA Yadav, Ishan Kishan, KA Pollard, KH Pandya, SS Tiwary, AF Milne, RD Chahar, JJ Bumrah, TA Boult"/>
    <s v="Shubman Gill, VR Iyer, RA Tripathi, EJG Morgan, N Rana, AD Russell, KD Karthik, SP Narine, LH Ferguson, M Prasidh Krishna, CV Varun"/>
  </r>
  <r>
    <n v="1254105"/>
    <s v="Sunrisers Hyderabad"/>
    <s v="Delhi Capitals"/>
    <x v="4"/>
    <n v="2021"/>
    <d v="2021-09-22T00:00:00"/>
    <x v="4"/>
    <x v="1"/>
    <s v="Win"/>
    <s v="NA"/>
    <x v="5"/>
    <x v="139"/>
    <x v="18"/>
    <s v="Dubai"/>
    <s v="DA Warner, WP Saha, KS Williamson, MK Pandey, KM Jadhav, Abdul Samad, JO Holder, Rashid Khan, B Kumar, Sandeep Sharma, KK Ahmed"/>
    <s v="PP Shaw, S Dhawan, SS Iyer, RR Pant, MP Stoinis, SO Hetmyer, AR Patel, R Ashwin, K Rabada, A Nortje, Avesh Khan"/>
  </r>
  <r>
    <n v="1254111"/>
    <s v="Rajasthan Royals"/>
    <s v="Punjab Kings"/>
    <x v="4"/>
    <n v="2021"/>
    <d v="2021-09-21T00:00:00"/>
    <x v="0"/>
    <x v="0"/>
    <s v="Win"/>
    <s v="NA"/>
    <x v="7"/>
    <x v="140"/>
    <x v="18"/>
    <s v="Dubai"/>
    <s v="E Lewis, YBK Jaiswal, SV Samson, LS Livingstone, MK Lomror, R Parag, R Tewatia, CH Morris, C Sakariya, Kartik Tyagi, Mustafizur Rahman"/>
    <s v="KL Rahul, MA Agarwal, AK Markram, N Pooran, DJ Hooda, FA Allen, IC Porel, AU Rashid, Harpreet Brar, Arshdeep Singh, Mohammed Shami"/>
  </r>
  <r>
    <n v="1254087"/>
    <s v="Royal Challengers Bangalore"/>
    <s v="Kolkata Knight Riders"/>
    <x v="4"/>
    <n v="2021"/>
    <d v="2021-09-20T00:00:00"/>
    <x v="10"/>
    <x v="1"/>
    <s v="Win"/>
    <s v="NA"/>
    <x v="10"/>
    <x v="61"/>
    <x v="20"/>
    <s v="Abu Dhabi"/>
    <s v="V Kohli, D Padikkal, KS Bharat, GJ Maxwell, AB de Villiers, Sachin Baby, PWH de Silva, KA Jamieson, HV Patel, Mohammed Siraj, YS Chahal"/>
    <s v="Shubman Gill, VR Iyer, AD Russell, N Rana, RA Tripathi, EJG Morgan, KD Karthik, LH Ferguson, SP Narine, CV Varun, M Prasidh Krishna"/>
  </r>
  <r>
    <n v="1254104"/>
    <s v="Chennai Super Kings"/>
    <s v="Mumbai Indians"/>
    <x v="4"/>
    <n v="2021"/>
    <d v="2021-09-19T00:00:00"/>
    <x v="3"/>
    <x v="1"/>
    <s v="Win"/>
    <s v="NA"/>
    <x v="3"/>
    <x v="68"/>
    <x v="18"/>
    <s v="Dubai"/>
    <s v="RD Gaikwad, F du Plessis, MM Ali, AT Rayudu, SK Raina, MS Dhoni, RA Jadeja, DJ Bravo, SN Thakur, DL Chahar, JR Hazlewood"/>
    <s v="Q de Kock, Anmolpreet Singh, SA Yadav, Ishan Kishan, SS Tiwary, KA Pollard, KH Pandya, AF Milne, RD Chahar, JJ Bumrah, TA Boult"/>
  </r>
  <r>
    <n v="1254086"/>
    <s v="Punjab Kings"/>
    <s v="Delhi Capitals"/>
    <x v="4"/>
    <n v="2021"/>
    <d v="2021-05-02T00:00:00"/>
    <x v="5"/>
    <x v="0"/>
    <s v="Win"/>
    <s v="NA"/>
    <x v="5"/>
    <x v="123"/>
    <x v="0"/>
    <s v="Ahmedabad"/>
    <s v="P Simran Singh, MA Agarwal, CH Gayle, DJ Malan, DJ Hooda, M Shahrukh Khan, CJ Jordan, Harpreet Brar, RP Meredith, Ravi Bishnoi, Mohammed Shami"/>
    <s v="PP Shaw, S Dhawan, SPD Smith, RR Pant, SO Hetmyer, MP Stoinis, AR Patel, Lalit Yadav, K Rabada, I Sharma, Avesh Khan"/>
  </r>
  <r>
    <n v="1254085"/>
    <s v="Rajasthan Royals"/>
    <s v="Sunrisers Hyderabad"/>
    <x v="4"/>
    <n v="2021"/>
    <d v="2021-05-02T00:00:00"/>
    <x v="4"/>
    <x v="0"/>
    <s v="Win"/>
    <s v="NA"/>
    <x v="7"/>
    <x v="33"/>
    <x v="5"/>
    <s v="Delhi"/>
    <s v="JC Buttler, YBK Jaiswal, SV Samson, R Parag, DA Miller, Anuj Rawat, R Tewatia, CH Morris, Kartik Tyagi, C Sakariya, Mustafizur Rahman"/>
    <s v="MK Pandey, JM Bairstow, KS Williamson, V Shankar, KM Jadhav, Mohammad Nabi, Abdul Samad, Rashid Khan, B Kumar, Sandeep Sharma, KK Ahmed"/>
  </r>
  <r>
    <n v="1254084"/>
    <s v="Chennai Super Kings"/>
    <s v="Mumbai Indians"/>
    <x v="4"/>
    <n v="2021"/>
    <d v="2021-05-01T00:00:00"/>
    <x v="1"/>
    <x v="0"/>
    <s v="Win"/>
    <s v="NA"/>
    <x v="2"/>
    <x v="135"/>
    <x v="5"/>
    <s v="Delhi"/>
    <s v="RD Gaikwad, F du Plessis, MM Ali, SK Raina, AT Rayudu, RA Jadeja, MS Dhoni, SM Curran, SN Thakur, DL Chahar, L Ngidi"/>
    <s v="Q de Kock, RG Sharma, SA Yadav, KH Pandya, KA Pollard, HH Pandya, JDS Neesham, DS Kulkarni, RD Chahar, JJ Bumrah, TA Boult"/>
  </r>
  <r>
    <n v="1254083"/>
    <s v="Punjab Kings"/>
    <s v="Royal Challengers Bangalore"/>
    <x v="4"/>
    <n v="2021"/>
    <d v="2021-04-30T00:00:00"/>
    <x v="10"/>
    <x v="0"/>
    <s v="Win"/>
    <s v="NA"/>
    <x v="1"/>
    <x v="15"/>
    <x v="0"/>
    <s v="Ahmedabad"/>
    <s v="KL Rahul, P Simran Singh, CH Gayle, N Pooran, DJ Hooda, M Shahrukh Khan, Harpreet Brar, RP Meredith, Ravi Bishnoi, Mohammed Shami, CJ Jordan"/>
    <s v="V Kohli, D Padikkal, RM Patidar, GJ Maxwell, AB de Villiers, Shahbaz Ahmed, DR Sams, KA Jamieson, HV Patel, Mohammed Siraj, YS Chahal"/>
  </r>
  <r>
    <n v="1254082"/>
    <s v="Kolkata Knight Riders"/>
    <s v="Delhi Capitals"/>
    <x v="4"/>
    <n v="2021"/>
    <d v="2021-04-29T00:00:00"/>
    <x v="5"/>
    <x v="0"/>
    <s v="Win"/>
    <s v="NA"/>
    <x v="5"/>
    <x v="141"/>
    <x v="0"/>
    <s v="Ahmedabad"/>
    <s v="N Rana, Shubman Gill, RA Tripathi, EJG Morgan, SP Narine, AD Russell, KD Karthik, PJ Cummins, Shivam Mavi, CV Varun, M Prasidh Krishna"/>
    <s v="PP Shaw, S Dhawan, RR Pant, MP Stoinis, SO Hetmyer, SPD Smith, Lalit Yadav, AR Patel, K Rabada, Avesh Khan, I Sharma"/>
  </r>
  <r>
    <n v="1254081"/>
    <s v="Rajasthan Royals"/>
    <s v="Mumbai Indians"/>
    <x v="4"/>
    <n v="2021"/>
    <d v="2021-04-29T00:00:00"/>
    <x v="1"/>
    <x v="0"/>
    <s v="Win"/>
    <s v="NA"/>
    <x v="2"/>
    <x v="52"/>
    <x v="5"/>
    <s v="Delhi"/>
    <s v="JC Buttler, YBK Jaiswal, SV Samson, S Dube, DA Miller, R Parag, R Tewatia, CH Morris, JD Unadkat, C Sakariya, Mustafizur Rahman"/>
    <s v="RG Sharma, Q de Kock, SA Yadav, KH Pandya, KA Pollard, HH Pandya, NM Coulter-Nile, J Yadav, RD Chahar, JJ Bumrah, TA Boult"/>
  </r>
  <r>
    <n v="1254080"/>
    <s v="Sunrisers Hyderabad"/>
    <s v="Chennai Super Kings"/>
    <x v="4"/>
    <n v="2021"/>
    <d v="2021-04-28T00:00:00"/>
    <x v="4"/>
    <x v="1"/>
    <s v="Win"/>
    <s v="NA"/>
    <x v="3"/>
    <x v="68"/>
    <x v="5"/>
    <s v="Delhi"/>
    <s v="DA Warner, JM Bairstow, MK Pandey, KS Williamson, KM Jadhav, Rashid Khan, V Shankar, J Suchith, S Kaul, KK Ahmed, Sandeep Sharma"/>
    <s v="RD Gaikwad, F du Plessis, MM Ali, RA Jadeja, SK Raina, AT Rayudu, MS Dhoni, SM Curran, SN Thakur, DL Chahar, L Ngidi"/>
  </r>
  <r>
    <n v="1254079"/>
    <s v="Royal Challengers Bangalore"/>
    <s v="Delhi Capitals"/>
    <x v="4"/>
    <n v="2021"/>
    <d v="2021-04-27T00:00:00"/>
    <x v="5"/>
    <x v="0"/>
    <s v="Win"/>
    <s v="NA"/>
    <x v="11"/>
    <x v="142"/>
    <x v="0"/>
    <s v="Ahmedabad"/>
    <s v="V Kohli, D Padikkal, RM Patidar, GJ Maxwell, AB de Villiers, Washington Sundar, DR Sams, KA Jamieson, HV Patel, Mohammed Siraj, YS Chahal"/>
    <s v="PP Shaw, S Dhawan, SPD Smith, RR Pant, MP Stoinis, SO Hetmyer, AR Patel, K Rabada, Avesh Khan, A Mishra, I Sharma"/>
  </r>
  <r>
    <n v="1254078"/>
    <s v="Punjab Kings"/>
    <s v="Kolkata Knight Riders"/>
    <x v="4"/>
    <n v="2021"/>
    <d v="2021-04-26T00:00:00"/>
    <x v="8"/>
    <x v="0"/>
    <s v="Win"/>
    <s v="NA"/>
    <x v="10"/>
    <x v="143"/>
    <x v="0"/>
    <s v="Ahmedabad"/>
    <s v="KL Rahul, MA Agarwal, CH Gayle, DJ Hooda, N Pooran, MC Henriques, M Shahrukh Khan, CJ Jordan, Ravi Bishnoi, Mohammed Shami, Arshdeep Singh"/>
    <s v="Shubman Gill, N Rana, RA Tripathi, SP Narine, EJG Morgan, AD Russell, KD Karthik, PJ Cummins, Shivam Mavi, CV Varun, M Prasidh Krishna"/>
  </r>
  <r>
    <n v="1254077"/>
    <s v="Delhi Capitals"/>
    <s v="Sunrisers Hyderabad"/>
    <x v="4"/>
    <n v="2021"/>
    <d v="2021-04-25T00:00:00"/>
    <x v="5"/>
    <x v="1"/>
    <s v="tie"/>
    <s v="Delhi Capitals"/>
    <x v="9"/>
    <x v="141"/>
    <x v="11"/>
    <s v="Chennai"/>
    <s v="PP Shaw, S Dhawan, RR Pant, SPD Smith, SO Hetmyer, MP Stoinis, AR Patel, R Ashwin, K Rabada, Avesh Khan, A Mishra"/>
    <s v="DA Warner, JM Bairstow, KS Williamson, Virat Singh, KM Jadhav, Abhishek Sharma, Rashid Khan, V Shankar, J Suchith, S Kaul, KK Ahmed"/>
  </r>
  <r>
    <n v="1254076"/>
    <s v="Chennai Super Kings"/>
    <s v="Royal Challengers Bangalore"/>
    <x v="4"/>
    <n v="2021"/>
    <d v="2021-04-25T00:00:00"/>
    <x v="3"/>
    <x v="1"/>
    <s v="Win"/>
    <s v="NA"/>
    <x v="3"/>
    <x v="64"/>
    <x v="6"/>
    <s v="Mumbai"/>
    <s v="RD Gaikwad, F du Plessis, SK Raina, AT Rayudu, RA Jadeja, MS Dhoni, DJ Bravo, SM Curran, SN Thakur, DL Chahar, Imran Tahir"/>
    <s v="V Kohli, D Padikkal, Washington Sundar, GJ Maxwell, AB de Villiers, DT Christian, KA Jamieson, HV Patel, Navdeep Saini, YS Chahal, Mohammed Siraj"/>
  </r>
  <r>
    <n v="1254075"/>
    <s v="Kolkata Knight Riders"/>
    <s v="Rajasthan Royals"/>
    <x v="4"/>
    <n v="2021"/>
    <d v="2021-04-24T00:00:00"/>
    <x v="7"/>
    <x v="0"/>
    <s v="Win"/>
    <s v="NA"/>
    <x v="7"/>
    <x v="144"/>
    <x v="6"/>
    <s v="Mumbai"/>
    <s v="N Rana, Shubman Gill, RA Tripathi, SP Narine, EJG Morgan, KD Karthik, AD Russell, PJ Cummins, Shivam Mavi, M Prasidh Krishna, CV Varun"/>
    <s v="JC Buttler, YBK Jaiswal, SV Samson, S Dube, R Tewatia, DA Miller, R Parag, CH Morris, JD Unadkat, C Sakariya, Mustafizur Rahman"/>
  </r>
  <r>
    <n v="1254074"/>
    <s v="Mumbai Indians"/>
    <s v="Punjab Kings"/>
    <x v="4"/>
    <n v="2021"/>
    <d v="2021-04-23T00:00:00"/>
    <x v="0"/>
    <x v="0"/>
    <s v="Win"/>
    <s v="NA"/>
    <x v="1"/>
    <x v="41"/>
    <x v="11"/>
    <s v="Chennai"/>
    <s v="Q de Kock, RG Sharma, Ishan Kishan, SA Yadav, KA Pollard, HH Pandya, KH Pandya, J Yadav, RD Chahar, JJ Bumrah, TA Boult"/>
    <s v="KL Rahul, MA Agarwal, CH Gayle, DJ Hooda, N Pooran, MC Henriques, M Shahrukh Khan, FA Allen, Mohammed Shami, Ravi Bishnoi, Arshdeep Singh"/>
  </r>
  <r>
    <n v="1254073"/>
    <s v="Rajasthan Royals"/>
    <s v="Royal Challengers Bangalore"/>
    <x v="4"/>
    <n v="2021"/>
    <d v="2021-04-22T00:00:00"/>
    <x v="10"/>
    <x v="0"/>
    <s v="Win"/>
    <s v="NA"/>
    <x v="11"/>
    <x v="89"/>
    <x v="6"/>
    <s v="Mumbai"/>
    <s v="JC Buttler, M Vohra, SV Samson, DA Miller, S Dube, R Parag, R Tewatia, CH Morris, S Gopal, C Sakariya, Mustafizur Rahman"/>
    <s v="V Kohli, D Padikkal, GJ Maxwell, AB de Villiers, Washington Sundar, KA Jamieson, Shahbaz Ahmed, HV Patel, Mohammed Siraj, KW Richardson, YS Chahal"/>
  </r>
  <r>
    <n v="1254072"/>
    <s v="Chennai Super Kings"/>
    <s v="Kolkata Knight Riders"/>
    <x v="4"/>
    <n v="2021"/>
    <d v="2021-04-21T00:00:00"/>
    <x v="8"/>
    <x v="0"/>
    <s v="Win"/>
    <s v="NA"/>
    <x v="3"/>
    <x v="56"/>
    <x v="6"/>
    <s v="Mumbai"/>
    <s v="RD Gaikwad, F du Plessis, MM Ali, MS Dhoni, RA Jadeja, SK Raina, AT Rayudu, SM Curran, SN Thakur, DL Chahar, L Ngidi"/>
    <s v="N Rana, Shubman Gill, RA Tripathi, EJG Morgan, SP Narine, KD Karthik, AD Russell, PJ Cummins, KL Nagarkoti, CV Varun, M Prasidh Krishna"/>
  </r>
  <r>
    <n v="1254071"/>
    <s v="Punjab Kings"/>
    <s v="Sunrisers Hyderabad"/>
    <x v="4"/>
    <n v="2021"/>
    <d v="2021-04-21T00:00:00"/>
    <x v="0"/>
    <x v="1"/>
    <s v="Win"/>
    <s v="NA"/>
    <x v="4"/>
    <x v="71"/>
    <x v="11"/>
    <s v="Chennai"/>
    <s v="KL Rahul, MA Agarwal, CH Gayle, N Pooran, DJ Hooda, MC Henriques, M Shahrukh Khan, FA Allen, M Ashwin, Mohammed Shami, Arshdeep Singh"/>
    <s v="DA Warner, JM Bairstow, KS Williamson, Virat Singh, KM Jadhav, V Shankar, Abhishek Sharma, Rashid Khan, B Kumar, S Kaul, KK Ahmed"/>
  </r>
  <r>
    <n v="1254070"/>
    <s v="Mumbai Indians"/>
    <s v="Delhi Capitals"/>
    <x v="4"/>
    <n v="2021"/>
    <d v="2021-04-20T00:00:00"/>
    <x v="1"/>
    <x v="1"/>
    <s v="Win"/>
    <s v="NA"/>
    <x v="5"/>
    <x v="145"/>
    <x v="11"/>
    <s v="Chennai"/>
    <s v="RG Sharma, Q de Kock, SA Yadav, Ishan Kishan, HH Pandya, KH Pandya, KA Pollard, J Yadav, RD Chahar, JJ Bumrah, TA Boult"/>
    <s v="PP Shaw, S Dhawan, SPD Smith, Lalit Yadav, RR Pant, SO Hetmyer, MP Stoinis, R Ashwin, K Rabada, Avesh Khan, A Mishra"/>
  </r>
  <r>
    <n v="1254069"/>
    <s v="Chennai Super Kings"/>
    <s v="Rajasthan Royals"/>
    <x v="4"/>
    <n v="2021"/>
    <d v="2021-04-19T00:00:00"/>
    <x v="7"/>
    <x v="0"/>
    <s v="Win"/>
    <s v="NA"/>
    <x v="3"/>
    <x v="106"/>
    <x v="6"/>
    <s v="Mumbai"/>
    <s v="RD Gaikwad, F du Plessis, MM Ali, SK Raina, AT Rayudu, RA Jadeja, MS Dhoni, SM Curran, DJ Bravo, SN Thakur, DL Chahar"/>
    <s v="JC Buttler, M Vohra, SV Samson, S Dube, DA Miller, R Parag, R Tewatia, CH Morris, JD Unadkat, C Sakariya, Mustafizur Rahman"/>
  </r>
  <r>
    <n v="1254068"/>
    <s v="Punjab Kings"/>
    <s v="Delhi Capitals"/>
    <x v="4"/>
    <n v="2021"/>
    <d v="2021-04-18T00:00:00"/>
    <x v="5"/>
    <x v="0"/>
    <s v="Win"/>
    <s v="NA"/>
    <x v="5"/>
    <x v="104"/>
    <x v="6"/>
    <s v="Mumbai"/>
    <s v="KL Rahul, MA Agarwal, CH Gayle, DJ Hooda, N Pooran, M Shahrukh Khan, Jalaj S Saxena, JA Richardson, Mohammed Shami, RP Meredith, Arshdeep Singh"/>
    <s v="PP Shaw, S Dhawan, SPD Smith, RR Pant, MP Stoinis, Lalit Yadav, LI Meriwala, CR Woakes, R Ashwin, K Rabada, Avesh Khan"/>
  </r>
  <r>
    <n v="1254067"/>
    <s v="Royal Challengers Bangalore"/>
    <s v="Kolkata Knight Riders"/>
    <x v="4"/>
    <n v="2021"/>
    <d v="2021-04-18T00:00:00"/>
    <x v="10"/>
    <x v="1"/>
    <s v="Win"/>
    <s v="NA"/>
    <x v="11"/>
    <x v="142"/>
    <x v="11"/>
    <s v="Chennai"/>
    <s v="V Kohli, D Padikkal, RM Patidar, GJ Maxwell, AB de Villiers, KA Jamieson, Washington Sundar, Shahbaz Ahmed, HV Patel, Mohammed Siraj, YS Chahal"/>
    <s v="N Rana, Shubman Gill, RA Tripathi, EJG Morgan, KD Karthik, Shakib Al Hasan, AD Russell, PJ Cummins, Harbhajan Singh, CV Varun, M Prasidh Krishna"/>
  </r>
  <r>
    <n v="1254066"/>
    <s v="Mumbai Indians"/>
    <s v="Sunrisers Hyderabad"/>
    <x v="4"/>
    <n v="2021"/>
    <d v="2021-04-17T00:00:00"/>
    <x v="1"/>
    <x v="1"/>
    <s v="Win"/>
    <s v="NA"/>
    <x v="2"/>
    <x v="135"/>
    <x v="11"/>
    <s v="Chennai"/>
    <s v="Q de Kock, RG Sharma, SA Yadav, Ishan Kishan, KA Pollard, HH Pandya, KH Pandya, AF Milne, RD Chahar, JJ Bumrah, TA Boult"/>
    <s v="DA Warner, JM Bairstow, MK Pandey, Virat Singh, V Shankar, Abhishek Sharma, Abdul Samad, Rashid Khan, B Kumar, Mujeeb Ur Rahman, KK Ahmed"/>
  </r>
  <r>
    <n v="1254065"/>
    <s v="Punjab Kings"/>
    <s v="Chennai Super Kings"/>
    <x v="4"/>
    <n v="2021"/>
    <d v="2021-04-16T00:00:00"/>
    <x v="3"/>
    <x v="0"/>
    <s v="Win"/>
    <s v="NA"/>
    <x v="3"/>
    <x v="146"/>
    <x v="6"/>
    <s v="Mumbai"/>
    <s v="KL Rahul, MA Agarwal, CH Gayle, DJ Hooda, N Pooran, M Shahrukh Khan, JA Richardson, M Ashwin, Mohammed Shami, RP Meredith, Arshdeep Singh"/>
    <s v="RD Gaikwad, F du Plessis, MM Ali, SK Raina, AT Rayudu, SM Curran, RA Jadeja, MS Dhoni, DJ Bravo, SN Thakur, DL Chahar"/>
  </r>
  <r>
    <n v="1254064"/>
    <s v="Delhi Capitals"/>
    <s v="Rajasthan Royals"/>
    <x v="4"/>
    <n v="2021"/>
    <d v="2021-04-15T00:00:00"/>
    <x v="7"/>
    <x v="0"/>
    <s v="Win"/>
    <s v="NA"/>
    <x v="7"/>
    <x v="147"/>
    <x v="6"/>
    <s v="Mumbai"/>
    <s v="PP Shaw, S Dhawan, AM Rahane, RR Pant, MP Stoinis, Lalit Yadav, TK Curran, CR Woakes, R Ashwin, K Rabada, Avesh Khan"/>
    <s v="JC Buttler, M Vohra, SV Samson, S Dube, DA Miller, R Parag, R Tewatia, CH Morris, JD Unadkat, C Sakariya, Mustafizur Rahman"/>
  </r>
  <r>
    <n v="1254063"/>
    <s v="Royal Challengers Bangalore"/>
    <s v="Sunrisers Hyderabad"/>
    <x v="4"/>
    <n v="2021"/>
    <d v="2021-04-14T00:00:00"/>
    <x v="4"/>
    <x v="0"/>
    <s v="Win"/>
    <s v="NA"/>
    <x v="11"/>
    <x v="101"/>
    <x v="11"/>
    <s v="Chennai"/>
    <s v="V Kohli, D Padikkal, Shahbaz Ahmed, GJ Maxwell, AB de Villiers, Washington Sundar, DT Christian, KA Jamieson, HV Patel, Mohammed Siraj, YS Chahal"/>
    <s v="WP Saha, DA Warner, MK Pandey, JM Bairstow, Abdul Samad, V Shankar, JO Holder, Rashid Khan, B Kumar, S Nadeem, T Natarajan"/>
  </r>
  <r>
    <n v="1254062"/>
    <s v="Mumbai Indians"/>
    <s v="Kolkata Knight Riders"/>
    <x v="4"/>
    <n v="2021"/>
    <d v="2021-04-13T00:00:00"/>
    <x v="8"/>
    <x v="0"/>
    <s v="Win"/>
    <s v="NA"/>
    <x v="2"/>
    <x v="148"/>
    <x v="11"/>
    <s v="Chennai"/>
    <s v="RG Sharma, Q de Kock, SA Yadav, Ishan Kishan, HH Pandya, KA Pollard, KH Pandya, M Jansen, RD Chahar, JJ Bumrah, TA Boult"/>
    <s v="N Rana, Shubman Gill, RA Tripathi, EJG Morgan, Shakib Al Hasan, KD Karthik, AD Russell, PJ Cummins, Harbhajan Singh, CV Varun, M Prasidh Krishna"/>
  </r>
  <r>
    <n v="1254061"/>
    <s v="Punjab Kings"/>
    <s v="Rajasthan Royals"/>
    <x v="4"/>
    <n v="2021"/>
    <d v="2021-04-12T00:00:00"/>
    <x v="7"/>
    <x v="0"/>
    <s v="Win"/>
    <s v="NA"/>
    <x v="1"/>
    <x v="70"/>
    <x v="6"/>
    <s v="Mumbai"/>
    <s v="KL Rahul, MA Agarwal, CH Gayle, DJ Hooda, N Pooran, M Shahrukh Khan, JA Richardson, M Ashwin, Mohammed Shami, RP Meredith, Arshdeep Singh"/>
    <s v="BA Stokes, M Vohra, SV Samson, JC Buttler, S Dube, R Parag, R Tewatia, CH Morris, S Gopal, C Sakariya, Mustafizur Rahman"/>
  </r>
  <r>
    <n v="1254060"/>
    <s v="Kolkata Knight Riders"/>
    <s v="Sunrisers Hyderabad"/>
    <x v="4"/>
    <n v="2021"/>
    <d v="2021-04-11T00:00:00"/>
    <x v="4"/>
    <x v="0"/>
    <s v="Win"/>
    <s v="NA"/>
    <x v="10"/>
    <x v="50"/>
    <x v="11"/>
    <s v="Chennai"/>
    <s v="N Rana, Shubman Gill, RA Tripathi, AD Russell, EJG Morgan, KD Karthik, Shakib Al Hasan, PJ Cummins, Harbhajan Singh, CV Varun, M Prasidh Krishna"/>
    <s v="WP Saha, DA Warner, MK Pandey, JM Bairstow, Mohammad Nabi, V Shankar, Abdul Samad, Rashid Khan, B Kumar, Sandeep Sharma, T Natarajan"/>
  </r>
  <r>
    <n v="1254059"/>
    <s v="Chennai Super Kings"/>
    <s v="Delhi Capitals"/>
    <x v="4"/>
    <n v="2021"/>
    <d v="2021-04-10T00:00:00"/>
    <x v="5"/>
    <x v="0"/>
    <s v="Win"/>
    <s v="NA"/>
    <x v="5"/>
    <x v="104"/>
    <x v="6"/>
    <s v="Mumbai"/>
    <s v="RD Gaikwad, F du Plessis, MM Ali, SK Raina, AT Rayudu, RA Jadeja, MS Dhoni, SM Curran, DJ Bravo, SN Thakur, DL Chahar"/>
    <s v="PP Shaw, S Dhawan, RR Pant, MP Stoinis, SO Hetmyer, AM Rahane, CR Woakes, TK Curran, R Ashwin, A Mishra, Avesh Khan"/>
  </r>
  <r>
    <n v="1254058"/>
    <s v="Mumbai Indians"/>
    <s v="Royal Challengers Bangalore"/>
    <x v="4"/>
    <n v="2021"/>
    <d v="2021-04-09T00:00:00"/>
    <x v="10"/>
    <x v="0"/>
    <s v="Win"/>
    <s v="NA"/>
    <x v="11"/>
    <x v="27"/>
    <x v="11"/>
    <s v="Chennai"/>
    <s v="RG Sharma, CA Lynn, SA Yadav, Ishan Kishan, HH Pandya, KA Pollard, KH Pandya, M Jansen, RD Chahar, JJ Bumrah, TA Boult"/>
    <s v="Washington Sundar, V Kohli, RM Patidar, GJ Maxwell, AB de Villiers, Shahbaz Ahmed, DT Christian, KA Jamieson, HV Patel, Mohammed Siraj, YS Chahal"/>
  </r>
  <r>
    <n v="1237181"/>
    <s v="Delhi Capitals"/>
    <s v="Mumbai Indians"/>
    <x v="5"/>
    <n v="2020"/>
    <d v="2020-11-10T00:00:00"/>
    <x v="5"/>
    <x v="1"/>
    <s v="Win"/>
    <s v="NA"/>
    <x v="2"/>
    <x v="29"/>
    <x v="18"/>
    <s v="NA"/>
    <s v="MP Stoinis, S Dhawan, AM Rahane, SS Iyer, RR Pant, SO Hetmyer, AR Patel, K Rabada, P Dubey, R Ashwin, A Nortje"/>
    <s v="RG Sharma, Q de Kock, SA Yadav, Ishan Kishan, KA Pollard, HH Pandya, KH Pandya, J Yadav, NM Coulter-Nile, TA Boult, JJ Bumrah"/>
  </r>
  <r>
    <n v="1237180"/>
    <s v="Delhi Capitals"/>
    <s v="Sunrisers Hyderabad"/>
    <x v="5"/>
    <n v="2020"/>
    <d v="2020-11-08T00:00:00"/>
    <x v="5"/>
    <x v="1"/>
    <s v="Win"/>
    <s v="NA"/>
    <x v="5"/>
    <x v="67"/>
    <x v="21"/>
    <s v="Abu Dhabi"/>
    <s v="MP Stoinis, S Dhawan, SS Iyer, SO Hetmyer, RR Pant, AM Rahane, P Dubey, AR Patel, R Ashwin, K Rabada, A Nortje"/>
    <s v="PK Garg, DA Warner, MK Pandey, KS Williamson, JO Holder, Abdul Samad, Rashid Khan, SP Goswami, S Nadeem, Sandeep Sharma, T Natarajan"/>
  </r>
  <r>
    <n v="1237178"/>
    <s v="Royal Challengers Bangalore"/>
    <s v="Sunrisers Hyderabad"/>
    <x v="5"/>
    <n v="2020"/>
    <d v="2020-11-06T00:00:00"/>
    <x v="4"/>
    <x v="0"/>
    <s v="Win"/>
    <s v="NA"/>
    <x v="4"/>
    <x v="124"/>
    <x v="21"/>
    <s v="Abu Dhabi"/>
    <s v="V Kohli, D Padikkal, AJ Finch, AB de Villiers, MM Ali, S Dube, Washington Sundar, Navdeep Saini, Mohammed Siraj, YS Chahal, A Zampa"/>
    <s v="DA Warner, SP Goswami, MK Pandey, KS Williamson, PK Garg, JO Holder, Abdul Samad, Rashid Khan, S Nadeem, Sandeep Sharma, T Natarajan"/>
  </r>
  <r>
    <n v="1237177"/>
    <s v="Mumbai Indians"/>
    <s v="Delhi Capitals"/>
    <x v="5"/>
    <n v="2020"/>
    <d v="2020-11-05T00:00:00"/>
    <x v="5"/>
    <x v="0"/>
    <s v="Win"/>
    <s v="NA"/>
    <x v="2"/>
    <x v="75"/>
    <x v="18"/>
    <s v="NA"/>
    <s v="Q de Kock, RG Sharma, SA Yadav, Ishan Kishan, KA Pollard, KH Pandya, HH Pandya, NM Coulter-Nile, TA Boult, RD Chahar, JJ Bumrah"/>
    <s v="PP Shaw, S Dhawan, AM Rahane, SS Iyer, MP Stoinis, RR Pant, AR Patel, DR Sams, K Rabada, A Nortje, R Ashwin"/>
  </r>
  <r>
    <n v="1216495"/>
    <s v="Mumbai Indians"/>
    <s v="Sunrisers Hyderabad"/>
    <x v="5"/>
    <n v="2020"/>
    <d v="2020-11-03T00:00:00"/>
    <x v="4"/>
    <x v="0"/>
    <s v="Win"/>
    <s v="NA"/>
    <x v="4"/>
    <x v="149"/>
    <x v="19"/>
    <s v="NA"/>
    <s v="RG Sharma, Q de Kock, SA Yadav, Ishan Kishan, KH Pandya, SS Tiwary, KA Pollard, NM Coulter-Nile, JL Pattinson, DS Kulkarni, RD Chahar"/>
    <s v="DA Warner, WP Saha, MK Pandey, KS Williamson, PK Garg, JO Holder, Abdul Samad, Rashid Khan, S Nadeem, Sandeep Sharma, T Natarajan"/>
  </r>
  <r>
    <n v="1216505"/>
    <s v="Royal Challengers Bangalore"/>
    <s v="Delhi Capitals"/>
    <x v="5"/>
    <n v="2020"/>
    <d v="2020-11-02T00:00:00"/>
    <x v="5"/>
    <x v="0"/>
    <s v="Win"/>
    <s v="NA"/>
    <x v="5"/>
    <x v="139"/>
    <x v="21"/>
    <s v="Abu Dhabi"/>
    <s v="JR Philippe, D Padikkal, V Kohli, AB de Villiers, CH Morris, S Dube, Washington Sundar, I Udana, Shahbaz Ahmed, Mohammed Siraj, YS Chahal"/>
    <s v="PP Shaw, S Dhawan, AM Rahane, SS Iyer, RR Pant, MP Stoinis, AR Patel, DR Sams, R Ashwin, K Rabada, A Nortje"/>
  </r>
  <r>
    <n v="1216530"/>
    <s v="Kolkata Knight Riders"/>
    <s v="Rajasthan Royals"/>
    <x v="5"/>
    <n v="2020"/>
    <d v="2020-11-01T00:00:00"/>
    <x v="7"/>
    <x v="0"/>
    <s v="Win"/>
    <s v="NA"/>
    <x v="10"/>
    <x v="126"/>
    <x v="18"/>
    <s v="NA"/>
    <s v="Shubman Gill, N Rana, RA Tripathi, SP Narine, EJG Morgan, KD Karthik, AD Russell, PJ Cummins, KL Nagarkoti, Shivam Mavi, CV Varun"/>
    <s v="RV Uthappa, BA Stokes, SPD Smith, SV Samson, JC Buttler, R Parag, R Tewatia, S Gopal, JC Archer, Kartik Tyagi, VR Aaron"/>
  </r>
  <r>
    <n v="1216506"/>
    <s v="Kings XI Punjab"/>
    <s v="Chennai Super Kings"/>
    <x v="5"/>
    <n v="2020"/>
    <d v="2020-11-01T00:00:00"/>
    <x v="3"/>
    <x v="0"/>
    <s v="Win"/>
    <s v="NA"/>
    <x v="3"/>
    <x v="68"/>
    <x v="21"/>
    <s v="Abu Dhabi"/>
    <s v="KL Rahul, MA Agarwal, CH Gayle, N Pooran, Mandeep Singh, DJ Hooda, JDS Neesham, CJ Jordan, M Ashwin, Ravi Bishnoi, Mohammed Shami"/>
    <s v="RD Gaikwad, F du Plessis, AT Rayudu, MS Dhoni, N Jagadeesan, SM Curran, RA Jadeja, DL Chahar, SN Thakur, L Ngidi, Imran Tahir"/>
  </r>
  <r>
    <n v="1216535"/>
    <s v="Delhi Capitals"/>
    <s v="Mumbai Indians"/>
    <x v="5"/>
    <n v="2020"/>
    <d v="2020-10-31T00:00:00"/>
    <x v="1"/>
    <x v="0"/>
    <s v="Win"/>
    <s v="NA"/>
    <x v="2"/>
    <x v="9"/>
    <x v="18"/>
    <s v="NA"/>
    <s v="PP Shaw, S Dhawan, SS Iyer, RR Pant, MP Stoinis, SO Hetmyer, HV Patel, R Ashwin, P Dubey, K Rabada, A Nortje"/>
    <s v="Ishan Kishan, Q de Kock, SA Yadav, SS Tiwary, KH Pandya, KA Pollard, NM Coulter-Nile, J Yadav, RD Chahar, TA Boult, JJ Bumrah"/>
  </r>
  <r>
    <n v="1216502"/>
    <s v="Royal Challengers Bangalore"/>
    <s v="Sunrisers Hyderabad"/>
    <x v="5"/>
    <n v="2020"/>
    <d v="2020-10-31T00:00:00"/>
    <x v="4"/>
    <x v="0"/>
    <s v="Win"/>
    <s v="NA"/>
    <x v="4"/>
    <x v="73"/>
    <x v="19"/>
    <s v="NA"/>
    <s v="JR Philippe, D Padikkal, V Kohli, AB de Villiers, Washington Sundar, Gurkeerat Singh, CH Morris, I Udana, Mohammed Siraj, Navdeep Saini, YS Chahal"/>
    <s v="DA Warner, WP Saha, MK Pandey, KS Williamson, Abhishek Sharma, JO Holder, Abdul Samad, Rashid Khan, S Nadeem, Sandeep Sharma, T Natarajan"/>
  </r>
  <r>
    <n v="1216537"/>
    <s v="Kings XI Punjab"/>
    <s v="Rajasthan Royals"/>
    <x v="5"/>
    <n v="2020"/>
    <d v="2020-10-30T00:00:00"/>
    <x v="7"/>
    <x v="0"/>
    <s v="Win"/>
    <s v="NA"/>
    <x v="7"/>
    <x v="150"/>
    <x v="21"/>
    <s v="Abu Dhabi"/>
    <s v="KL Rahul, Mandeep Singh, CH Gayle, N Pooran, GJ Maxwell, DJ Hooda, CJ Jordan, M Ashwin, Ravi Bishnoi, Mohammed Shami, Arshdeep Singh"/>
    <s v="RV Uthappa, BA Stokes, SV Samson, SPD Smith, JC Buttler, R Parag, R Tewatia, JC Archer, S Gopal, Kartik Tyagi, VR Aaron"/>
  </r>
  <r>
    <n v="1216536"/>
    <s v="Kolkata Knight Riders"/>
    <s v="Chennai Super Kings"/>
    <x v="5"/>
    <n v="2020"/>
    <d v="2020-10-29T00:00:00"/>
    <x v="3"/>
    <x v="0"/>
    <s v="Win"/>
    <s v="NA"/>
    <x v="3"/>
    <x v="68"/>
    <x v="18"/>
    <s v="NA"/>
    <s v="Shubman Gill, N Rana, SP Narine, RK Singh, EJG Morgan, KD Karthik, RA Tripathi, KL Nagarkoti, PJ Cummins, LH Ferguson, CV Varun"/>
    <s v="SR Watson, RD Gaikwad, AT Rayudu, MS Dhoni, SM Curran, RA Jadeja, N Jagadeesan, MJ Santner, DL Chahar, KV Sharma, L Ngidi"/>
  </r>
  <r>
    <n v="1216499"/>
    <s v="Royal Challengers Bangalore"/>
    <s v="Mumbai Indians"/>
    <x v="5"/>
    <n v="2020"/>
    <d v="2020-10-28T00:00:00"/>
    <x v="1"/>
    <x v="0"/>
    <s v="Win"/>
    <s v="NA"/>
    <x v="2"/>
    <x v="11"/>
    <x v="21"/>
    <s v="Abu Dhabi"/>
    <s v="JR Philippe, D Padikkal, V Kohli, AB de Villiers, S Dube, CH Morris, Gurkeerat Singh, Washington Sundar, YS Chahal, Mohammed Siraj, DW Steyn"/>
    <s v="Q de Kock, Ishan Kishan, SA Yadav, SS Tiwary, KH Pandya, HH Pandya, KA Pollard, JL Pattinson, RD Chahar, TA Boult, JJ Bumrah"/>
  </r>
  <r>
    <n v="1216524"/>
    <s v="Sunrisers Hyderabad"/>
    <s v="Delhi Capitals"/>
    <x v="5"/>
    <n v="2020"/>
    <d v="2020-10-27T00:00:00"/>
    <x v="5"/>
    <x v="0"/>
    <s v="Win"/>
    <s v="NA"/>
    <x v="4"/>
    <x v="112"/>
    <x v="18"/>
    <s v="NA"/>
    <s v="DA Warner, WP Saha, MK Pandey, KS Williamson, V Shankar, Abdul Samad, JO Holder, Rashid Khan, Sandeep Sharma, T Natarajan, S Nadeem"/>
    <s v="AM Rahane, S Dhawan, MP Stoinis, SO Hetmyer, RR Pant, SS Iyer, AR Patel, K Rabada, R Ashwin, TU Deshpande, A Nortje"/>
  </r>
  <r>
    <n v="1216520"/>
    <s v="Kolkata Knight Riders"/>
    <s v="Kings XI Punjab"/>
    <x v="5"/>
    <n v="2020"/>
    <d v="2020-10-26T00:00:00"/>
    <x v="11"/>
    <x v="0"/>
    <s v="Win"/>
    <s v="NA"/>
    <x v="12"/>
    <x v="151"/>
    <x v="19"/>
    <s v="NA"/>
    <s v="Shubman Gill, N Rana, RA Tripathi, KD Karthik, EJG Morgan, SP Narine, KL Nagarkoti, PJ Cummins, LH Ferguson, CV Varun, M Prasidh Krishna"/>
    <s v="KL Rahul, Mandeep Singh, CH Gayle, N Pooran, GJ Maxwell, DJ Hooda, CJ Jordan, M Ashwin, Ravi Bishnoi, Mohammed Shami, Arshdeep Singh"/>
  </r>
  <r>
    <n v="1216544"/>
    <s v="Royal Challengers Bangalore"/>
    <s v="Chennai Super Kings"/>
    <x v="5"/>
    <n v="2020"/>
    <d v="2020-10-25T00:00:00"/>
    <x v="10"/>
    <x v="1"/>
    <s v="Win"/>
    <s v="NA"/>
    <x v="3"/>
    <x v="68"/>
    <x v="18"/>
    <s v="NA"/>
    <s v="D Padikkal, AJ Finch, V Kohli, AB de Villiers, MM Ali, CH Morris, Gurkeerat Singh, Washington Sundar, Navdeep Saini, YS Chahal, Mohammed Siraj"/>
    <s v="RD Gaikwad, F du Plessis, AT Rayudu, MS Dhoni, N Jagadeesan, RA Jadeja, SM Curran, MJ Santner, DL Chahar, Imran Tahir, Monu Kumar"/>
  </r>
  <r>
    <n v="1216541"/>
    <s v="Mumbai Indians"/>
    <s v="Rajasthan Royals"/>
    <x v="5"/>
    <n v="2020"/>
    <d v="2020-10-25T00:00:00"/>
    <x v="1"/>
    <x v="1"/>
    <s v="Win"/>
    <s v="NA"/>
    <x v="7"/>
    <x v="150"/>
    <x v="21"/>
    <s v="Abu Dhabi"/>
    <s v="Ishan Kishan, Q de Kock, SA Yadav, SS Tiwary, KA Pollard, HH Pandya, KH Pandya, JL Pattinson, RD Chahar, TA Boult, JJ Bumrah"/>
    <s v="RV Uthappa, BA Stokes, SPD Smith, SV Samson, JC Buttler, R Parag, R Tewatia, JC Archer, S Gopal, AS Rajpoot, Kartik Tyagi"/>
  </r>
  <r>
    <n v="1216497"/>
    <s v="Kolkata Knight Riders"/>
    <s v="Delhi Capitals"/>
    <x v="5"/>
    <n v="2020"/>
    <d v="2020-10-24T00:00:00"/>
    <x v="5"/>
    <x v="0"/>
    <s v="Win"/>
    <s v="NA"/>
    <x v="10"/>
    <x v="61"/>
    <x v="21"/>
    <s v="Abu Dhabi"/>
    <s v="Shubman Gill, N Rana, RA Tripathi, KD Karthik, SP Narine, EJG Morgan, PJ Cummins, LH Ferguson, KL Nagarkoti, M Prasidh Krishna, CV Varun"/>
    <s v="AM Rahane, S Dhawan, SS Iyer, RR Pant, SO Hetmyer, MP Stoinis, AR Patel, K Rabada, R Ashwin, TU Deshpande, A Nortje"/>
  </r>
  <r>
    <n v="1216498"/>
    <s v="Kings XI Punjab"/>
    <s v="Sunrisers Hyderabad"/>
    <x v="5"/>
    <n v="2020"/>
    <d v="2020-10-24T00:00:00"/>
    <x v="4"/>
    <x v="0"/>
    <s v="Win"/>
    <s v="NA"/>
    <x v="12"/>
    <x v="152"/>
    <x v="18"/>
    <s v="NA"/>
    <s v="KL Rahul, Mandeep Singh, CH Gayle, N Pooran, GJ Maxwell, DJ Hooda, CJ Jordan, M Ashwin, Ravi Bishnoi, Mohammed Shami, Arshdeep Singh"/>
    <s v="DA Warner, JM Bairstow, MK Pandey, Abdul Samad, V Shankar, JO Holder, PK Garg, Rashid Khan, Sandeep Sharma, T Natarajan, KK Ahmed"/>
  </r>
  <r>
    <n v="1216521"/>
    <s v="Chennai Super Kings"/>
    <s v="Mumbai Indians"/>
    <x v="5"/>
    <n v="2020"/>
    <d v="2020-10-23T00:00:00"/>
    <x v="1"/>
    <x v="0"/>
    <s v="Win"/>
    <s v="NA"/>
    <x v="2"/>
    <x v="29"/>
    <x v="19"/>
    <s v="NA"/>
    <s v="RD Gaikwad, F du Plessis, AT Rayudu, N Jagadeesan, MS Dhoni, RA Jadeja, SM Curran, DL Chahar, SN Thakur, Imran Tahir, JR Hazlewood"/>
    <s v="Q de Kock, Ishan Kishan, SA Yadav, SS Tiwary, KH Pandya, HH Pandya, KA Pollard, NM Coulter-Nile, RD Chahar, TA Boult, JJ Bumrah"/>
  </r>
  <r>
    <n v="1216518"/>
    <s v="Rajasthan Royals"/>
    <s v="Sunrisers Hyderabad"/>
    <x v="5"/>
    <n v="2020"/>
    <d v="2020-10-22T00:00:00"/>
    <x v="4"/>
    <x v="0"/>
    <s v="Win"/>
    <s v="NA"/>
    <x v="4"/>
    <x v="153"/>
    <x v="18"/>
    <s v="NA"/>
    <s v="RV Uthappa, BA Stokes, SV Samson, JC Buttler, SPD Smith, R Parag, R Tewatia, JC Archer, S Gopal, AS Rajpoot, Kartik Tyagi"/>
    <s v="DA Warner, JM Bairstow, MK Pandey, V Shankar, PK Garg, Abdul Samad, JO Holder, Rashid Khan, Sandeep Sharma, T Natarajan, S Nadeem"/>
  </r>
  <r>
    <n v="1216494"/>
    <s v="Kolkata Knight Riders"/>
    <s v="Royal Challengers Bangalore"/>
    <x v="5"/>
    <n v="2020"/>
    <d v="2020-10-21T00:00:00"/>
    <x v="8"/>
    <x v="1"/>
    <s v="Win"/>
    <s v="NA"/>
    <x v="11"/>
    <x v="45"/>
    <x v="21"/>
    <s v="Abu Dhabi"/>
    <s v="Shubman Gill, RA Tripathi, N Rana, T Banton, KD Karthik, EJG Morgan, PJ Cummins, Kuldeep Yadav, LH Ferguson, M Prasidh Krishna, CV Varun"/>
    <s v="D Padikkal, AJ Finch, Gurkeerat Singh, V Kohli, AB de Villiers, CH Morris, Washington Sundar, I Udana, Navdeep Saini, YS Chahal, Mohammed Siraj"/>
  </r>
  <r>
    <n v="1216546"/>
    <s v="Delhi Capitals"/>
    <s v="Kings XI Punjab"/>
    <x v="5"/>
    <n v="2020"/>
    <d v="2020-10-20T00:00:00"/>
    <x v="5"/>
    <x v="1"/>
    <s v="Win"/>
    <s v="NA"/>
    <x v="12"/>
    <x v="104"/>
    <x v="18"/>
    <s v="NA"/>
    <s v="PP Shaw, S Dhawan, SS Iyer, RR Pant, MP Stoinis, SO Hetmyer, AR Patel, R Ashwin, K Rabada, DR Sams, TU Deshpande"/>
    <s v="KL Rahul, MA Agarwal, CH Gayle, N Pooran, GJ Maxwell, DJ Hooda, JDS Neesham, M Ashwin, Ravi Bishnoi, Mohammed Shami, Arshdeep Singh"/>
  </r>
  <r>
    <n v="1216533"/>
    <s v="Chennai Super Kings"/>
    <s v="Rajasthan Royals"/>
    <x v="5"/>
    <n v="2020"/>
    <d v="2020-10-19T00:00:00"/>
    <x v="3"/>
    <x v="1"/>
    <s v="Win"/>
    <s v="NA"/>
    <x v="7"/>
    <x v="33"/>
    <x v="21"/>
    <s v="Abu Dhabi"/>
    <s v="SM Curran, F du Plessis, SR Watson, AT Rayudu, MS Dhoni, RA Jadeja, KM Jadhav, PP Chawla, DL Chahar, SN Thakur, JR Hazlewood"/>
    <s v="BA Stokes, RV Uthappa, SV Samson, SPD Smith, JC Buttler, R Tewatia, R Parag, JC Archer, S Gopal, AS Rajpoot, Kartik Tyagi"/>
  </r>
  <r>
    <n v="1216517"/>
    <s v="Mumbai Indians"/>
    <s v="Kings XI Punjab"/>
    <x v="5"/>
    <n v="2020"/>
    <d v="2020-10-18T00:00:00"/>
    <x v="1"/>
    <x v="1"/>
    <s v="tie"/>
    <s v="Kings XI Punjab"/>
    <x v="9"/>
    <x v="41"/>
    <x v="18"/>
    <s v="NA"/>
    <s v="RG Sharma, Q de Kock, SA Yadav, Ishan Kishan, KH Pandya, HH Pandya, KA Pollard, NM Coulter-Nile, RD Chahar, TA Boult, JJ Bumrah"/>
    <s v="KL Rahul, MA Agarwal, CH Gayle, N Pooran, GJ Maxwell, DJ Hooda, CJ Jordan, M Ashwin, Ravi Bishnoi, Mohammed Shami, Arshdeep Singh"/>
  </r>
  <r>
    <n v="1216512"/>
    <s v="Kolkata Knight Riders"/>
    <s v="Sunrisers Hyderabad"/>
    <x v="5"/>
    <n v="2020"/>
    <d v="2020-10-18T00:00:00"/>
    <x v="4"/>
    <x v="0"/>
    <s v="tie"/>
    <s v="Kolkata Knight Riders"/>
    <x v="9"/>
    <x v="128"/>
    <x v="21"/>
    <s v="Abu Dhabi"/>
    <s v="Shubman Gill, RA Tripathi, N Rana, AD Russell, EJG Morgan, KD Karthik, PJ Cummins, LH Ferguson, Kuldeep Yadav, Shivam Mavi, CV Varun"/>
    <s v="JM Bairstow, KS Williamson, PK Garg, DA Warner, MK Pandey, V Shankar, Abdul Samad, Rashid Khan, Sandeep Sharma, Basil Thampi, T Natarajan"/>
  </r>
  <r>
    <n v="1216522"/>
    <s v="Rajasthan Royals"/>
    <s v="Royal Challengers Bangalore"/>
    <x v="5"/>
    <n v="2020"/>
    <d v="2020-10-17T00:00:00"/>
    <x v="7"/>
    <x v="1"/>
    <s v="Win"/>
    <s v="NA"/>
    <x v="11"/>
    <x v="142"/>
    <x v="18"/>
    <s v="NA"/>
    <s v="RV Uthappa, BA Stokes, SV Samson, SPD Smith, JC Buttler, R Tewatia, JC Archer, R Parag, S Gopal, JD Unadkat, Kartik Tyagi"/>
    <s v="D Padikkal, AJ Finch, V Kohli, AB de Villiers, Gurkeerat Singh, CH Morris, Washington Sundar, Shahbaz Ahmed, I Udana, Navdeep Saini, YS Chahal"/>
  </r>
  <r>
    <n v="1216509"/>
    <s v="Chennai Super Kings"/>
    <s v="Delhi Capitals"/>
    <x v="5"/>
    <n v="2020"/>
    <d v="2020-10-17T00:00:00"/>
    <x v="3"/>
    <x v="1"/>
    <s v="Win"/>
    <s v="NA"/>
    <x v="5"/>
    <x v="104"/>
    <x v="19"/>
    <s v="NA"/>
    <s v="SM Curran, F du Plessis, SR Watson, AT Rayudu, MS Dhoni, RA Jadeja, KM Jadhav, DJ Bravo, DL Chahar, SN Thakur, KV Sharma"/>
    <s v="PP Shaw, S Dhawan, AM Rahane, SS Iyer, MP Stoinis, AT Carey, AR Patel, R Ashwin, TU Deshpande, K Rabada, A Nortje"/>
  </r>
  <r>
    <n v="1216526"/>
    <s v="Kolkata Knight Riders"/>
    <s v="Mumbai Indians"/>
    <x v="5"/>
    <n v="2020"/>
    <d v="2020-10-16T00:00:00"/>
    <x v="8"/>
    <x v="1"/>
    <s v="Win"/>
    <s v="NA"/>
    <x v="2"/>
    <x v="52"/>
    <x v="21"/>
    <s v="Abu Dhabi"/>
    <s v="RA Tripathi, Shubman Gill, N Rana, KD Karthik, EJG Morgan, AD Russell, PJ Cummins, CJ Green, M Prasidh Krishna, Shivam Mavi, CV Varun"/>
    <s v="RG Sharma, Q de Kock, SA Yadav, HH Pandya, Ishan Kishan, KA Pollard, KH Pandya, RD Chahar, TA Boult, JJ Bumrah, NM Coulter-Nile"/>
  </r>
  <r>
    <n v="1216531"/>
    <s v="Royal Challengers Bangalore"/>
    <s v="Kings XI Punjab"/>
    <x v="5"/>
    <n v="2020"/>
    <d v="2020-10-15T00:00:00"/>
    <x v="10"/>
    <x v="1"/>
    <s v="Win"/>
    <s v="NA"/>
    <x v="12"/>
    <x v="41"/>
    <x v="19"/>
    <s v="NA"/>
    <s v="AJ Finch, D Padikkal, V Kohli, Washington Sundar, S Dube, AB de Villiers, CH Morris, I Udana, Navdeep Saini, YS Chahal, Mohammed Siraj"/>
    <s v="KL Rahul, MA Agarwal, CH Gayle, N Pooran, GJ Maxwell, DJ Hooda, CJ Jordan, M Ashwin, Ravi Bishnoi, Mohammed Shami, Arshdeep Singh"/>
  </r>
  <r>
    <n v="1216543"/>
    <s v="Delhi Capitals"/>
    <s v="Rajasthan Royals"/>
    <x v="5"/>
    <n v="2020"/>
    <d v="2020-10-14T00:00:00"/>
    <x v="5"/>
    <x v="1"/>
    <s v="Win"/>
    <s v="NA"/>
    <x v="5"/>
    <x v="139"/>
    <x v="18"/>
    <s v="NA"/>
    <s v="PP Shaw, S Dhawan, AM Rahane, SS Iyer, MP Stoinis, AT Carey, AR Patel, R Ashwin, TU Deshpande, K Rabada, A Nortje"/>
    <s v="BA Stokes, JC Buttler, SPD Smith, SV Samson, RV Uthappa, R Parag, R Tewatia, JC Archer, S Gopal, JD Unadkat, Kartik Tyagi"/>
  </r>
  <r>
    <n v="1216528"/>
    <s v="Chennai Super Kings"/>
    <s v="Sunrisers Hyderabad"/>
    <x v="5"/>
    <n v="2020"/>
    <d v="2020-10-13T00:00:00"/>
    <x v="3"/>
    <x v="1"/>
    <s v="Win"/>
    <s v="NA"/>
    <x v="3"/>
    <x v="64"/>
    <x v="18"/>
    <s v="NA"/>
    <s v="SM Curran, F du Plessis, SR Watson, AT Rayudu, MS Dhoni, RA Jadeja, DJ Bravo, DL Chahar, PP Chawla, SN Thakur, KV Sharma"/>
    <s v="DA Warner, JM Bairstow, MK Pandey, KS Williamson, PK Garg, V Shankar, Rashid Khan, S Nadeem, Sandeep Sharma, T Natarajan, KK Ahmed"/>
  </r>
  <r>
    <n v="1216540"/>
    <s v="Royal Challengers Bangalore"/>
    <s v="Kolkata Knight Riders"/>
    <x v="5"/>
    <n v="2020"/>
    <d v="2020-10-12T00:00:00"/>
    <x v="10"/>
    <x v="1"/>
    <s v="Win"/>
    <s v="NA"/>
    <x v="11"/>
    <x v="142"/>
    <x v="19"/>
    <s v="NA"/>
    <s v="AJ Finch, D Padikkal, V Kohli, AB de Villiers, CH Morris, Washington Sundar, S Dube, I Udana, Navdeep Saini, YS Chahal, Mohammed Siraj"/>
    <s v="T Banton, Shubman Gill, N Rana, EJG Morgan, KD Karthik, AD Russell, RA Tripathi, PJ Cummins, KL Nagarkoti, CV Varun, M Prasidh Krishna"/>
  </r>
  <r>
    <n v="1216529"/>
    <s v="Delhi Capitals"/>
    <s v="Mumbai Indians"/>
    <x v="5"/>
    <n v="2020"/>
    <d v="2020-10-11T00:00:00"/>
    <x v="5"/>
    <x v="1"/>
    <s v="Win"/>
    <s v="NA"/>
    <x v="2"/>
    <x v="52"/>
    <x v="21"/>
    <s v="Abu Dhabi"/>
    <s v="PP Shaw, S Dhawan, AM Rahane, SS Iyer, MP Stoinis, AT Carey, AR Patel, R Ashwin, HV Patel, K Rabada, A Nortje"/>
    <s v="RG Sharma, Q de Kock, SA Yadav, Ishan Kishan, HH Pandya, KA Pollard, KH Pandya, JL Pattinson, RD Chahar, TA Boult, JJ Bumrah"/>
  </r>
  <r>
    <n v="1216507"/>
    <s v="Sunrisers Hyderabad"/>
    <s v="Rajasthan Royals"/>
    <x v="5"/>
    <n v="2020"/>
    <d v="2020-10-11T00:00:00"/>
    <x v="4"/>
    <x v="1"/>
    <s v="Win"/>
    <s v="NA"/>
    <x v="7"/>
    <x v="118"/>
    <x v="18"/>
    <s v="NA"/>
    <s v="DA Warner, JM Bairstow, MK Pandey, KS Williamson, PK Garg, V Shankar, Abhishek Sharma, Rashid Khan, Sandeep Sharma, KK Ahmed, T Natarajan"/>
    <s v="BA Stokes, JC Buttler, SPD Smith, SV Samson, RV Uthappa, R Parag, R Tewatia, JC Archer, S Gopal, JD Unadkat, Kartik Tyagi"/>
  </r>
  <r>
    <n v="1216523"/>
    <s v="Kolkata Knight Riders"/>
    <s v="Kings XI Punjab"/>
    <x v="5"/>
    <n v="2020"/>
    <d v="2020-10-10T00:00:00"/>
    <x v="8"/>
    <x v="1"/>
    <s v="Win"/>
    <s v="NA"/>
    <x v="10"/>
    <x v="122"/>
    <x v="21"/>
    <s v="Abu Dhabi"/>
    <s v="RA Tripathi, Shubman Gill, N Rana, EJG Morgan, KD Karthik, AD Russell, PJ Cummins, SP Narine, KL Nagarkoti, M Prasidh Krishna, CV Varun"/>
    <s v="KL Rahul, MA Agarwal, N Pooran, P Simran Singh, GJ Maxwell, Mandeep Singh, CJ Jordan, Ravi Bishnoi, Mohammed Shami, Arshdeep Singh, Mujeeb Ur Rahman"/>
  </r>
  <r>
    <n v="1216525"/>
    <s v="Royal Challengers Bangalore"/>
    <s v="Chennai Super Kings"/>
    <x v="5"/>
    <n v="2020"/>
    <d v="2020-10-10T00:00:00"/>
    <x v="10"/>
    <x v="1"/>
    <s v="Win"/>
    <s v="NA"/>
    <x v="11"/>
    <x v="31"/>
    <x v="18"/>
    <s v="NA"/>
    <s v="D Padikkal, AJ Finch, V Kohli, AB de Villiers, Washington Sundar, S Dube, Gurkeerat Singh, CH Morris, I Udana, Navdeep Saini, YS Chahal"/>
    <s v="SR Watson, F du Plessis, AT Rayudu, N Jagadeesan, MS Dhoni, SM Curran, RA Jadeja, DJ Bravo, DL Chahar, SN Thakur, KV Sharma"/>
  </r>
  <r>
    <n v="1216500"/>
    <s v="Delhi Capitals"/>
    <s v="Rajasthan Royals"/>
    <x v="5"/>
    <n v="2020"/>
    <d v="2020-10-09T00:00:00"/>
    <x v="7"/>
    <x v="0"/>
    <s v="Win"/>
    <s v="NA"/>
    <x v="5"/>
    <x v="55"/>
    <x v="19"/>
    <s v="NA"/>
    <s v="PP Shaw, S Dhawan, SS Iyer, RR Pant, MP Stoinis, SO Hetmyer, HV Patel, AR Patel, K Rabada, R Ashwin, A Nortje"/>
    <s v="YBK Jaiswal, JC Buttler, SPD Smith, SV Samson, MK Lomror, R Tewatia, AJ Tye, JC Archer, S Gopal, Kartik Tyagi, VR Aaron"/>
  </r>
  <r>
    <n v="1216542"/>
    <s v="Sunrisers Hyderabad"/>
    <s v="Kings XI Punjab"/>
    <x v="5"/>
    <n v="2020"/>
    <d v="2020-10-08T00:00:00"/>
    <x v="4"/>
    <x v="1"/>
    <s v="Win"/>
    <s v="NA"/>
    <x v="4"/>
    <x v="71"/>
    <x v="18"/>
    <s v="NA"/>
    <s v="DA Warner, JM Bairstow, Abdul Samad, MK Pandey, KS Williamson, PK Garg, Abhishek Sharma, Rashid Khan, Sandeep Sharma, KK Ahmed, T Natarajan"/>
    <s v="KL Rahul, MA Agarwal, P Simran Singh, N Pooran, GJ Maxwell, Mandeep Singh, Mujeeb Ur Rahman, Ravi Bishnoi, Mohammed Shami, SS Cottrell, Arshdeep Singh"/>
  </r>
  <r>
    <n v="1216501"/>
    <s v="Kolkata Knight Riders"/>
    <s v="Chennai Super Kings"/>
    <x v="5"/>
    <n v="2020"/>
    <d v="2020-10-07T00:00:00"/>
    <x v="8"/>
    <x v="1"/>
    <s v="Win"/>
    <s v="NA"/>
    <x v="10"/>
    <x v="111"/>
    <x v="21"/>
    <s v="Abu Dhabi"/>
    <s v="RA Tripathi, Shubman Gill, N Rana, SP Narine, EJG Morgan, AD Russell, KD Karthik, PJ Cummins, KL Nagarkoti, Shivam Mavi, CV Varun"/>
    <s v="SR Watson, F du Plessis, AT Rayudu, MS Dhoni, SM Curran, KM Jadhav, RA Jadeja, DJ Bravo, SN Thakur, DL Chahar, KV Sharma"/>
  </r>
  <r>
    <n v="1216511"/>
    <s v="Mumbai Indians"/>
    <s v="Rajasthan Royals"/>
    <x v="5"/>
    <n v="2020"/>
    <d v="2020-10-06T00:00:00"/>
    <x v="1"/>
    <x v="1"/>
    <s v="Win"/>
    <s v="NA"/>
    <x v="2"/>
    <x v="11"/>
    <x v="21"/>
    <s v="Abu Dhabi"/>
    <s v="Q de Kock, RG Sharma, SA Yadav, Ishan Kishan, KH Pandya, HH Pandya, KA Pollard, JL Pattinson, RD Chahar, TA Boult, JJ Bumrah"/>
    <s v="YBK Jaiswal, JC Buttler, SPD Smith, SV Samson, MK Lomror, TK Curran, R Tewatia, JC Archer, S Gopal, AS Rajpoot, Kartik Tyagi"/>
  </r>
  <r>
    <n v="1216519"/>
    <s v="Delhi Capitals"/>
    <s v="Royal Challengers Bangalore"/>
    <x v="5"/>
    <n v="2020"/>
    <d v="2020-10-05T00:00:00"/>
    <x v="10"/>
    <x v="0"/>
    <s v="Win"/>
    <s v="NA"/>
    <x v="5"/>
    <x v="99"/>
    <x v="18"/>
    <s v="NA"/>
    <s v="PP Shaw, S Dhawan, SS Iyer, RR Pant, MP Stoinis, SO Hetmyer, AR Patel, R Ashwin, K Rabada, A Nortje, HV Patel"/>
    <s v="D Padikkal, AJ Finch, V Kohli, AB de Villiers, MM Ali, Washington Sundar, S Dube, I Udana, Navdeep Saini, Mohammed Siraj, YS Chahal"/>
  </r>
  <r>
    <n v="1216538"/>
    <s v="Mumbai Indians"/>
    <s v="Sunrisers Hyderabad"/>
    <x v="5"/>
    <n v="2020"/>
    <d v="2020-10-04T00:00:00"/>
    <x v="1"/>
    <x v="1"/>
    <s v="Win"/>
    <s v="NA"/>
    <x v="2"/>
    <x v="29"/>
    <x v="19"/>
    <s v="NA"/>
    <s v="RG Sharma, Q de Kock, SA Yadav, Ishan Kishan, HH Pandya, KA Pollard, KH Pandya, JL Pattinson, RD Chahar, TA Boult, JJ Bumrah"/>
    <s v="DA Warner, JM Bairstow, MK Pandey, KS Williamson, PK Garg, Abhishek Sharma, Abdul Samad, Rashid Khan, Sandeep Sharma, S Kaul, T Natarajan"/>
  </r>
  <r>
    <n v="1216513"/>
    <s v="Kings XI Punjab"/>
    <s v="Chennai Super Kings"/>
    <x v="5"/>
    <n v="2020"/>
    <d v="2020-10-04T00:00:00"/>
    <x v="11"/>
    <x v="1"/>
    <s v="Win"/>
    <s v="NA"/>
    <x v="3"/>
    <x v="154"/>
    <x v="18"/>
    <s v="NA"/>
    <s v="KL Rahul, MA Agarwal, Mandeep Singh, N Pooran, GJ Maxwell, SN Khan, CJ Jordan, Harpreet Brar, Ravi Bishnoi, Mohammed Shami, SS Cottrell"/>
    <s v="SR Watson, F du Plessis, AT Rayudu, KM Jadhav, MS Dhoni, RA Jadeja, SM Curran, DJ Bravo, PP Chawla, SN Thakur, DL Chahar"/>
  </r>
  <r>
    <n v="1216515"/>
    <s v="Delhi Capitals"/>
    <s v="Kolkata Knight Riders"/>
    <x v="5"/>
    <n v="2020"/>
    <d v="2020-10-03T00:00:00"/>
    <x v="8"/>
    <x v="0"/>
    <s v="Win"/>
    <s v="NA"/>
    <x v="5"/>
    <x v="1"/>
    <x v="19"/>
    <s v="NA"/>
    <s v="PP Shaw, S Dhawan, SS Iyer, RR Pant, MP Stoinis, SO Hetmyer, R Ashwin, K Rabada, A Nortje, A Mishra, HV Patel"/>
    <s v="Shubman Gill, SP Narine, N Rana, AD Russell, KD Karthik, EJG Morgan, PJ Cummins, RA Tripathi, KL Nagarkoti, Shivam Mavi, CV Varun"/>
  </r>
  <r>
    <n v="1216514"/>
    <s v="Rajasthan Royals"/>
    <s v="Royal Challengers Bangalore"/>
    <x v="5"/>
    <n v="2020"/>
    <d v="2020-10-03T00:00:00"/>
    <x v="7"/>
    <x v="1"/>
    <s v="Win"/>
    <s v="NA"/>
    <x v="11"/>
    <x v="36"/>
    <x v="21"/>
    <s v="Abu Dhabi"/>
    <s v="JC Buttler, SPD Smith, SV Samson, RV Uthappa, MK Lomror, R Parag, R Tewatia, JC Archer, TK Curran, S Gopal, JD Unadkat"/>
    <s v="D Padikkal, AJ Finch, V Kohli, AB de Villiers, S Dube, Gurkeerat Singh, Washington Sundar, I Udana, Navdeep Saini, YS Chahal, A Zampa"/>
  </r>
  <r>
    <n v="1216516"/>
    <s v="Sunrisers Hyderabad"/>
    <s v="Chennai Super Kings"/>
    <x v="5"/>
    <n v="2020"/>
    <d v="2020-10-02T00:00:00"/>
    <x v="4"/>
    <x v="1"/>
    <s v="Win"/>
    <s v="NA"/>
    <x v="4"/>
    <x v="155"/>
    <x v="18"/>
    <s v="NA"/>
    <s v="DA Warner, JM Bairstow, MK Pandey, KS Williamson, PK Garg, Abhishek Sharma, Abdul Samad, Rashid Khan, B Kumar, T Natarajan, KK Ahmed"/>
    <s v="F du Plessis, SR Watson, AT Rayudu, KM Jadhav, MS Dhoni, RA Jadeja, SM Curran, DJ Bravo, SN Thakur, PP Chawla, DL Chahar"/>
  </r>
  <r>
    <n v="1216503"/>
    <s v="Mumbai Indians"/>
    <s v="Kings XI Punjab"/>
    <x v="5"/>
    <n v="2020"/>
    <d v="2020-10-01T00:00:00"/>
    <x v="11"/>
    <x v="0"/>
    <s v="Win"/>
    <s v="NA"/>
    <x v="2"/>
    <x v="135"/>
    <x v="21"/>
    <s v="Abu Dhabi"/>
    <s v="Q de Kock, RG Sharma, SA Yadav, Ishan Kishan, KA Pollard, HH Pandya, KH Pandya, JL Pattinson, RD Chahar, TA Boult, JJ Bumrah"/>
    <s v="KL Rahul, MA Agarwal, KK Nair, N Pooran, GJ Maxwell, JDS Neesham, SN Khan, K Gowtham, Ravi Bishnoi, Mohammed Shami, SS Cottrell"/>
  </r>
  <r>
    <n v="1216504"/>
    <s v="Kolkata Knight Riders"/>
    <s v="Rajasthan Royals"/>
    <x v="5"/>
    <n v="2020"/>
    <d v="2020-09-30T00:00:00"/>
    <x v="7"/>
    <x v="0"/>
    <s v="Win"/>
    <s v="NA"/>
    <x v="10"/>
    <x v="133"/>
    <x v="18"/>
    <s v="NA"/>
    <s v="Shubman Gill, SP Narine, N Rana, AD Russell, KD Karthik, EJG Morgan, PJ Cummins, KL Nagarkoti, Shivam Mavi, Kuldeep Yadav, CV Varun"/>
    <s v="JC Buttler, SPD Smith, SV Samson, RV Uthappa, R Parag, R Tewatia, TK Curran, S Gopal, JC Archer, JD Unadkat, AS Rajpoot"/>
  </r>
  <r>
    <n v="1216532"/>
    <s v="Sunrisers Hyderabad"/>
    <s v="Delhi Capitals"/>
    <x v="5"/>
    <n v="2020"/>
    <d v="2020-09-29T00:00:00"/>
    <x v="5"/>
    <x v="0"/>
    <s v="Win"/>
    <s v="NA"/>
    <x v="4"/>
    <x v="78"/>
    <x v="21"/>
    <s v="Abu Dhabi"/>
    <s v="DA Warner, JM Bairstow, MK Pandey, KS Williamson, Abdul Samad, Abhishek Sharma, PK Garg, Rashid Khan, B Kumar, T Natarajan, KK Ahmed"/>
    <s v="PP Shaw, S Dhawan, SS Iyer, RR Pant, SO Hetmyer, MP Stoinis, AR Patel, K Rabada, A Nortje, A Mishra, I Sharma"/>
  </r>
  <r>
    <n v="1216547"/>
    <s v="Royal Challengers Bangalore"/>
    <s v="Mumbai Indians"/>
    <x v="5"/>
    <n v="2020"/>
    <d v="2020-09-28T00:00:00"/>
    <x v="1"/>
    <x v="0"/>
    <s v="tie"/>
    <s v="Royal Challengers Bangalore"/>
    <x v="9"/>
    <x v="142"/>
    <x v="18"/>
    <s v="NA"/>
    <s v="D Padikkal, AJ Finch, V Kohli, AB de Villiers, S Dube, Gurkeerat Singh, Washington Sundar, I Udana, Navdeep Saini, YS Chahal, A Zampa"/>
    <s v="RG Sharma, Q de Kock, SA Yadav, Ishan Kishan, HH Pandya, KA Pollard, KH Pandya, JL Pattinson, RD Chahar, TA Boult, JJ Bumrah"/>
  </r>
  <r>
    <n v="1216527"/>
    <s v="Kings XI Punjab"/>
    <s v="Rajasthan Royals"/>
    <x v="5"/>
    <n v="2020"/>
    <d v="2020-09-27T00:00:00"/>
    <x v="7"/>
    <x v="0"/>
    <s v="Win"/>
    <s v="NA"/>
    <x v="7"/>
    <x v="70"/>
    <x v="19"/>
    <s v="NA"/>
    <s v="KL Rahul, MA Agarwal, GJ Maxwell, N Pooran, KK Nair, JDS Neesham, SN Khan, Mohammed Shami, SS Cottrell, Ravi Bishnoi, M Ashwin"/>
    <s v="JC Buttler, SPD Smith, SV Samson, R Tewatia, RV Uthappa, JC Archer, R Parag, TK Curran, S Gopal, AS Rajpoot, JD Unadkat"/>
  </r>
  <r>
    <n v="1216545"/>
    <s v="Sunrisers Hyderabad"/>
    <s v="Kolkata Knight Riders"/>
    <x v="5"/>
    <n v="2020"/>
    <d v="2020-09-26T00:00:00"/>
    <x v="4"/>
    <x v="1"/>
    <s v="Win"/>
    <s v="NA"/>
    <x v="10"/>
    <x v="18"/>
    <x v="21"/>
    <s v="Abu Dhabi"/>
    <s v="DA Warner, JM Bairstow, MK Pandey, WP Saha, Mohammad Nabi, Abhishek Sharma, PK Garg, Rashid Khan, B Kumar, T Natarajan, KK Ahmed"/>
    <s v="Shubman Gill, SP Narine, N Rana, KD Karthik, EJG Morgan, AD Russell, PJ Cummins, Shivam Mavi, Kuldeep Yadav, KL Nagarkoti, CV Varun"/>
  </r>
  <r>
    <n v="1216539"/>
    <s v="Delhi Capitals"/>
    <s v="Chennai Super Kings"/>
    <x v="5"/>
    <n v="2020"/>
    <d v="2020-09-25T00:00:00"/>
    <x v="3"/>
    <x v="0"/>
    <s v="Win"/>
    <s v="NA"/>
    <x v="5"/>
    <x v="141"/>
    <x v="18"/>
    <s v="NA"/>
    <s v="PP Shaw, S Dhawan, RR Pant, SS Iyer, MP Stoinis, SO Hetmyer, AR Patel, A Mishra, K Rabada, A Nortje, Avesh Khan"/>
    <s v="M Vijay, SR Watson, F du Plessis, RD Gaikwad, KM Jadhav, MS Dhoni, RA Jadeja, SM Curran, PP Chawla, DL Chahar, JR Hazlewood"/>
  </r>
  <r>
    <n v="1216510"/>
    <s v="Kings XI Punjab"/>
    <s v="Royal Challengers Bangalore"/>
    <x v="5"/>
    <n v="2020"/>
    <d v="2020-09-24T00:00:00"/>
    <x v="10"/>
    <x v="0"/>
    <s v="Win"/>
    <s v="NA"/>
    <x v="12"/>
    <x v="41"/>
    <x v="18"/>
    <s v="NA"/>
    <s v="KL Rahul, MA Agarwal, N Pooran, GJ Maxwell, KK Nair, JDS Neesham, SN Khan, Mohammed Shami, SS Cottrell, Ravi Bishnoi, M Ashwin"/>
    <s v="D Padikkal, AJ Finch, JR Philippe, V Kohli, AB de Villiers, Washington Sundar, S Dube, UT Yadav, Navdeep Saini, DW Steyn, YS Chahal"/>
  </r>
  <r>
    <n v="1216508"/>
    <s v="Mumbai Indians"/>
    <s v="Kolkata Knight Riders"/>
    <x v="5"/>
    <n v="2020"/>
    <d v="2020-09-23T00:00:00"/>
    <x v="8"/>
    <x v="0"/>
    <s v="Win"/>
    <s v="NA"/>
    <x v="2"/>
    <x v="2"/>
    <x v="21"/>
    <s v="Abu Dhabi"/>
    <s v="Q de Kock, RG Sharma, SA Yadav, SS Tiwary, HH Pandya, KA Pollard, KH Pandya, JL Pattinson, RD Chahar, TA Boult, JJ Bumrah"/>
    <s v="Shubman Gill, SP Narine, KD Karthik, N Rana, EJG Morgan, AD Russell, NS Naik, PJ Cummins, Shivam Mavi, Kuldeep Yadav, S Sandeep Warrier"/>
  </r>
  <r>
    <n v="1216496"/>
    <s v="Rajasthan Royals"/>
    <s v="Chennai Super Kings"/>
    <x v="5"/>
    <n v="2020"/>
    <d v="2020-09-22T00:00:00"/>
    <x v="3"/>
    <x v="0"/>
    <s v="Win"/>
    <s v="NA"/>
    <x v="7"/>
    <x v="70"/>
    <x v="19"/>
    <s v="NA"/>
    <s v="YBK Jaiswal, SPD Smith, SV Samson, DA Miller, RV Uthappa, R Tewatia, R Parag, TK Curran, JC Archer, S Gopal, JD Unadkat"/>
    <s v="M Vijay, SR Watson, F du Plessis, SM Curran, RD Gaikwad, KM Jadhav, MS Dhoni, RA Jadeja, PP Chawla, DL Chahar, L Ngidi"/>
  </r>
  <r>
    <n v="1216534"/>
    <s v="Royal Challengers Bangalore"/>
    <s v="Sunrisers Hyderabad"/>
    <x v="5"/>
    <n v="2020"/>
    <d v="2020-09-21T00:00:00"/>
    <x v="4"/>
    <x v="0"/>
    <s v="Win"/>
    <s v="NA"/>
    <x v="11"/>
    <x v="36"/>
    <x v="18"/>
    <s v="NA"/>
    <s v="D Padikkal, AJ Finch, V Kohli, AB de Villiers, S Dube, JR Philippe, Washington Sundar, UT Yadav, Navdeep Saini, DW Steyn, YS Chahal"/>
    <s v="DA Warner, JM Bairstow, MK Pandey, PK Garg, V Shankar, Abhishek Sharma, Rashid Khan, B Kumar, Sandeep Sharma, MR Marsh, T Natarajan"/>
  </r>
  <r>
    <n v="1216493"/>
    <s v="Delhi Capitals"/>
    <s v="Kings XI Punjab"/>
    <x v="5"/>
    <n v="2020"/>
    <d v="2020-09-20T00:00:00"/>
    <x v="11"/>
    <x v="0"/>
    <s v="tie"/>
    <s v="Delhi Capitals"/>
    <x v="9"/>
    <x v="67"/>
    <x v="18"/>
    <s v="NA"/>
    <s v="PP Shaw, S Dhawan, SO Hetmyer, SS Iyer, RR Pant, MP Stoinis, AR Patel, R Ashwin, K Rabada, A Nortje, MM Sharma"/>
    <s v="KL Rahul, MA Agarwal, KK Nair, N Pooran, GJ Maxwell, SN Khan, K Gowtham, CJ Jordan, Mohammed Shami, SS Cottrell, Ravi Bishnoi"/>
  </r>
  <r>
    <n v="1216492"/>
    <s v="Mumbai Indians"/>
    <s v="Chennai Super Kings"/>
    <x v="5"/>
    <n v="2020"/>
    <d v="2020-09-19T00:00:00"/>
    <x v="3"/>
    <x v="0"/>
    <s v="Win"/>
    <s v="NA"/>
    <x v="3"/>
    <x v="156"/>
    <x v="21"/>
    <s v="Abu Dhabi"/>
    <s v="RG Sharma, Q de Kock, SA Yadav, SS Tiwary, HH Pandya, KA Pollard, KH Pandya, JL Pattinson, RD Chahar, TA Boult, JJ Bumrah"/>
    <s v="M Vijay, SR Watson, F du Plessis, AT Rayudu, RA Jadeja, SM Curran, MS Dhoni, KM Jadhav, PP Chawla, DL Chahar, L Ngidi"/>
  </r>
  <r>
    <n v="1181768"/>
    <s v="Mumbai Indians"/>
    <s v="Chennai Super Kings"/>
    <x v="6"/>
    <n v="2019"/>
    <d v="2019-05-12T00:00:00"/>
    <x v="1"/>
    <x v="1"/>
    <s v="Win"/>
    <s v="NA"/>
    <x v="2"/>
    <x v="75"/>
    <x v="22"/>
    <s v="Hyderabad"/>
    <s v="Q de Kock, RG Sharma, SA Yadav, Ishan Kishan, KH Pandya, KA Pollard, HH Pandya, RD Chahar, MJ McClenaghan, JJ Bumrah, SL Malinga"/>
    <s v="F du Plessis, SR Watson, SK Raina, AT Rayudu, MS Dhoni, DJ Bravo, RA Jadeja, SN Thakur, DL Chahar, Harbhajan Singh, Imran Tahir"/>
  </r>
  <r>
    <n v="1181767"/>
    <s v="Delhi Capitals"/>
    <s v="Chennai Super Kings"/>
    <x v="6"/>
    <n v="2019"/>
    <d v="2019-05-10T00:00:00"/>
    <x v="3"/>
    <x v="0"/>
    <s v="Win"/>
    <s v="NA"/>
    <x v="3"/>
    <x v="56"/>
    <x v="23"/>
    <s v="Visakhapatnam"/>
    <s v="PP Shaw, S Dhawan, C Munro, SS Iyer, RR Pant, AR Patel, SE Rutherford, KMA Paul, A Mishra, TA Boult, I Sharma"/>
    <s v="F du Plessis, SR Watson, SK Raina, AT Rayudu, MS Dhoni, DJ Bravo, RA Jadeja, DL Chahar, Harbhajan Singh, Imran Tahir, SN Thakur"/>
  </r>
  <r>
    <n v="1181766"/>
    <s v="Sunrisers Hyderabad"/>
    <s v="Delhi Capitals"/>
    <x v="6"/>
    <n v="2019"/>
    <d v="2019-05-08T00:00:00"/>
    <x v="5"/>
    <x v="0"/>
    <s v="Win"/>
    <s v="NA"/>
    <x v="5"/>
    <x v="72"/>
    <x v="23"/>
    <s v="Visakhapatnam"/>
    <s v="WP Saha, MJ Guptill, MK Pandey, KS Williamson, V Shankar, Mohammad Nabi, DJ Hooda, Rashid Khan, B Kumar, Basil Thampi, KK Ahmed"/>
    <s v="PP Shaw, S Dhawan, SS Iyer, RR Pant, C Munro, AR Patel, SE Rutherford, KMA Paul, A Mishra, TA Boult, I Sharma"/>
  </r>
  <r>
    <n v="1181764"/>
    <s v="Chennai Super Kings"/>
    <s v="Mumbai Indians"/>
    <x v="6"/>
    <n v="2019"/>
    <d v="2019-05-07T00:00:00"/>
    <x v="3"/>
    <x v="1"/>
    <s v="Win"/>
    <s v="NA"/>
    <x v="2"/>
    <x v="11"/>
    <x v="24"/>
    <s v="Chennai"/>
    <s v="F du Plessis, SR Watson, SK Raina, M Vijay, AT Rayudu, MS Dhoni, RA Jadeja, DJ Bravo, DL Chahar, Harbhajan Singh, Imran Tahir"/>
    <s v="RG Sharma, Q de Kock, SA Yadav, Ishan Kishan, KH Pandya, HH Pandya, KA Pollard, J Yadav, RD Chahar, SL Malinga, JJ Bumrah"/>
  </r>
  <r>
    <n v="1178430"/>
    <s v="Chennai Super Kings"/>
    <s v="Kings XI Punjab"/>
    <x v="6"/>
    <n v="2019"/>
    <d v="2019-05-05T00:00:00"/>
    <x v="11"/>
    <x v="0"/>
    <s v="Win"/>
    <s v="NA"/>
    <x v="12"/>
    <x v="41"/>
    <x v="25"/>
    <s v="Chandigarh"/>
    <s v="F du Plessis, SR Watson, SK Raina, MS Dhoni, AT Rayudu, KM Jadhav, DJ Bravo, RA Jadeja, DL Chahar, Harbhajan Singh, Imran Tahir"/>
    <s v="KL Rahul, CH Gayle, N Pooran, MA Agarwal, Mandeep Singh, SM Curran, R Ashwin, AJ Tye, Mohammed Shami, M Ashwin, Harpreet Brar"/>
  </r>
  <r>
    <n v="1178431"/>
    <s v="Kolkata Knight Riders"/>
    <s v="Mumbai Indians"/>
    <x v="6"/>
    <n v="2019"/>
    <d v="2019-05-05T00:00:00"/>
    <x v="1"/>
    <x v="0"/>
    <s v="Win"/>
    <s v="NA"/>
    <x v="2"/>
    <x v="109"/>
    <x v="26"/>
    <s v="Mumbai"/>
    <s v="Shubman Gill, CA Lynn, RV Uthappa, KD Karthik, AD Russell, N Rana, RK Singh, SP Narine, HF Gurney, M Prasidh Krishna, S Sandeep Warrier"/>
    <s v="Q de Kock, RG Sharma, SA Yadav, Ishan Kishan, HH Pandya, KA Pollard, KH Pandya, RD Chahar, MJ McClenaghan, SL Malinga, JJ Bumrah"/>
  </r>
  <r>
    <n v="1178429"/>
    <s v="Sunrisers Hyderabad"/>
    <s v="Royal Challengers Bangalore"/>
    <x v="6"/>
    <n v="2019"/>
    <d v="2019-05-04T00:00:00"/>
    <x v="10"/>
    <x v="0"/>
    <s v="Win"/>
    <s v="NA"/>
    <x v="11"/>
    <x v="77"/>
    <x v="27"/>
    <s v="Bengaluru"/>
    <s v="WP Saha, MJ Guptill, MK Pandey, KS Williamson, V Shankar, YK Pathan, Mohammad Nabi, Rashid Khan, B Kumar, KK Ahmed, Basil Thampi"/>
    <s v="PA Patel, V Kohli, AB de Villiers, SO Hetmyer, Gurkeerat Singh, C de Grandhomme, Washington Sundar, UT Yadav, K Khejroliya, YS Chahal, Navdeep Saini"/>
  </r>
  <r>
    <n v="1178428"/>
    <s v="Rajasthan Royals"/>
    <s v="Delhi Capitals"/>
    <x v="6"/>
    <n v="2019"/>
    <d v="2019-05-04T00:00:00"/>
    <x v="7"/>
    <x v="1"/>
    <s v="Win"/>
    <s v="NA"/>
    <x v="5"/>
    <x v="145"/>
    <x v="28"/>
    <s v="Delhi"/>
    <s v="AM Rahane, LS Livingstone, SV Samson, MK Lomror, S Gopal, R Parag, STR Binny, K Gowtham, IS Sodhi, VR Aaron, O Thomas"/>
    <s v="PP Shaw, S Dhawan, SS Iyer, RR Pant, CA Ingram, SE Rutherford, AR Patel, KMA Paul, A Mishra, TA Boult, I Sharma"/>
  </r>
  <r>
    <n v="1178427"/>
    <s v="Kings XI Punjab"/>
    <s v="Kolkata Knight Riders"/>
    <x v="6"/>
    <n v="2019"/>
    <d v="2019-05-03T00:00:00"/>
    <x v="8"/>
    <x v="0"/>
    <s v="Win"/>
    <s v="NA"/>
    <x v="10"/>
    <x v="18"/>
    <x v="25"/>
    <s v="Chandigarh"/>
    <s v="CH Gayle, KL Rahul, MA Agarwal, N Pooran, Mandeep Singh, SM Curran, R Ashwin, AJ Tye, Mohammed Shami, M Ashwin, Arshdeep Singh"/>
    <s v="Shubman Gill, CA Lynn, RV Uthappa, AD Russell, KD Karthik, SP Narine, N Rana, RK Singh, PP Chawla, HF Gurney, S Sandeep Warrier"/>
  </r>
  <r>
    <n v="1178426"/>
    <s v="Mumbai Indians"/>
    <s v="Sunrisers Hyderabad"/>
    <x v="6"/>
    <n v="2019"/>
    <d v="2019-05-02T00:00:00"/>
    <x v="1"/>
    <x v="1"/>
    <s v="tie"/>
    <s v="Mumbai Indians"/>
    <x v="9"/>
    <x v="75"/>
    <x v="26"/>
    <s v="Mumbai"/>
    <s v="RG Sharma, Q de Kock, SA Yadav, E Lewis, HH Pandya, KA Pollard, KH Pandya, BB Sran, RD Chahar, SL Malinga, JJ Bumrah"/>
    <s v="WP Saha, MJ Guptill, MK Pandey, KS Williamson, V Shankar, Abhishek Sharma, Mohammad Nabi, Rashid Khan, B Kumar, KK Ahmed, Basil Thampi"/>
  </r>
  <r>
    <n v="1178425"/>
    <s v="Chennai Super Kings"/>
    <s v="Delhi Capitals"/>
    <x v="6"/>
    <n v="2019"/>
    <d v="2019-05-01T00:00:00"/>
    <x v="5"/>
    <x v="0"/>
    <s v="Win"/>
    <s v="NA"/>
    <x v="3"/>
    <x v="37"/>
    <x v="24"/>
    <s v="Chennai"/>
    <s v="F du Plessis, SR Watson, SK Raina, MS Dhoni, RA Jadeja, AT Rayudu, KM Jadhav, DJ Bravo, DL Chahar, Harbhajan Singh, Imran Tahir"/>
    <s v="PP Shaw, S Dhawan, SS Iyer, RR Pant, CA Ingram, AR Patel, SE Rutherford, CH Morris, J Suchith, A Mishra, TA Boult"/>
  </r>
  <r>
    <n v="1178424"/>
    <s v="Royal Challengers Bangalore"/>
    <s v="Rajasthan Royals"/>
    <x v="6"/>
    <n v="2019"/>
    <d v="2019-04-30T00:00:00"/>
    <x v="7"/>
    <x v="0"/>
    <s v="no result"/>
    <s v="NA"/>
    <x v="9"/>
    <x v="16"/>
    <x v="27"/>
    <s v="Bengaluru"/>
    <s v="V Kohli, AB de Villiers, MP Stoinis, H Klaasen, Gurkeerat Singh, PA Patel, P Negi, UT Yadav, Navdeep Saini, K Khejroliya, YS Chahal"/>
    <s v="SV Samson, LS Livingstone, AM Rahane, SPD Smith, R Parag, STR Binny, MK Lomror, S Gopal, JD Unadkat, VR Aaron, O Thomas"/>
  </r>
  <r>
    <n v="1178423"/>
    <s v="Sunrisers Hyderabad"/>
    <s v="Kings XI Punjab"/>
    <x v="6"/>
    <n v="2019"/>
    <d v="2019-04-29T00:00:00"/>
    <x v="11"/>
    <x v="0"/>
    <s v="Win"/>
    <s v="NA"/>
    <x v="4"/>
    <x v="115"/>
    <x v="22"/>
    <s v="Hyderabad"/>
    <s v="DA Warner, WP Saha, MK Pandey, Mohammad Nabi, KS Williamson, Rashid Khan, V Shankar, Abhishek Sharma, B Kumar, KK Ahmed, Sandeep Sharma"/>
    <s v="KL Rahul, CH Gayle, MA Agarwal, N Pooran, DA Miller, R Ashwin, P Simran Singh, M Ashwin, Mujeeb Ur Rahman, Mohammed Shami, Arshdeep Singh"/>
  </r>
  <r>
    <n v="1178422"/>
    <s v="Kolkata Knight Riders"/>
    <s v="Mumbai Indians"/>
    <x v="6"/>
    <n v="2019"/>
    <d v="2019-04-28T00:00:00"/>
    <x v="1"/>
    <x v="0"/>
    <s v="Win"/>
    <s v="NA"/>
    <x v="10"/>
    <x v="20"/>
    <x v="29"/>
    <s v="Kolkata"/>
    <s v="Shubman Gill, CA Lynn, AD Russell, KD Karthik, SP Narine, RV Uthappa, N Rana, RK Singh, PP Chawla, HF Gurney, S Sandeep Warrier"/>
    <s v="Q de Kock, RG Sharma, E Lewis, SA Yadav, KA Pollard, HH Pandya, KH Pandya, BB Sran, RD Chahar, SL Malinga, JJ Bumrah"/>
  </r>
  <r>
    <n v="1178421"/>
    <s v="Delhi Capitals"/>
    <s v="Royal Challengers Bangalore"/>
    <x v="6"/>
    <n v="2019"/>
    <d v="2019-04-28T00:00:00"/>
    <x v="5"/>
    <x v="1"/>
    <s v="Win"/>
    <s v="NA"/>
    <x v="5"/>
    <x v="104"/>
    <x v="28"/>
    <s v="Delhi"/>
    <s v="PP Shaw, S Dhawan, SS Iyer, RR Pant, CA Ingram, SE Rutherford, AR Patel, S Lamichhane, A Mishra, K Rabada, I Sharma"/>
    <s v="PA Patel, V Kohli, AB de Villiers, S Dube, H Klaasen, Gurkeerat Singh, MP Stoinis, Washington Sundar, UT Yadav, YS Chahal, Navdeep Saini"/>
  </r>
  <r>
    <n v="1178420"/>
    <s v="Sunrisers Hyderabad"/>
    <s v="Rajasthan Royals"/>
    <x v="6"/>
    <n v="2019"/>
    <d v="2019-04-27T00:00:00"/>
    <x v="7"/>
    <x v="0"/>
    <s v="Win"/>
    <s v="NA"/>
    <x v="7"/>
    <x v="147"/>
    <x v="30"/>
    <s v="Jaipur"/>
    <s v="DA Warner, KS Williamson, MK Pandey, V Shankar, Shakib Al Hasan, DJ Hooda, WP Saha, Rashid Khan, B Kumar, S Kaul, KK Ahmed"/>
    <s v="AM Rahane, LS Livingstone, SV Samson, SPD Smith, AJ Turner, R Parag, STR Binny, S Gopal, JD Unadkat, VR Aaron, O Thomas"/>
  </r>
  <r>
    <n v="1178419"/>
    <s v="Mumbai Indians"/>
    <s v="Chennai Super Kings"/>
    <x v="6"/>
    <n v="2019"/>
    <d v="2019-04-26T00:00:00"/>
    <x v="3"/>
    <x v="0"/>
    <s v="Win"/>
    <s v="NA"/>
    <x v="2"/>
    <x v="2"/>
    <x v="24"/>
    <s v="Chennai"/>
    <s v="RG Sharma, Q de Kock, E Lewis, KH Pandya, HH Pandya, KA Pollard, SA Yadav, AS Roy, RD Chahar, JJ Bumrah, SL Malinga"/>
    <s v="M Vijay, SR Watson, SK Raina, AT Rayudu, KM Jadhav, DR Shorey, DJ Bravo, MJ Santner, DL Chahar, Harbhajan Singh, Imran Tahir"/>
  </r>
  <r>
    <n v="1178418"/>
    <s v="Kolkata Knight Riders"/>
    <s v="Rajasthan Royals"/>
    <x v="6"/>
    <n v="2019"/>
    <d v="2019-04-25T00:00:00"/>
    <x v="7"/>
    <x v="0"/>
    <s v="Win"/>
    <s v="NA"/>
    <x v="7"/>
    <x v="157"/>
    <x v="29"/>
    <s v="Kolkata"/>
    <s v="CA Lynn, Shubman Gill, N Rana, KD Karthik, SP Narine, AD Russell, CR Brathwaite, RK Singh, PP Chawla, Y Prithvi Raj, M Prasidh Krishna"/>
    <s v="AM Rahane, SV Samson, SPD Smith, BA Stokes, R Parag, STR Binny, S Gopal, JC Archer, JD Unadkat, VR Aaron, O Thomas"/>
  </r>
  <r>
    <n v="1178417"/>
    <s v="Royal Challengers Bangalore"/>
    <s v="Kings XI Punjab"/>
    <x v="6"/>
    <n v="2019"/>
    <d v="2019-04-24T00:00:00"/>
    <x v="11"/>
    <x v="0"/>
    <s v="Win"/>
    <s v="NA"/>
    <x v="11"/>
    <x v="142"/>
    <x v="27"/>
    <s v="Bengaluru"/>
    <s v="PA Patel, V Kohli, AB de Villiers, MM Ali, AD Nath, MP Stoinis, Washington Sundar, UT Yadav, TG Southee, YS Chahal, Navdeep Saini"/>
    <s v="KL Rahul, CH Gayle, MA Agarwal, DA Miller, N Pooran, Mandeep Singh, R Ashwin, GC Viljoen, M Ashwin, AS Rajpoot, Mohammed Shami"/>
  </r>
  <r>
    <n v="1178416"/>
    <s v="Sunrisers Hyderabad"/>
    <s v="Chennai Super Kings"/>
    <x v="6"/>
    <n v="2019"/>
    <d v="2019-04-23T00:00:00"/>
    <x v="3"/>
    <x v="0"/>
    <s v="Win"/>
    <s v="NA"/>
    <x v="3"/>
    <x v="154"/>
    <x v="24"/>
    <s v="Chennai"/>
    <s v="DA Warner, JM Bairstow, MK Pandey, V Shankar, YK Pathan, Shakib Al Hasan, DJ Hooda, Rashid Khan, B Kumar, KK Ahmed, Sandeep Sharma"/>
    <s v="SR Watson, F du Plessis, SK Raina, AT Rayudu, KM Jadhav, DJ Bravo, MS Dhoni, RA Jadeja, Harbhajan Singh, DL Chahar, Imran Tahir"/>
  </r>
  <r>
    <n v="1178415"/>
    <s v="Rajasthan Royals"/>
    <s v="Delhi Capitals"/>
    <x v="6"/>
    <n v="2019"/>
    <d v="2019-04-22T00:00:00"/>
    <x v="5"/>
    <x v="0"/>
    <s v="Win"/>
    <s v="NA"/>
    <x v="5"/>
    <x v="72"/>
    <x v="30"/>
    <s v="Jaipur"/>
    <s v="AM Rahane, SV Samson, SPD Smith, BA Stokes, AJ Turner, STR Binny, R Parag, JC Archer, S Gopal, JD Unadkat, DS Kulkarni"/>
    <s v="PP Shaw, S Dhawan, SS Iyer, RR Pant, SE Rutherford, CA Ingram, AR Patel, CH Morris, A Mishra, K Rabada, I Sharma"/>
  </r>
  <r>
    <n v="1178414"/>
    <s v="Royal Challengers Bangalore"/>
    <s v="Chennai Super Kings"/>
    <x v="6"/>
    <n v="2019"/>
    <d v="2019-04-21T00:00:00"/>
    <x v="3"/>
    <x v="0"/>
    <s v="Win"/>
    <s v="NA"/>
    <x v="11"/>
    <x v="158"/>
    <x v="27"/>
    <s v="Bengaluru"/>
    <s v="PA Patel, V Kohli, AB de Villiers, AD Nath, MP Stoinis, MM Ali, P Negi, UT Yadav, DW Steyn, Navdeep Saini, YS Chahal"/>
    <s v="SR Watson, F du Plessis, SK Raina, AT Rayudu, KM Jadhav, MS Dhoni, RA Jadeja, DJ Bravo, SN Thakur, DL Chahar, Imran Tahir"/>
  </r>
  <r>
    <n v="1178413"/>
    <s v="Kolkata Knight Riders"/>
    <s v="Sunrisers Hyderabad"/>
    <x v="6"/>
    <n v="2019"/>
    <d v="2019-04-21T00:00:00"/>
    <x v="4"/>
    <x v="0"/>
    <s v="Win"/>
    <s v="NA"/>
    <x v="4"/>
    <x v="84"/>
    <x v="22"/>
    <s v="Hyderabad"/>
    <s v="CA Lynn, SP Narine, Shubman Gill, N Rana, KD Karthik, RK Singh, AD Russell, PP Chawla, Y Prithvi Raj, KC Cariappa, HF Gurney"/>
    <s v="DA Warner, JM Bairstow, KS Williamson, V Shankar, YK Pathan, DJ Hooda, Rashid Khan, B Kumar, S Nadeem, KK Ahmed, Sandeep Sharma"/>
  </r>
  <r>
    <n v="1178412"/>
    <s v="Kings XI Punjab"/>
    <s v="Delhi Capitals"/>
    <x v="6"/>
    <n v="2019"/>
    <d v="2019-04-20T00:00:00"/>
    <x v="5"/>
    <x v="0"/>
    <s v="Win"/>
    <s v="NA"/>
    <x v="5"/>
    <x v="1"/>
    <x v="28"/>
    <s v="Delhi"/>
    <s v="KL Rahul, CH Gayle, MA Agarwal, DA Miller, Mandeep Singh, SM Curran, R Ashwin, Harpreet Brar, GC Viljoen, M Ashwin, Mohammed Shami"/>
    <s v="PP Shaw, S Dhawan, SS Iyer, RR Pant, CA Ingram, AR Patel, SE Rutherford, A Mishra, K Rabada, I Sharma, S Lamichhane"/>
  </r>
  <r>
    <n v="1178411"/>
    <s v="Mumbai Indians"/>
    <s v="Rajasthan Royals"/>
    <x v="6"/>
    <n v="2019"/>
    <d v="2019-04-20T00:00:00"/>
    <x v="7"/>
    <x v="0"/>
    <s v="Win"/>
    <s v="NA"/>
    <x v="7"/>
    <x v="159"/>
    <x v="30"/>
    <s v="Jaipur"/>
    <s v="Q de Kock, RG Sharma, SA Yadav, HH Pandya, KA Pollard, BCJ Cutting, KH Pandya, RD Chahar, JJ Bumrah, SL Malinga, M Markande"/>
    <s v="AM Rahane, SV Samson, SPD Smith, BA Stokes, R Parag, AJ Turner, STR Binny, JC Archer, S Gopal, JD Unadkat, DS Kulkarni"/>
  </r>
  <r>
    <n v="1178410"/>
    <s v="Royal Challengers Bangalore"/>
    <s v="Kolkata Knight Riders"/>
    <x v="6"/>
    <n v="2019"/>
    <d v="2019-04-19T00:00:00"/>
    <x v="8"/>
    <x v="0"/>
    <s v="Win"/>
    <s v="NA"/>
    <x v="11"/>
    <x v="31"/>
    <x v="29"/>
    <s v="Kolkata"/>
    <s v="PA Patel, V Kohli, AD Nath, MM Ali, MP Stoinis, H Klaasen, P Negi, DW Steyn, Mohammed Siraj, YS Chahal, Navdeep Saini"/>
    <s v="CA Lynn, SP Narine, Shubman Gill, RV Uthappa, N Rana, AD Russell, KD Karthik, PP Chawla, Kuldeep Yadav, HF Gurney, M Prasidh Krishna"/>
  </r>
  <r>
    <n v="1178409"/>
    <s v="Mumbai Indians"/>
    <s v="Delhi Capitals"/>
    <x v="6"/>
    <n v="2019"/>
    <d v="2019-04-18T00:00:00"/>
    <x v="1"/>
    <x v="1"/>
    <s v="Win"/>
    <s v="NA"/>
    <x v="2"/>
    <x v="109"/>
    <x v="28"/>
    <s v="Delhi"/>
    <s v="RG Sharma, Q de Kock, BCJ Cutting, SA Yadav, KH Pandya, HH Pandya, KA Pollard, RD Chahar, J Yadav, JJ Bumrah, SL Malinga"/>
    <s v="PP Shaw, S Dhawan, C Munro, SS Iyer, RR Pant, AR Patel, CH Morris, KMA Paul, K Rabada, A Mishra, I Sharma"/>
  </r>
  <r>
    <n v="1178408"/>
    <s v="Chennai Super Kings"/>
    <s v="Sunrisers Hyderabad"/>
    <x v="6"/>
    <n v="2019"/>
    <d v="2019-04-17T00:00:00"/>
    <x v="3"/>
    <x v="1"/>
    <s v="Win"/>
    <s v="NA"/>
    <x v="4"/>
    <x v="115"/>
    <x v="22"/>
    <s v="Hyderabad"/>
    <s v="SR Watson, F du Plessis, SK Raina, AT Rayudu, KM Jadhav, SW Billings, RA Jadeja, KV Sharma, Imran Tahir, SN Thakur, DL Chahar"/>
    <s v="DA Warner, JM Bairstow, KS Williamson, V Shankar, DJ Hooda, YK Pathan, Rashid Khan, B Kumar, Sandeep Sharma, S Nadeem, KK Ahmed"/>
  </r>
  <r>
    <n v="1178407"/>
    <s v="Kings XI Punjab"/>
    <s v="Rajasthan Royals"/>
    <x v="6"/>
    <n v="2019"/>
    <d v="2019-04-16T00:00:00"/>
    <x v="7"/>
    <x v="0"/>
    <s v="Win"/>
    <s v="NA"/>
    <x v="12"/>
    <x v="55"/>
    <x v="25"/>
    <s v="Chandigarh"/>
    <s v="KL Rahul, CH Gayle, MA Agarwal, DA Miller, N Pooran, Mandeep Singh, R Ashwin, Mujeeb Ur Rahman, Mohammed Shami, M Ashwin, Arshdeep Singh"/>
    <s v="RA Tripathi, JC Buttler, SV Samson, AM Rahane, AJ Turner, JC Archer, STR Binny, S Gopal, JD Unadkat, DS Kulkarni, IS Sodhi"/>
  </r>
  <r>
    <n v="1178406"/>
    <s v="Royal Challengers Bangalore"/>
    <s v="Mumbai Indians"/>
    <x v="6"/>
    <n v="2019"/>
    <d v="2019-04-15T00:00:00"/>
    <x v="1"/>
    <x v="0"/>
    <s v="Win"/>
    <s v="NA"/>
    <x v="2"/>
    <x v="160"/>
    <x v="26"/>
    <s v="Mumbai"/>
    <s v="PA Patel, V Kohli, AB de Villiers, MM Ali, MP Stoinis, AD Nath, P Negi, UT Yadav, Mohammed Siraj, YS Chahal, Navdeep Saini"/>
    <s v="Q de Kock, RG Sharma, SA Yadav, Ishan Kishan, KH Pandya, HH Pandya, KA Pollard, JP Behrendorff, RD Chahar, JJ Bumrah, SL Malinga"/>
  </r>
  <r>
    <n v="1178405"/>
    <s v="Delhi Capitals"/>
    <s v="Sunrisers Hyderabad"/>
    <x v="6"/>
    <n v="2019"/>
    <d v="2019-04-14T00:00:00"/>
    <x v="4"/>
    <x v="0"/>
    <s v="Win"/>
    <s v="NA"/>
    <x v="5"/>
    <x v="161"/>
    <x v="22"/>
    <s v="Hyderabad"/>
    <s v="PP Shaw, S Dhawan, C Munro, SS Iyer, RR Pant, CH Morris, AR Patel, KMA Paul, K Rabada, A Mishra, I Sharma"/>
    <s v="DA Warner, JM Bairstow, KS Williamson, RK Bhui, V Shankar, DJ Hooda, Abhishek Sharma, Rashid Khan, B Kumar, Sandeep Sharma, KK Ahmed"/>
  </r>
  <r>
    <n v="1178404"/>
    <s v="Kolkata Knight Riders"/>
    <s v="Chennai Super Kings"/>
    <x v="6"/>
    <n v="2019"/>
    <d v="2019-04-14T00:00:00"/>
    <x v="3"/>
    <x v="0"/>
    <s v="Win"/>
    <s v="NA"/>
    <x v="3"/>
    <x v="162"/>
    <x v="29"/>
    <s v="Kolkata"/>
    <s v="CA Lynn, SP Narine, N Rana, RV Uthappa, KD Karthik, AD Russell, Shubman Gill, PP Chawla, Kuldeep Yadav, M Prasidh Krishna, HF Gurney"/>
    <s v="SR Watson, F du Plessis, SK Raina, AT Rayudu, KM Jadhav, MS Dhoni, RA Jadeja, MJ Santner, Imran Tahir, SN Thakur, DL Chahar"/>
  </r>
  <r>
    <n v="1178402"/>
    <s v="Mumbai Indians"/>
    <s v="Rajasthan Royals"/>
    <x v="6"/>
    <n v="2019"/>
    <d v="2019-04-13T00:00:00"/>
    <x v="7"/>
    <x v="0"/>
    <s v="Win"/>
    <s v="NA"/>
    <x v="7"/>
    <x v="33"/>
    <x v="26"/>
    <s v="Mumbai"/>
    <s v="RG Sharma, Q de Kock, SA Yadav, KA Pollard, HH Pandya, Ishan Kishan, KH Pandya, AS Joseph, RD Chahar, JP Behrendorff, JJ Bumrah"/>
    <s v="AM Rahane, JC Buttler, SV Samson, SPD Smith, RA Tripathi, LS Livingstone, S Gopal, K Gowtham, JC Archer, JD Unadkat, DS Kulkarni"/>
  </r>
  <r>
    <n v="1178403"/>
    <s v="Kings XI Punjab"/>
    <s v="Royal Challengers Bangalore"/>
    <x v="6"/>
    <n v="2019"/>
    <d v="2019-04-13T00:00:00"/>
    <x v="10"/>
    <x v="0"/>
    <s v="Win"/>
    <s v="NA"/>
    <x v="11"/>
    <x v="142"/>
    <x v="25"/>
    <s v="Chandigarh"/>
    <s v="KL Rahul, CH Gayle, MA Agarwal, SN Khan, SM Curran, Mandeep Singh, N Pooran, AJ Tye, R Ashwin, Mohammed Shami, M Ashwin"/>
    <s v="PA Patel, V Kohli, AB de Villiers, MP Stoinis, MM Ali, AD Nath, P Negi, UT Yadav, Mohammed Siraj, YS Chahal, Navdeep Saini"/>
  </r>
  <r>
    <n v="1178401"/>
    <s v="Kolkata Knight Riders"/>
    <s v="Delhi Capitals"/>
    <x v="6"/>
    <n v="2019"/>
    <d v="2019-04-12T00:00:00"/>
    <x v="5"/>
    <x v="0"/>
    <s v="Win"/>
    <s v="NA"/>
    <x v="5"/>
    <x v="104"/>
    <x v="29"/>
    <s v="Kolkata"/>
    <s v="JL Denly, Shubman Gill, RV Uthappa, N Rana, AD Russell, KD Karthik, CR Brathwaite, PP Chawla, Kuldeep Yadav, LH Ferguson, M Prasidh Krishna"/>
    <s v="PP Shaw, S Dhawan, SS Iyer, RR Pant, CA Ingram, CH Morris, AR Patel, KMA Paul, R Tewatia, K Rabada, I Sharma"/>
  </r>
  <r>
    <n v="1178400"/>
    <s v="Rajasthan Royals"/>
    <s v="Chennai Super Kings"/>
    <x v="6"/>
    <n v="2019"/>
    <d v="2019-04-11T00:00:00"/>
    <x v="3"/>
    <x v="0"/>
    <s v="Win"/>
    <s v="NA"/>
    <x v="3"/>
    <x v="37"/>
    <x v="30"/>
    <s v="Jaipur"/>
    <s v="AM Rahane, JC Buttler, SV Samson, SPD Smith, RA Tripathi, BA Stokes, R Parag, JC Archer, S Gopal, JD Unadkat, DS Kulkarni"/>
    <s v="SR Watson, F du Plessis, SK Raina, AT Rayudu, KM Jadhav, MS Dhoni, RA Jadeja, MJ Santner, DL Chahar, SN Thakur, Imran Tahir"/>
  </r>
  <r>
    <n v="1178399"/>
    <s v="Kings XI Punjab"/>
    <s v="Mumbai Indians"/>
    <x v="6"/>
    <n v="2019"/>
    <d v="2019-04-10T00:00:00"/>
    <x v="1"/>
    <x v="0"/>
    <s v="Win"/>
    <s v="NA"/>
    <x v="2"/>
    <x v="135"/>
    <x v="26"/>
    <s v="Mumbai"/>
    <s v="KL Rahul, CH Gayle, DA Miller, KK Nair, SM Curran, Mandeep Singh, SN Khan, GC Viljoen, R Ashwin, Mohammed Shami, AS Rajpoot"/>
    <s v="Q de Kock, SD Lad, SA Yadav, KA Pollard, Ishan Kishan, HH Pandya, KH Pandya, AS Joseph, RD Chahar, JP Behrendorff, JJ Bumrah"/>
  </r>
  <r>
    <n v="1178398"/>
    <s v="Kolkata Knight Riders"/>
    <s v="Chennai Super Kings"/>
    <x v="6"/>
    <n v="2019"/>
    <d v="2019-04-09T00:00:00"/>
    <x v="3"/>
    <x v="0"/>
    <s v="Win"/>
    <s v="NA"/>
    <x v="3"/>
    <x v="146"/>
    <x v="24"/>
    <s v="Chennai"/>
    <s v="CA Lynn, SP Narine, RV Uthappa, N Rana, KD Karthik, Shubman Gill, AD Russell, PP Chawla, Kuldeep Yadav, M Prasidh Krishna, HF Gurney"/>
    <s v="SR Watson, F du Plessis, SK Raina, AT Rayudu, KM Jadhav, MS Dhoni, SC Kuggeleijn, RA Jadeja, Harbhajan Singh, DL Chahar, Imran Tahir"/>
  </r>
  <r>
    <n v="1178397"/>
    <s v="Sunrisers Hyderabad"/>
    <s v="Kings XI Punjab"/>
    <x v="6"/>
    <n v="2019"/>
    <d v="2019-04-08T00:00:00"/>
    <x v="11"/>
    <x v="0"/>
    <s v="Win"/>
    <s v="NA"/>
    <x v="12"/>
    <x v="41"/>
    <x v="25"/>
    <s v="Chandigarh"/>
    <s v="DA Warner, JM Bairstow, V Shankar, Mohammad Nabi, MK Pandey, DJ Hooda, YK Pathan, Rashid Khan, B Kumar, S Kaul, Sandeep Sharma"/>
    <s v="KL Rahul, CH Gayle, MA Agarwal, DA Miller, Mandeep Singh, SM Curran, SN Khan, R Ashwin, Mohammed Shami, Mujeeb Ur Rahman, AS Rajpoot"/>
  </r>
  <r>
    <n v="1178395"/>
    <s v="Royal Challengers Bangalore"/>
    <s v="Delhi Capitals"/>
    <x v="6"/>
    <n v="2019"/>
    <d v="2019-04-07T00:00:00"/>
    <x v="5"/>
    <x v="0"/>
    <s v="Win"/>
    <s v="NA"/>
    <x v="5"/>
    <x v="116"/>
    <x v="27"/>
    <s v="Bengaluru"/>
    <s v="PA Patel, V Kohli, AB de Villiers, MP Stoinis, MM Ali, AD Nath, P Negi, TG Southee, Mohammed Siraj, YS Chahal, Navdeep Saini"/>
    <s v="PP Shaw, S Dhawan, SS Iyer, CA Ingram, RR Pant, CH Morris, AR Patel, R Tewatia, K Rabada, I Sharma, S Lamichhane"/>
  </r>
  <r>
    <n v="1178396"/>
    <s v="Rajasthan Royals"/>
    <s v="Kolkata Knight Riders"/>
    <x v="6"/>
    <n v="2019"/>
    <d v="2019-04-07T00:00:00"/>
    <x v="8"/>
    <x v="0"/>
    <s v="Win"/>
    <s v="NA"/>
    <x v="10"/>
    <x v="163"/>
    <x v="30"/>
    <s v="Jaipur"/>
    <s v="AM Rahane, JC Buttler, SPD Smith, RA Tripathi, BA Stokes, P Chopra, K Gowtham, JC Archer, S Gopal, S Midhun, DS Kulkarni"/>
    <s v="CA Lynn, SP Narine, RV Uthappa, Shubman Gill, N Rana, KD Karthik, AD Russell, PP Chawla, Kuldeep Yadav, HF Gurney, M Prasidh Krishna"/>
  </r>
  <r>
    <n v="1178393"/>
    <s v="Chennai Super Kings"/>
    <s v="Kings XI Punjab"/>
    <x v="6"/>
    <n v="2019"/>
    <d v="2019-04-06T00:00:00"/>
    <x v="3"/>
    <x v="1"/>
    <s v="Win"/>
    <s v="NA"/>
    <x v="3"/>
    <x v="164"/>
    <x v="24"/>
    <s v="Chennai"/>
    <s v="SR Watson, F du Plessis, SK Raina, MS Dhoni, AT Rayudu, KM Jadhav, SC Kuggeleijn, RA Jadeja, Harbhajan Singh, DL Chahar, Imran Tahir"/>
    <s v="KL Rahul, CH Gayle, MA Agarwal, SN Khan, DA Miller, Mandeep Singh, SM Curran, R Ashwin, Mohammed Shami, AJ Tye, M Ashwin"/>
  </r>
  <r>
    <n v="1178394"/>
    <s v="Mumbai Indians"/>
    <s v="Sunrisers Hyderabad"/>
    <x v="6"/>
    <n v="2019"/>
    <d v="2019-04-06T00:00:00"/>
    <x v="4"/>
    <x v="0"/>
    <s v="Win"/>
    <s v="NA"/>
    <x v="2"/>
    <x v="165"/>
    <x v="22"/>
    <s v="Hyderabad"/>
    <s v="RG Sharma, Q de Kock, SA Yadav, Ishan Kishan, KH Pandya, KA Pollard, HH Pandya, RD Chahar, AS Joseph, JP Behrendorff, JJ Bumrah"/>
    <s v="DA Warner, JM Bairstow, V Shankar, MK Pandey, DJ Hooda, YK Pathan, Mohammad Nabi, Rashid Khan, B Kumar, S Kaul, Sandeep Sharma"/>
  </r>
  <r>
    <n v="1175372"/>
    <s v="Royal Challengers Bangalore"/>
    <s v="Kolkata Knight Riders"/>
    <x v="6"/>
    <n v="2019"/>
    <d v="2019-04-05T00:00:00"/>
    <x v="8"/>
    <x v="0"/>
    <s v="Win"/>
    <s v="NA"/>
    <x v="10"/>
    <x v="20"/>
    <x v="27"/>
    <s v="Bengaluru"/>
    <s v="PA Patel, V Kohli, AB de Villiers, MP Stoinis, MM Ali, AD Nath, P Negi, Navdeep Saini, TG Southee, YS Chahal, Mohammed Siraj"/>
    <s v="CA Lynn, SP Narine, RV Uthappa, N Rana, KD Karthik, AD Russell, Shubman Gill, PP Chawla, Kuldeep Yadav, M Prasidh Krishna, LH Ferguson"/>
  </r>
  <r>
    <n v="1175371"/>
    <s v="Delhi Capitals"/>
    <s v="Sunrisers Hyderabad"/>
    <x v="6"/>
    <n v="2019"/>
    <d v="2019-04-04T00:00:00"/>
    <x v="4"/>
    <x v="0"/>
    <s v="Win"/>
    <s v="NA"/>
    <x v="4"/>
    <x v="71"/>
    <x v="28"/>
    <s v="Delhi"/>
    <s v="PP Shaw, S Dhawan, SS Iyer, RR Pant, R Tewatia, CA Ingram, CH Morris, AR Patel, K Rabada, I Sharma, S Lamichhane"/>
    <s v="DA Warner, JM Bairstow, V Shankar, MK Pandey, DJ Hooda, YK Pathan, Mohammad Nabi, Rashid Khan, B Kumar, Sandeep Sharma, S Kaul"/>
  </r>
  <r>
    <n v="1175370"/>
    <s v="Mumbai Indians"/>
    <s v="Chennai Super Kings"/>
    <x v="6"/>
    <n v="2019"/>
    <d v="2019-04-03T00:00:00"/>
    <x v="3"/>
    <x v="0"/>
    <s v="Win"/>
    <s v="NA"/>
    <x v="2"/>
    <x v="109"/>
    <x v="26"/>
    <s v="Mumbai"/>
    <s v="Q de Kock, RG Sharma, SA Yadav, Yuvraj Singh, KH Pandya, HH Pandya, KA Pollard, JP Behrendorff, RD Chahar, SL Malinga, JJ Bumrah"/>
    <s v="SR Watson, AT Rayudu, SK Raina, KM Jadhav, MS Dhoni, RA Jadeja, DJ Bravo, DL Chahar, SN Thakur, MM Sharma, Imran Tahir"/>
  </r>
  <r>
    <n v="1175369"/>
    <s v="Royal Challengers Bangalore"/>
    <s v="Rajasthan Royals"/>
    <x v="6"/>
    <n v="2019"/>
    <d v="2019-04-02T00:00:00"/>
    <x v="7"/>
    <x v="0"/>
    <s v="Win"/>
    <s v="NA"/>
    <x v="7"/>
    <x v="166"/>
    <x v="30"/>
    <s v="Jaipur"/>
    <s v="V Kohli, PA Patel, AB de Villiers, SO Hetmyer, MP Stoinis, MM Ali, AD Nath, UT Yadav, Navdeep Saini, YS Chahal, Mohammed Siraj"/>
    <s v="AM Rahane, JC Buttler, SPD Smith, RA Tripathi, BA Stokes, STR Binny, K Gowtham, JC Archer, S Gopal, VR Aaron, DS Kulkarni"/>
  </r>
  <r>
    <n v="1175368"/>
    <s v="Kings XI Punjab"/>
    <s v="Delhi Capitals"/>
    <x v="6"/>
    <n v="2019"/>
    <d v="2019-04-01T00:00:00"/>
    <x v="5"/>
    <x v="0"/>
    <s v="Win"/>
    <s v="NA"/>
    <x v="12"/>
    <x v="57"/>
    <x v="25"/>
    <s v="Chandigarh"/>
    <s v="KL Rahul, SM Curran, MA Agarwal, SN Khan, DA Miller, Mandeep Singh, GC Viljoen, R Ashwin, M Ashwin, Mohammed Shami, Mujeeb Ur Rahman"/>
    <s v="PP Shaw, S Dhawan, SS Iyer, RR Pant, CA Ingram, CH Morris, GH Vihari, HV Patel, K Rabada, Avesh Khan, S Lamichhane"/>
  </r>
  <r>
    <n v="1175367"/>
    <s v="Chennai Super Kings"/>
    <s v="Rajasthan Royals"/>
    <x v="6"/>
    <n v="2019"/>
    <d v="2019-03-31T00:00:00"/>
    <x v="7"/>
    <x v="0"/>
    <s v="Win"/>
    <s v="NA"/>
    <x v="3"/>
    <x v="37"/>
    <x v="24"/>
    <s v="Chennai"/>
    <s v="AT Rayudu, SR Watson, SK Raina, KM Jadhav, MS Dhoni, DJ Bravo, RA Jadeja, DL Chahar, SN Thakur, MJ Santner, Imran Tahir"/>
    <s v="AM Rahane, JC Buttler, SV Samson, RA Tripathi, SPD Smith, BA Stokes, K Gowtham, JC Archer, S Gopal, JD Unadkat, DS Kulkarni"/>
  </r>
  <r>
    <n v="1175366"/>
    <s v="Sunrisers Hyderabad"/>
    <s v="Royal Challengers Bangalore"/>
    <x v="6"/>
    <n v="2019"/>
    <d v="2019-03-31T00:00:00"/>
    <x v="10"/>
    <x v="0"/>
    <s v="Win"/>
    <s v="NA"/>
    <x v="4"/>
    <x v="71"/>
    <x v="22"/>
    <s v="Hyderabad"/>
    <s v="JM Bairstow, DA Warner, V Shankar, YK Pathan, MK Pandey, DJ Hooda, Mohammad Nabi, Rashid Khan, B Kumar, Sandeep Sharma, S Kaul"/>
    <s v="PA Patel, SO Hetmyer, V Kohli, AB de Villiers, MM Ali, S Dube, C de Grandhomme, P Ray Barman, UT Yadav, Mohammed Siraj, YS Chahal"/>
  </r>
  <r>
    <n v="1175365"/>
    <s v="Kolkata Knight Riders"/>
    <s v="Delhi Capitals"/>
    <x v="6"/>
    <n v="2019"/>
    <d v="2019-03-30T00:00:00"/>
    <x v="5"/>
    <x v="0"/>
    <s v="tie"/>
    <s v="Delhi Capitals"/>
    <x v="9"/>
    <x v="141"/>
    <x v="28"/>
    <s v="Delhi"/>
    <s v="NS Naik, CA Lynn, RV Uthappa, N Rana, KD Karthik, Shubman Gill, AD Russell, PP Chawla, Kuldeep Yadav, M Prasidh Krishna, LH Ferguson"/>
    <s v="PP Shaw, S Dhawan, SS Iyer, RR Pant, CA Ingram, GH Vihari, HV Patel, CH Morris, A Mishra, S Lamichhane, K Rabada"/>
  </r>
  <r>
    <n v="1175364"/>
    <s v="Mumbai Indians"/>
    <s v="Kings XI Punjab"/>
    <x v="6"/>
    <n v="2019"/>
    <d v="2019-03-30T00:00:00"/>
    <x v="11"/>
    <x v="0"/>
    <s v="Win"/>
    <s v="NA"/>
    <x v="12"/>
    <x v="123"/>
    <x v="25"/>
    <s v="Chandigarh"/>
    <s v="RG Sharma, Q de Kock, SA Yadav, Yuvraj Singh, KA Pollard, HH Pandya, KH Pandya, MJ McClenaghan, M Markande, SL Malinga, JJ Bumrah"/>
    <s v="KL Rahul, CH Gayle, MA Agarwal, DA Miller, SN Khan, Mandeep Singh, R Ashwin, GC Viljoen, M Ashwin, Mohammed Shami, AJ Tye"/>
  </r>
  <r>
    <n v="1175363"/>
    <s v="Rajasthan Royals"/>
    <s v="Sunrisers Hyderabad"/>
    <x v="6"/>
    <n v="2019"/>
    <d v="2019-03-29T00:00:00"/>
    <x v="7"/>
    <x v="1"/>
    <s v="Win"/>
    <s v="NA"/>
    <x v="4"/>
    <x v="78"/>
    <x v="22"/>
    <s v="Hyderabad"/>
    <s v="AM Rahane, JC Buttler, SV Samson, BA Stokes, SPD Smith, RA Tripathi, K Gowtham, JC Archer, JD Unadkat, S Gopal, DS Kulkarni"/>
    <s v="DA Warner, JM Bairstow, KS Williamson, V Shankar, MK Pandey, YK Pathan, Rashid Khan, B Kumar, Sandeep Sharma, S Kaul, S Nadeem"/>
  </r>
  <r>
    <n v="1175362"/>
    <s v="Mumbai Indians"/>
    <s v="Royal Challengers Bangalore"/>
    <x v="6"/>
    <n v="2019"/>
    <d v="2019-03-28T00:00:00"/>
    <x v="10"/>
    <x v="0"/>
    <s v="Win"/>
    <s v="NA"/>
    <x v="2"/>
    <x v="75"/>
    <x v="27"/>
    <s v="Bengaluru"/>
    <s v="Q de Kock, RG Sharma, SA Yadav, Yuvraj Singh, KA Pollard, KH Pandya, HH Pandya, MJ McClenaghan, M Markande, JJ Bumrah, SL Malinga"/>
    <s v="PA Patel, MM Ali, V Kohli, AB de Villiers, SO Hetmyer, C de Grandhomme, S Dube, Navdeep Saini, YS Chahal, UT Yadav, Mohammed Siraj"/>
  </r>
  <r>
    <n v="1175361"/>
    <s v="Kolkata Knight Riders"/>
    <s v="Kings XI Punjab"/>
    <x v="6"/>
    <n v="2019"/>
    <d v="2019-03-27T00:00:00"/>
    <x v="11"/>
    <x v="0"/>
    <s v="Win"/>
    <s v="NA"/>
    <x v="10"/>
    <x v="20"/>
    <x v="29"/>
    <s v="Kolkata"/>
    <s v="CA Lynn, SP Narine, RV Uthappa, N Rana, AD Russell, KD Karthik, Shubman Gill, PP Chawla, Kuldeep Yadav, M Prasidh Krishna, LH Ferguson"/>
    <s v="KL Rahul, CH Gayle, MA Agarwal, SN Khan, DA Miller, Mandeep Singh, R Ashwin, GC Viljoen, CV Varun, Mohammed Shami, AJ Tye"/>
  </r>
  <r>
    <n v="1175360"/>
    <s v="Delhi Capitals"/>
    <s v="Chennai Super Kings"/>
    <x v="6"/>
    <n v="2019"/>
    <d v="2019-03-26T00:00:00"/>
    <x v="5"/>
    <x v="1"/>
    <s v="Win"/>
    <s v="NA"/>
    <x v="3"/>
    <x v="154"/>
    <x v="28"/>
    <s v="Delhi"/>
    <s v="PP Shaw, S Dhawan, SS Iyer, RR Pant, CA Ingram, KMA Paul, AR Patel, R Tewatia, K Rabada, I Sharma, A Mishra"/>
    <s v="SR Watson, AT Rayudu, SK Raina, KM Jadhav, MS Dhoni, DJ Bravo, RA Jadeja, DL Chahar, SN Thakur, Harbhajan Singh, Imran Tahir"/>
  </r>
  <r>
    <n v="1175359"/>
    <s v="Kings XI Punjab"/>
    <s v="Rajasthan Royals"/>
    <x v="6"/>
    <n v="2019"/>
    <d v="2019-03-25T00:00:00"/>
    <x v="7"/>
    <x v="0"/>
    <s v="Win"/>
    <s v="NA"/>
    <x v="12"/>
    <x v="151"/>
    <x v="30"/>
    <s v="Jaipur"/>
    <s v="KL Rahul, CH Gayle, MA Agarwal, SN Khan, N Pooran, Mandeep Singh, SM Curran, R Ashwin, Mohammed Shami, Mujeeb Ur Rahman, AS Rajpoot"/>
    <s v="AM Rahane, JC Buttler, SV Samson, SPD Smith, BA Stokes, RA Tripathi, K Gowtham, JC Archer, JD Unadkat, S Gopal, DS Kulkarni"/>
  </r>
  <r>
    <n v="1175358"/>
    <s v="Delhi Capitals"/>
    <s v="Mumbai Indians"/>
    <x v="6"/>
    <n v="2019"/>
    <d v="2019-03-24T00:00:00"/>
    <x v="1"/>
    <x v="0"/>
    <s v="Win"/>
    <s v="NA"/>
    <x v="5"/>
    <x v="72"/>
    <x v="26"/>
    <s v="Mumbai"/>
    <s v="PP Shaw, S Dhawan, SS Iyer, CA Ingram, RR Pant, KMA Paul, AR Patel, R Tewatia, K Rabada, TA Boult, I Sharma"/>
    <s v="RG Sharma, Q de Kock, SA Yadav, Yuvraj Singh, KA Pollard, HH Pandya, KH Pandya, BCJ Cutting, MJ McClenaghan, Rasikh Salam, JJ Bumrah"/>
  </r>
  <r>
    <n v="1175357"/>
    <s v="Sunrisers Hyderabad"/>
    <s v="Kolkata Knight Riders"/>
    <x v="6"/>
    <n v="2019"/>
    <d v="2019-03-24T00:00:00"/>
    <x v="8"/>
    <x v="0"/>
    <s v="Win"/>
    <s v="NA"/>
    <x v="10"/>
    <x v="20"/>
    <x v="29"/>
    <s v="Kolkata"/>
    <s v="DA Warner, JM Bairstow, V Shankar, YK Pathan, MK Pandey, DJ Hooda, Shakib Al Hasan, Rashid Khan, B Kumar, Sandeep Sharma, S Kaul"/>
    <s v="CA Lynn, N Rana, RV Uthappa, KD Karthik, AD Russell, Shubman Gill, SP Narine, PP Chawla, Kuldeep Yadav, LH Ferguson, M Prasidh Krishna"/>
  </r>
  <r>
    <n v="1175356"/>
    <s v="Royal Challengers Bangalore"/>
    <s v="Chennai Super Kings"/>
    <x v="6"/>
    <n v="2019"/>
    <d v="2019-03-23T00:00:00"/>
    <x v="3"/>
    <x v="0"/>
    <s v="Win"/>
    <s v="NA"/>
    <x v="3"/>
    <x v="164"/>
    <x v="24"/>
    <s v="Chennai"/>
    <s v="V Kohli, PA Patel, MM Ali, AB de Villiers, SO Hetmyer, S Dube, C de Grandhomme, Navdeep Saini, YS Chahal, UT Yadav, Mohammed Siraj"/>
    <s v="SR Watson, AT Rayudu, SK Raina, KM Jadhav, RA Jadeja, MS Dhoni, DJ Bravo, DL Chahar, SN Thakur, Harbhajan Singh, Imran Tahir"/>
  </r>
  <r>
    <n v="1136620"/>
    <s v="Sunrisers Hyderabad"/>
    <s v="Chennai Super Kings"/>
    <x v="7"/>
    <n v="2018"/>
    <d v="2018-05-27T00:00:00"/>
    <x v="3"/>
    <x v="0"/>
    <s v="Win"/>
    <s v="NA"/>
    <x v="3"/>
    <x v="154"/>
    <x v="26"/>
    <s v="Mumbai"/>
    <s v="SP Goswami, S Dhawan, KS Williamson, Shakib Al Hasan, YK Pathan, DJ Hooda, CR Brathwaite, Rashid Khan, B Kumar, S Kaul, Sandeep Sharma"/>
    <s v="SR Watson, F du Plessis, SK Raina, AT Rayudu, MS Dhoni, DJ Bravo, RA Jadeja, DL Chahar, KV Sharma, SN Thakur, L Ngidi"/>
  </r>
  <r>
    <n v="1136619"/>
    <s v="Sunrisers Hyderabad"/>
    <s v="Kolkata Knight Riders"/>
    <x v="7"/>
    <n v="2018"/>
    <d v="2018-05-25T00:00:00"/>
    <x v="8"/>
    <x v="0"/>
    <s v="Win"/>
    <s v="NA"/>
    <x v="4"/>
    <x v="78"/>
    <x v="29"/>
    <s v="Kolkata"/>
    <s v="WP Saha, S Dhawan, KS Williamson, Shakib Al Hasan, DJ Hooda, YK Pathan, CR Brathwaite, Rashid Khan, B Kumar, S Kaul, KK Ahmed"/>
    <s v="CA Lynn, SP Narine, N Rana, RV Uthappa, KD Karthik, Shubman Gill, AD Russell, PP Chawla, Shivam Mavi, Kuldeep Yadav, M Prasidh Krishna"/>
  </r>
  <r>
    <n v="1136618"/>
    <s v="Kolkata Knight Riders"/>
    <s v="Rajasthan Royals"/>
    <x v="7"/>
    <n v="2018"/>
    <d v="2018-05-23T00:00:00"/>
    <x v="7"/>
    <x v="0"/>
    <s v="Win"/>
    <s v="NA"/>
    <x v="10"/>
    <x v="20"/>
    <x v="29"/>
    <s v="Kolkata"/>
    <s v="SP Narine, CA Lynn, RV Uthappa, N Rana, KD Karthik, Shubman Gill, AD Russell, JPR Scantlebury-Searles, PP Chawla, Kuldeep Yadav, M Prasidh Krishna"/>
    <s v="AM Rahane, RA Tripathi, SV Samson, H Klaasen, STR Binny, K Gowtham, JC Archer, S Gopal, IS Sodhi, JD Unadkat, B Laughlin"/>
  </r>
  <r>
    <n v="1136617"/>
    <s v="Sunrisers Hyderabad"/>
    <s v="Chennai Super Kings"/>
    <x v="7"/>
    <n v="2018"/>
    <d v="2018-05-22T00:00:00"/>
    <x v="3"/>
    <x v="0"/>
    <s v="Win"/>
    <s v="NA"/>
    <x v="3"/>
    <x v="56"/>
    <x v="26"/>
    <s v="Mumbai"/>
    <s v="S Dhawan, SP Goswami, KS Williamson, MK Pandey, Shakib Al Hasan, YK Pathan, CR Brathwaite, B Kumar, Rashid Khan, S Kaul, Sandeep Sharma"/>
    <s v="SR Watson, F du Plessis, SK Raina, AT Rayudu, MS Dhoni, DJ Bravo, RA Jadeja, DL Chahar, Harbhajan Singh, SN Thakur, L Ngidi"/>
  </r>
  <r>
    <n v="1136616"/>
    <s v="Kings XI Punjab"/>
    <s v="Chennai Super Kings"/>
    <x v="7"/>
    <n v="2018"/>
    <d v="2018-05-20T00:00:00"/>
    <x v="3"/>
    <x v="0"/>
    <s v="Win"/>
    <s v="NA"/>
    <x v="3"/>
    <x v="167"/>
    <x v="31"/>
    <s v="Pune"/>
    <s v="KL Rahul, CH Gayle, AJ Finch, MK Tiwary, DA Miller, KK Nair, AR Patel, R Ashwin, AJ Tye, MM Sharma, AS Rajpoot"/>
    <s v="AT Rayudu, F du Plessis, SK Raina, SW Billings, Harbhajan Singh, DL Chahar, MS Dhoni, DJ Bravo, RA Jadeja, SN Thakur, L Ngidi"/>
  </r>
  <r>
    <n v="1136615"/>
    <s v="Delhi Daredevils"/>
    <s v="Mumbai Indians"/>
    <x v="7"/>
    <n v="2018"/>
    <d v="2018-05-20T00:00:00"/>
    <x v="12"/>
    <x v="1"/>
    <s v="Win"/>
    <s v="NA"/>
    <x v="13"/>
    <x v="145"/>
    <x v="28"/>
    <s v="Delhi"/>
    <s v="PP Shaw, GJ Maxwell, SS Iyer, RR Pant, V Shankar, Abhishek Sharma, HV Patel, A Mishra, S Lamichhane, TA Boult, LE Plunkett"/>
    <s v="SA Yadav, E Lewis, Ishan Kishan, KA Pollard, RG Sharma, KH Pandya, HH Pandya, BCJ Cutting, M Markande, JJ Bumrah, Mustafizur Rahman"/>
  </r>
  <r>
    <n v="1136614"/>
    <s v="Sunrisers Hyderabad"/>
    <s v="Kolkata Knight Riders"/>
    <x v="7"/>
    <n v="2018"/>
    <d v="2018-05-19T00:00:00"/>
    <x v="4"/>
    <x v="1"/>
    <s v="Win"/>
    <s v="NA"/>
    <x v="10"/>
    <x v="168"/>
    <x v="22"/>
    <s v="Hyderabad"/>
    <s v="S Dhawan, SP Goswami, KS Williamson, MK Pandey, YK Pathan, CR Brathwaite, Shakib Al Hasan, Rashid Khan, B Kumar, S Kaul, Sandeep Sharma"/>
    <s v="CA Lynn, SP Narine, RV Uthappa, KD Karthik, AD Russell, N Rana, Shubman Gill, PP Chawla, JPR Scantlebury-Searles, Kuldeep Yadav, M Prasidh Krishna"/>
  </r>
  <r>
    <n v="1136613"/>
    <s v="Rajasthan Royals"/>
    <s v="Royal Challengers Bangalore"/>
    <x v="7"/>
    <n v="2018"/>
    <d v="2018-05-19T00:00:00"/>
    <x v="7"/>
    <x v="1"/>
    <s v="Win"/>
    <s v="NA"/>
    <x v="7"/>
    <x v="166"/>
    <x v="30"/>
    <s v="Jaipur"/>
    <s v="RA Tripathi, JC Archer, AM Rahane, SV Samson, H Klaasen, K Gowtham, STR Binny, S Gopal, IS Sodhi, JD Unadkat, B Laughlin"/>
    <s v="V Kohli, PA Patel, AB de Villiers, MM Ali, Mandeep Singh, C de Grandhomme, SN Khan, TG Southee, UT Yadav, Mohammed Siraj, YS Chahal"/>
  </r>
  <r>
    <n v="1136612"/>
    <s v="Delhi Daredevils"/>
    <s v="Chennai Super Kings"/>
    <x v="7"/>
    <n v="2018"/>
    <d v="2018-05-18T00:00:00"/>
    <x v="3"/>
    <x v="0"/>
    <s v="Win"/>
    <s v="NA"/>
    <x v="13"/>
    <x v="27"/>
    <x v="28"/>
    <s v="Delhi"/>
    <s v="PP Shaw, SS Iyer, RR Pant, GJ Maxwell, V Shankar, Abhishek Sharma, HV Patel, A Mishra, S Lamichhane, TA Boult, Avesh Khan"/>
    <s v="SR Watson, AT Rayudu, SK Raina, MS Dhoni, SW Billings, RA Jadeja, DJ Bravo, DL Chahar, Harbhajan Singh, SN Thakur, L Ngidi"/>
  </r>
  <r>
    <n v="1136611"/>
    <s v="Royal Challengers Bangalore"/>
    <s v="Sunrisers Hyderabad"/>
    <x v="7"/>
    <n v="2018"/>
    <d v="2018-05-17T00:00:00"/>
    <x v="4"/>
    <x v="0"/>
    <s v="Win"/>
    <s v="NA"/>
    <x v="11"/>
    <x v="142"/>
    <x v="27"/>
    <s v="Bengaluru"/>
    <s v="PA Patel, V Kohli, AB de Villiers, MM Ali, C de Grandhomme, Mandeep Singh, SN Khan, TG Southee, UT Yadav, Mohammed Siraj, YS Chahal"/>
    <s v="S Dhawan, AD Hales, KS Williamson, MK Pandey, DJ Hooda, Shakib Al Hasan, SP Goswami, Rashid Khan, S Kaul, Sandeep Sharma, Basil Thampi"/>
  </r>
  <r>
    <n v="1136610"/>
    <s v="Mumbai Indians"/>
    <s v="Kings XI Punjab"/>
    <x v="7"/>
    <n v="2018"/>
    <d v="2018-05-16T00:00:00"/>
    <x v="11"/>
    <x v="0"/>
    <s v="Win"/>
    <s v="NA"/>
    <x v="2"/>
    <x v="75"/>
    <x v="26"/>
    <s v="Mumbai"/>
    <s v="SA Yadav, E Lewis, Ishan Kishan, RG Sharma, KH Pandya, KA Pollard, HH Pandya, BCJ Cutting, MJ McClenaghan, M Markande, JJ Bumrah"/>
    <s v="KL Rahul, CH Gayle, AJ Finch, MP Stoinis, AR Patel, Yuvraj Singh, MK Tiwary, R Ashwin, AJ Tye, MM Sharma, AS Rajpoot"/>
  </r>
  <r>
    <n v="1136609"/>
    <s v="Rajasthan Royals"/>
    <s v="Kolkata Knight Riders"/>
    <x v="7"/>
    <n v="2018"/>
    <d v="2018-05-15T00:00:00"/>
    <x v="8"/>
    <x v="0"/>
    <s v="Win"/>
    <s v="NA"/>
    <x v="10"/>
    <x v="63"/>
    <x v="29"/>
    <s v="Kolkata"/>
    <s v="RA Tripathi, JC Buttler, AM Rahane, SV Samson, BA Stokes, STR Binny, K Gowtham, JD Unadkat, IS Sodhi, JC Archer, Anureet Singh"/>
    <s v="SP Narine, CA Lynn, RV Uthappa, N Rana, KD Karthik, AD Russell, Shubman Gill, Shivam Mavi, JPR Scantlebury-Searles, Kuldeep Yadav, M Prasidh Krishna"/>
  </r>
  <r>
    <n v="1136608"/>
    <s v="Kings XI Punjab"/>
    <s v="Royal Challengers Bangalore"/>
    <x v="7"/>
    <n v="2018"/>
    <d v="2018-05-14T00:00:00"/>
    <x v="10"/>
    <x v="0"/>
    <s v="Win"/>
    <s v="NA"/>
    <x v="11"/>
    <x v="129"/>
    <x v="32"/>
    <s v="Indore"/>
    <s v="KL Rahul, CH Gayle, KK Nair, AJ Finch, MP Stoinis, MA Agarwal, AR Patel, R Ashwin, AJ Tye, MM Sharma, AS Rajpoot"/>
    <s v="V Kohli, PA Patel, MM Ali, AB de Villiers, Mandeep Singh, SN Khan, C de Grandhomme, TG Southee, UT Yadav, Mohammed Siraj, YS Chahal"/>
  </r>
  <r>
    <n v="1136606"/>
    <s v="Sunrisers Hyderabad"/>
    <s v="Chennai Super Kings"/>
    <x v="7"/>
    <n v="2018"/>
    <d v="2018-05-13T00:00:00"/>
    <x v="3"/>
    <x v="0"/>
    <s v="Win"/>
    <s v="NA"/>
    <x v="3"/>
    <x v="156"/>
    <x v="31"/>
    <s v="Pune"/>
    <s v="S Dhawan, AD Hales, KS Williamson, MK Pandey, DJ Hooda, Shakib Al Hasan, SP Goswami, Rashid Khan, B Kumar, S Kaul, Sandeep Sharma"/>
    <s v="SR Watson, AT Rayudu, SK Raina, MS Dhoni, SW Billings, DJ Bravo, RA Jadeja, DJ Willey, Harbhajan Singh, DL Chahar, SN Thakur"/>
  </r>
  <r>
    <n v="1136607"/>
    <s v="Mumbai Indians"/>
    <s v="Rajasthan Royals"/>
    <x v="7"/>
    <n v="2018"/>
    <d v="2018-05-13T00:00:00"/>
    <x v="7"/>
    <x v="0"/>
    <s v="Win"/>
    <s v="NA"/>
    <x v="7"/>
    <x v="33"/>
    <x v="26"/>
    <s v="Mumbai"/>
    <s v="SA Yadav, E Lewis, RG Sharma, Ishan Kishan, HH Pandya, KH Pandya, BCJ Cutting, JP Duminy, MJ McClenaghan, M Markande, JJ Bumrah"/>
    <s v="DJM Short, JC Buttler, AM Rahane, SV Samson, BA Stokes, STR Binny, JC Archer, K Gowtham, S Gopal, JD Unadkat, DS Kulkarni"/>
  </r>
  <r>
    <n v="1136605"/>
    <s v="Delhi Daredevils"/>
    <s v="Royal Challengers Bangalore"/>
    <x v="7"/>
    <n v="2018"/>
    <d v="2018-05-12T00:00:00"/>
    <x v="10"/>
    <x v="0"/>
    <s v="Win"/>
    <s v="NA"/>
    <x v="11"/>
    <x v="142"/>
    <x v="28"/>
    <s v="Delhi"/>
    <s v="PP Shaw, JJ Roy, SS Iyer, RR Pant, V Shankar, Abhishek Sharma, HV Patel, A Mishra, S Lamichhane, CJ Dala, TA Boult"/>
    <s v="PA Patel, MM Ali, V Kohli, AB de Villiers, Mandeep Singh, SN Khan, C de Grandhomme, TG Southee, UT Yadav, Mohammed Siraj, YS Chahal"/>
  </r>
  <r>
    <n v="1136604"/>
    <s v="Kolkata Knight Riders"/>
    <s v="Kings XI Punjab"/>
    <x v="7"/>
    <n v="2018"/>
    <d v="2018-05-12T00:00:00"/>
    <x v="11"/>
    <x v="0"/>
    <s v="Win"/>
    <s v="NA"/>
    <x v="10"/>
    <x v="24"/>
    <x v="32"/>
    <s v="Indore"/>
    <s v="CA Lynn, SP Narine, RV Uthappa, AD Russell, KD Karthik, N Rana, Shubman Gill, JPR Scantlebury-Searles, PP Chawla, Kuldeep Yadav, M Prasidh Krishna"/>
    <s v="KL Rahul, CH Gayle, MA Agarwal, KK Nair, AJ Finch, AR Patel, R Ashwin, AJ Tye, BB Sran, MM Sharma, Mujeeb Ur Rahman"/>
  </r>
  <r>
    <n v="1136603"/>
    <s v="Chennai Super Kings"/>
    <s v="Rajasthan Royals"/>
    <x v="7"/>
    <n v="2018"/>
    <d v="2018-05-11T00:00:00"/>
    <x v="3"/>
    <x v="1"/>
    <s v="Win"/>
    <s v="NA"/>
    <x v="7"/>
    <x v="33"/>
    <x v="30"/>
    <s v="Jaipur"/>
    <s v="SR Watson, AT Rayudu, SK Raina, MS Dhoni, SW Billings, DJ Bravo, RA Jadeja, DJ Willey, Harbhajan Singh, SN Thakur, KV Sharma"/>
    <s v="JC Buttler, BA Stokes, AM Rahane, SV Samson, P Chopra, STR Binny, K Gowtham, JC Archer, Ankit Sharma, JD Unadkat, IS Sodhi"/>
  </r>
  <r>
    <n v="1136602"/>
    <s v="Delhi Daredevils"/>
    <s v="Sunrisers Hyderabad"/>
    <x v="7"/>
    <n v="2018"/>
    <d v="2018-05-10T00:00:00"/>
    <x v="12"/>
    <x v="1"/>
    <s v="Win"/>
    <s v="NA"/>
    <x v="4"/>
    <x v="104"/>
    <x v="28"/>
    <s v="Delhi"/>
    <s v="PP Shaw, JJ Roy, SS Iyer, RR Pant, HV Patel, GJ Maxwell, V Shankar, LE Plunkett, S Nadeem, A Mishra, TA Boult"/>
    <s v="AD Hales, S Dhawan, KS Williamson, MK Pandey, Shakib Al Hasan, YK Pathan, SP Goswami, Rashid Khan, B Kumar, S Kaul, Sandeep Sharma"/>
  </r>
  <r>
    <n v="1136601"/>
    <s v="Mumbai Indians"/>
    <s v="Kolkata Knight Riders"/>
    <x v="7"/>
    <n v="2018"/>
    <d v="2018-05-09T00:00:00"/>
    <x v="8"/>
    <x v="0"/>
    <s v="Win"/>
    <s v="NA"/>
    <x v="2"/>
    <x v="9"/>
    <x v="29"/>
    <s v="Kolkata"/>
    <s v="SA Yadav, E Lewis, RG Sharma, Ishan Kishan, HH Pandya, BCJ Cutting, KH Pandya, JP Duminy, MJ McClenaghan, M Markande, JJ Bumrah"/>
    <s v="SP Narine, CA Lynn, RV Uthappa, N Rana, AD Russell, KD Karthik, RK Singh, TK Curran, PP Chawla, Kuldeep Yadav, M Prasidh Krishna"/>
  </r>
  <r>
    <n v="1136600"/>
    <s v="Rajasthan Royals"/>
    <s v="Kings XI Punjab"/>
    <x v="7"/>
    <n v="2018"/>
    <d v="2018-05-08T00:00:00"/>
    <x v="7"/>
    <x v="1"/>
    <s v="Win"/>
    <s v="NA"/>
    <x v="7"/>
    <x v="33"/>
    <x v="30"/>
    <s v="Jaipur"/>
    <s v="AM Rahane, JC Buttler, K Gowtham, SV Samson, BA Stokes, STR Binny, MK Lomror, JC Archer, JD Unadkat, IS Sodhi, Anureet Singh"/>
    <s v="KL Rahul, CH Gayle, R Ashwin, KK Nair, AD Nath, MK Tiwary, AR Patel, MP Stoinis, AJ Tye, MM Sharma, Mujeeb Ur Rahman"/>
  </r>
  <r>
    <n v="1136599"/>
    <s v="Sunrisers Hyderabad"/>
    <s v="Royal Challengers Bangalore"/>
    <x v="7"/>
    <n v="2018"/>
    <d v="2018-05-07T00:00:00"/>
    <x v="10"/>
    <x v="0"/>
    <s v="Win"/>
    <s v="NA"/>
    <x v="4"/>
    <x v="124"/>
    <x v="22"/>
    <s v="Hyderabad"/>
    <s v="AD Hales, S Dhawan, KS Williamson, MK Pandey, Shakib Al Hasan, YK Pathan, WP Saha, Rashid Khan, B Kumar, S Kaul, Sandeep Sharma"/>
    <s v="M Vohra, PA Patel, V Kohli, AB de Villiers, MM Ali, Mandeep Singh, C de Grandhomme, TG Southee, UT Yadav, Mohammed Siraj, YS Chahal"/>
  </r>
  <r>
    <n v="1136597"/>
    <s v="Mumbai Indians"/>
    <s v="Kolkata Knight Riders"/>
    <x v="7"/>
    <n v="2018"/>
    <d v="2018-05-06T00:00:00"/>
    <x v="8"/>
    <x v="0"/>
    <s v="Win"/>
    <s v="NA"/>
    <x v="2"/>
    <x v="109"/>
    <x v="26"/>
    <s v="Mumbai"/>
    <s v="SA Yadav, E Lewis, RG Sharma, HH Pandya, KH Pandya, JP Duminy, Ishan Kishan, BCJ Cutting, MJ McClenaghan, M Markande, JJ Bumrah"/>
    <s v="CA Lynn, Shubman Gill, RV Uthappa, N Rana, KD Karthik, AD Russell, SP Narine, PP Chawla, MG Johnson, M Prasidh Krishna, Kuldeep Yadav"/>
  </r>
  <r>
    <n v="1136598"/>
    <s v="Rajasthan Royals"/>
    <s v="Kings XI Punjab"/>
    <x v="7"/>
    <n v="2018"/>
    <d v="2018-05-06T00:00:00"/>
    <x v="11"/>
    <x v="0"/>
    <s v="Win"/>
    <s v="NA"/>
    <x v="12"/>
    <x v="169"/>
    <x v="32"/>
    <s v="Indore"/>
    <s v="JC Buttler, DJM Short, AM Rahane, SV Samson, BA Stokes, RA Tripathi, JC Archer, K Gowtham, S Gopal, JD Unadkat, Anureet Singh"/>
    <s v="KL Rahul, CH Gayle, MA Agarwal, KK Nair, AR Patel, MP Stoinis, MK Tiwary, R Ashwin, Mujeeb Ur Rahman, AS Rajpoot, AJ Tye"/>
  </r>
  <r>
    <n v="1136596"/>
    <s v="Delhi Daredevils"/>
    <s v="Sunrisers Hyderabad"/>
    <x v="7"/>
    <n v="2018"/>
    <d v="2018-05-05T00:00:00"/>
    <x v="12"/>
    <x v="1"/>
    <s v="Win"/>
    <s v="NA"/>
    <x v="4"/>
    <x v="78"/>
    <x v="22"/>
    <s v="Hyderabad"/>
    <s v="PP Shaw, GJ Maxwell, SS Iyer, RR Pant, NV Ojha, V Shankar, DT Christian, LE Plunkett, A Mishra, Avesh Khan, TA Boult"/>
    <s v="AD Hales, S Dhawan, KS Williamson, MK Pandey, YK Pathan, Shakib Al Hasan, WP Saha, B Kumar, Rashid Khan, S Kaul, Sandeep Sharma"/>
  </r>
  <r>
    <n v="1136595"/>
    <s v="Royal Challengers Bangalore"/>
    <s v="Chennai Super Kings"/>
    <x v="7"/>
    <n v="2018"/>
    <d v="2018-05-05T00:00:00"/>
    <x v="3"/>
    <x v="0"/>
    <s v="Win"/>
    <s v="NA"/>
    <x v="3"/>
    <x v="64"/>
    <x v="31"/>
    <s v="Pune"/>
    <s v="PA Patel, BB McCullum, V Kohli, AB de Villiers, Mandeep Singh, C de Grandhomme, M Ashwin, TG Southee, UT Yadav, Mohammed Siraj, YS Chahal"/>
    <s v="SR Watson, AT Rayudu, SK Raina, DR Shorey, MS Dhoni, DJ Bravo, RA Jadeja, DJ Willey, Harbhajan Singh, L Ngidi, SN Thakur"/>
  </r>
  <r>
    <n v="1136594"/>
    <s v="Kings XI Punjab"/>
    <s v="Mumbai Indians"/>
    <x v="7"/>
    <n v="2018"/>
    <d v="2018-05-04T00:00:00"/>
    <x v="1"/>
    <x v="0"/>
    <s v="Win"/>
    <s v="NA"/>
    <x v="2"/>
    <x v="11"/>
    <x v="32"/>
    <s v="Indore"/>
    <s v="KL Rahul, CH Gayle, Yuvraj Singh, KK Nair, AR Patel, MP Stoinis, MA Agarwal, R Ashwin, AJ Tye, Mujeeb Ur Rahman, AS Rajpoot"/>
    <s v="SA Yadav, E Lewis, Ishan Kishan, HH Pandya, RG Sharma, KH Pandya, JP Duminy, BCJ Cutting, MJ McClenaghan, M Markande, JJ Bumrah"/>
  </r>
  <r>
    <n v="1136593"/>
    <s v="Chennai Super Kings"/>
    <s v="Kolkata Knight Riders"/>
    <x v="7"/>
    <n v="2018"/>
    <d v="2018-05-03T00:00:00"/>
    <x v="8"/>
    <x v="0"/>
    <s v="Win"/>
    <s v="NA"/>
    <x v="10"/>
    <x v="24"/>
    <x v="29"/>
    <s v="Kolkata"/>
    <s v="SR Watson, F du Plessis, SK Raina, AT Rayudu, MS Dhoni, RA Jadeja, KV Sharma, DJ Bravo, Harbhajan Singh, KM Asif, L Ngidi"/>
    <s v="CA Lynn, SP Narine, RV Uthappa, Shubman Gill, RK Singh, KD Karthik, AD Russell, Shivam Mavi, PP Chawla, MG Johnson, Kuldeep Yadav"/>
  </r>
  <r>
    <n v="1136592"/>
    <s v="Delhi Daredevils"/>
    <s v="Rajasthan Royals"/>
    <x v="7"/>
    <n v="2018"/>
    <d v="2018-05-02T00:00:00"/>
    <x v="7"/>
    <x v="0"/>
    <s v="Win"/>
    <s v="NA"/>
    <x v="13"/>
    <x v="72"/>
    <x v="28"/>
    <s v="Delhi"/>
    <s v="PP Shaw, C Munro, SS Iyer, RR Pant, GJ Maxwell, V Shankar, LE Plunkett, A Mishra, S Nadeem, Avesh Khan, TA Boult"/>
    <s v="DJM Short, JC Buttler, SV Samson, BA Stokes, RA Tripathi, K Gowtham, JC Archer, AM Rahane, JD Unadkat, DS Kulkarni, S Gopal"/>
  </r>
  <r>
    <n v="1136591"/>
    <s v="Royal Challengers Bangalore"/>
    <s v="Mumbai Indians"/>
    <x v="7"/>
    <n v="2018"/>
    <d v="2018-05-01T00:00:00"/>
    <x v="1"/>
    <x v="0"/>
    <s v="Win"/>
    <s v="NA"/>
    <x v="11"/>
    <x v="170"/>
    <x v="27"/>
    <s v="Bengaluru"/>
    <s v="M Vohra, Q de Kock, BB McCullum, V Kohli, Mandeep Singh, C de Grandhomme, Washington Sundar, TG Southee, UT Yadav, YS Chahal, Mohammed Siraj"/>
    <s v="SA Yadav, Ishan Kishan, JP Duminy, RG Sharma, KA Pollard, HH Pandya, KH Pandya, BCJ Cutting, MJ McClenaghan, M Markande, JJ Bumrah"/>
  </r>
  <r>
    <n v="1136590"/>
    <s v="Chennai Super Kings"/>
    <s v="Delhi Daredevils"/>
    <x v="7"/>
    <n v="2018"/>
    <d v="2018-04-30T00:00:00"/>
    <x v="12"/>
    <x v="0"/>
    <s v="Win"/>
    <s v="NA"/>
    <x v="3"/>
    <x v="154"/>
    <x v="31"/>
    <s v="Pune"/>
    <s v="SR Watson, F du Plessis, SK Raina, AT Rayudu, MS Dhoni, RA Jadeja, DJ Bravo, KV Sharma, Harbhajan Singh, KM Asif, L Ngidi"/>
    <s v="PP Shaw, C Munro, SS Iyer, RR Pant, GJ Maxwell, V Shankar, R Tewatia, LE Plunkett, A Mishra, Avesh Khan, TA Boult"/>
  </r>
  <r>
    <n v="1136588"/>
    <s v="Sunrisers Hyderabad"/>
    <s v="Rajasthan Royals"/>
    <x v="7"/>
    <n v="2018"/>
    <d v="2018-04-29T00:00:00"/>
    <x v="4"/>
    <x v="1"/>
    <s v="Win"/>
    <s v="NA"/>
    <x v="4"/>
    <x v="124"/>
    <x v="30"/>
    <s v="Jaipur"/>
    <s v="AD Hales, S Dhawan, KS Williamson, MK Pandey, Shakib Al Hasan, YK Pathan, WP Saha, Rashid Khan, Basil Thampi, Sandeep Sharma, S Kaul"/>
    <s v="AM Rahane, RA Tripathi, SV Samson, BA Stokes, JC Buttler, MK Lomror, K Gowtham, JC Archer, DS Kulkarni, IS Sodhi, JD Unadkat"/>
  </r>
  <r>
    <n v="1136589"/>
    <s v="Royal Challengers Bangalore"/>
    <s v="Kolkata Knight Riders"/>
    <x v="7"/>
    <n v="2018"/>
    <d v="2018-04-29T00:00:00"/>
    <x v="8"/>
    <x v="0"/>
    <s v="Win"/>
    <s v="NA"/>
    <x v="10"/>
    <x v="168"/>
    <x v="27"/>
    <s v="Bengaluru"/>
    <s v="Q de Kock, BB McCullum, V Kohli, M Vohra, Mandeep Singh, C de Grandhomme, M Ashwin, TG Southee, UT Yadav, YS Chahal, Mohammed Siraj"/>
    <s v="CA Lynn, SP Narine, RV Uthappa, N Rana, AD Russell, KD Karthik, Shubman Gill, Shivam Mavi, PP Chawla, MG Johnson, Kuldeep Yadav"/>
  </r>
  <r>
    <n v="1136587"/>
    <s v="Chennai Super Kings"/>
    <s v="Mumbai Indians"/>
    <x v="7"/>
    <n v="2018"/>
    <d v="2018-04-28T00:00:00"/>
    <x v="1"/>
    <x v="0"/>
    <s v="Win"/>
    <s v="NA"/>
    <x v="2"/>
    <x v="2"/>
    <x v="31"/>
    <s v="Pune"/>
    <s v="SR Watson, AT Rayudu, SK Raina, MS Dhoni, DJ Bravo, SW Billings, RA Jadeja, Harbhajan Singh, DL Chahar, SN Thakur, Imran Tahir"/>
    <s v="SA Yadav, E Lewis, RG Sharma, HH Pandya, Ishan Kishan, JP Duminy, KH Pandya, BCJ Cutting, MJ McClenaghan, M Markande, JJ Bumrah"/>
  </r>
  <r>
    <n v="1136586"/>
    <s v="Delhi Daredevils"/>
    <s v="Kolkata Knight Riders"/>
    <x v="7"/>
    <n v="2018"/>
    <d v="2018-04-27T00:00:00"/>
    <x v="8"/>
    <x v="0"/>
    <s v="Win"/>
    <s v="NA"/>
    <x v="13"/>
    <x v="1"/>
    <x v="28"/>
    <s v="Delhi"/>
    <s v="PP Shaw, C Munro, SS Iyer, RR Pant, GJ Maxwell, V Shankar, R Tewatia, LE Plunkett, A Mishra, Avesh Khan, TA Boult"/>
    <s v="CA Lynn, SP Narine, RV Uthappa, N Rana, KD Karthik, Shubman Gill, AD Russell, Shivam Mavi, PP Chawla, MG Johnson, Kuldeep Yadav"/>
  </r>
  <r>
    <n v="1136585"/>
    <s v="Sunrisers Hyderabad"/>
    <s v="Kings XI Punjab"/>
    <x v="7"/>
    <n v="2018"/>
    <d v="2018-04-26T00:00:00"/>
    <x v="11"/>
    <x v="0"/>
    <s v="Win"/>
    <s v="NA"/>
    <x v="4"/>
    <x v="171"/>
    <x v="22"/>
    <s v="Hyderabad"/>
    <s v="S Dhawan, KS Williamson, WP Saha, MK Pandey, Shakib Al Hasan, YK Pathan, Mohammad Nabi, Rashid Khan, Basil Thampi, S Kaul, Sandeep Sharma"/>
    <s v="KL Rahul, CH Gayle, MA Agarwal, KK Nair, AJ Finch, MK Tiwary, R Ashwin, AJ Tye, BB Sran, AS Rajpoot, Mujeeb Ur Rahman"/>
  </r>
  <r>
    <n v="1136584"/>
    <s v="Royal Challengers Bangalore"/>
    <s v="Chennai Super Kings"/>
    <x v="7"/>
    <n v="2018"/>
    <d v="2018-04-25T00:00:00"/>
    <x v="3"/>
    <x v="0"/>
    <s v="Win"/>
    <s v="NA"/>
    <x v="3"/>
    <x v="37"/>
    <x v="27"/>
    <s v="Bengaluru"/>
    <s v="Q de Kock, V Kohli, AB de Villiers, CJ Anderson, Mandeep Singh, C de Grandhomme, P Negi, Washington Sundar, UT Yadav, Mohammed Siraj, YS Chahal"/>
    <s v="SR Watson, AT Rayudu, SK Raina, SW Billings, RA Jadeja, MS Dhoni, DJ Bravo, Harbhajan Singh, DL Chahar, SN Thakur, Imran Tahir"/>
  </r>
  <r>
    <n v="1136583"/>
    <s v="Sunrisers Hyderabad"/>
    <s v="Mumbai Indians"/>
    <x v="7"/>
    <n v="2018"/>
    <d v="2018-04-24T00:00:00"/>
    <x v="1"/>
    <x v="0"/>
    <s v="Win"/>
    <s v="NA"/>
    <x v="4"/>
    <x v="78"/>
    <x v="26"/>
    <s v="Mumbai"/>
    <s v="S Dhawan, KS Williamson, WP Saha, MK Pandey, Shakib Al Hasan, YK Pathan, Mohammad Nabi, Rashid Khan, Basil Thampi, S Kaul, Sandeep Sharma"/>
    <s v="SA Yadav, E Lewis, Ishan Kishan, RG Sharma, KH Pandya, KA Pollard, HH Pandya, MJ McClenaghan, M Markande, JJ Bumrah, Mustafizur Rahman"/>
  </r>
  <r>
    <n v="1136582"/>
    <s v="Kings XI Punjab"/>
    <s v="Delhi Daredevils"/>
    <x v="7"/>
    <n v="2018"/>
    <d v="2018-04-23T00:00:00"/>
    <x v="12"/>
    <x v="0"/>
    <s v="Win"/>
    <s v="NA"/>
    <x v="12"/>
    <x v="171"/>
    <x v="28"/>
    <s v="Delhi"/>
    <s v="KL Rahul, AJ Finch, MA Agarwal, KK Nair, Yuvraj Singh, DA Miller, R Ashwin, AJ Tye, BB Sran, AS Rajpoot, Mujeeb Ur Rahman"/>
    <s v="PP Shaw, G Gambhir, GJ Maxwell, SS Iyer, RR Pant, DT Christian, R Tewatia, LE Plunkett, A Mishra, Avesh Khan, TA Boult"/>
  </r>
  <r>
    <n v="1136581"/>
    <s v="Mumbai Indians"/>
    <s v="Rajasthan Royals"/>
    <x v="7"/>
    <n v="2018"/>
    <d v="2018-04-22T00:00:00"/>
    <x v="1"/>
    <x v="1"/>
    <s v="Win"/>
    <s v="NA"/>
    <x v="7"/>
    <x v="46"/>
    <x v="30"/>
    <s v="Jaipur"/>
    <s v="SA Yadav, E Lewis, Ishan Kishan, KA Pollard, RG Sharma, KH Pandya, HH Pandya, MJ McClenaghan, M Markande, JJ Bumrah, Mustafizur Rahman"/>
    <s v="AM Rahane, RA Tripathi, SV Samson, BA Stokes, JC Buttler, H Klaasen, JC Archer, K Gowtham, JD Unadkat, DS Kulkarni, S Gopal"/>
  </r>
  <r>
    <n v="1136580"/>
    <s v="Chennai Super Kings"/>
    <s v="Sunrisers Hyderabad"/>
    <x v="7"/>
    <n v="2018"/>
    <d v="2018-04-22T00:00:00"/>
    <x v="4"/>
    <x v="0"/>
    <s v="Win"/>
    <s v="NA"/>
    <x v="3"/>
    <x v="156"/>
    <x v="22"/>
    <s v="Hyderabad"/>
    <s v="SR Watson, F du Plessis, SK Raina, AT Rayudu, MS Dhoni, SW Billings, DJ Bravo, RA Jadeja, DL Chahar, KV Sharma, SN Thakur"/>
    <s v="RK Bhui, KS Williamson, MK Pandey, DJ Hooda, Shakib Al Hasan, YK Pathan, WP Saha, Rashid Khan, B Kumar, B Stanlake, S Kaul"/>
  </r>
  <r>
    <n v="1136578"/>
    <s v="Kolkata Knight Riders"/>
    <s v="Kings XI Punjab"/>
    <x v="7"/>
    <n v="2018"/>
    <d v="2018-04-21T00:00:00"/>
    <x v="11"/>
    <x v="0"/>
    <s v="Win"/>
    <s v="NA"/>
    <x v="12"/>
    <x v="41"/>
    <x v="29"/>
    <s v="Kolkata"/>
    <s v="CA Lynn, SP Narine, RV Uthappa, N Rana, KD Karthik, AD Russell, Shubman Gill, TK Curran, PP Chawla, Shivam Mavi, Kuldeep Yadav"/>
    <s v="KL Rahul, CH Gayle, MA Agarwal, KK Nair, AJ Finch, Yuvraj Singh, R Ashwin, AJ Tye, BB Sran, Mujeeb Ur Rahman, AS Rajpoot"/>
  </r>
  <r>
    <n v="1136579"/>
    <s v="Delhi Daredevils"/>
    <s v="Royal Challengers Bangalore"/>
    <x v="7"/>
    <n v="2018"/>
    <d v="2018-04-21T00:00:00"/>
    <x v="10"/>
    <x v="0"/>
    <s v="Win"/>
    <s v="NA"/>
    <x v="11"/>
    <x v="142"/>
    <x v="27"/>
    <s v="Bengaluru"/>
    <s v="JJ Roy, G Gambhir, SS Iyer, RR Pant, GJ Maxwell, R Tewatia, CH Morris, V Shankar, S Nadeem, HV Patel, TA Boult"/>
    <s v="Q de Kock, M Vohra, V Kohli, AB de Villiers, CJ Anderson, Mandeep Singh, Washington Sundar, CR Woakes, UT Yadav, Mohammed Siraj, YS Chahal"/>
  </r>
  <r>
    <n v="1136577"/>
    <s v="Chennai Super Kings"/>
    <s v="Rajasthan Royals"/>
    <x v="7"/>
    <n v="2018"/>
    <d v="2018-04-20T00:00:00"/>
    <x v="7"/>
    <x v="0"/>
    <s v="Win"/>
    <s v="NA"/>
    <x v="3"/>
    <x v="154"/>
    <x v="31"/>
    <s v="Pune"/>
    <s v="SR Watson, AT Rayudu, SK Raina, MS Dhoni, SW Billings, DJ Bravo, RA Jadeja, DL Chahar, KV Sharma, SN Thakur, Imran Tahir"/>
    <s v="AM Rahane, H Klaasen, SV Samson, BA Stokes, JC Buttler, RA Tripathi, STR Binny, K Gowtham, S Gopal, JD Unadkat, B Laughlin"/>
  </r>
  <r>
    <n v="1136576"/>
    <s v="Kings XI Punjab"/>
    <s v="Sunrisers Hyderabad"/>
    <x v="7"/>
    <n v="2018"/>
    <d v="2018-04-19T00:00:00"/>
    <x v="11"/>
    <x v="1"/>
    <s v="Win"/>
    <s v="NA"/>
    <x v="12"/>
    <x v="151"/>
    <x v="25"/>
    <s v="Chandigarh"/>
    <s v="KL Rahul, CH Gayle, MA Agarwal, KK Nair, AJ Finch, Yuvraj Singh, R Ashwin, AJ Tye, BB Sran, MM Sharma, Mujeeb Ur Rahman"/>
    <s v="WP Saha, S Dhawan, KS Williamson, YK Pathan, MK Pandey, DJ Hooda, Shakib Al Hasan, CJ Jordan, B Kumar, Rashid Khan, S Kaul"/>
  </r>
  <r>
    <n v="1136575"/>
    <s v="Rajasthan Royals"/>
    <s v="Kolkata Knight Riders"/>
    <x v="7"/>
    <n v="2018"/>
    <d v="2018-04-18T00:00:00"/>
    <x v="8"/>
    <x v="0"/>
    <s v="Win"/>
    <s v="NA"/>
    <x v="10"/>
    <x v="50"/>
    <x v="30"/>
    <s v="Jaipur"/>
    <s v="AM Rahane, DJM Short, SV Samson, RA Tripathi, BA Stokes, JC Buttler, K Gowtham, S Gopal, DS Kulkarni, JD Unadkat, B Laughlin"/>
    <s v="SP Narine, CA Lynn, RV Uthappa, N Rana, KD Karthik, AD Russell, Shubman Gill, TK Curran, PP Chawla, Shivam Mavi, Kuldeep Yadav"/>
  </r>
  <r>
    <n v="1136574"/>
    <s v="Mumbai Indians"/>
    <s v="Royal Challengers Bangalore"/>
    <x v="7"/>
    <n v="2018"/>
    <d v="2018-04-17T00:00:00"/>
    <x v="10"/>
    <x v="0"/>
    <s v="Win"/>
    <s v="NA"/>
    <x v="2"/>
    <x v="2"/>
    <x v="26"/>
    <s v="Mumbai"/>
    <s v="SA Yadav, E Lewis, Ishan Kishan, RG Sharma, KH Pandya, KA Pollard, HH Pandya, MJ McClenaghan, M Markande, JJ Bumrah, Mustafizur Rahman"/>
    <s v="V Kohli, Q de Kock, AB de Villiers, Mandeep Singh, CJ Anderson, Washington Sundar, SN Khan, CR Woakes, UT Yadav, Mohammed Siraj, YS Chahal"/>
  </r>
  <r>
    <n v="1136573"/>
    <s v="Kolkata Knight Riders"/>
    <s v="Delhi Daredevils"/>
    <x v="7"/>
    <n v="2018"/>
    <d v="2018-04-16T00:00:00"/>
    <x v="12"/>
    <x v="0"/>
    <s v="Win"/>
    <s v="NA"/>
    <x v="10"/>
    <x v="50"/>
    <x v="29"/>
    <s v="Kolkata"/>
    <s v="CA Lynn, SP Narine, RV Uthappa, N Rana, KD Karthik, AD Russell, Shubman Gill, TK Curran, PP Chawla, Shivam Mavi, Kuldeep Yadav"/>
    <s v="G Gambhir, JJ Roy, SS Iyer, RR Pant, GJ Maxwell, R Tewatia, V Shankar, CH Morris, Mohammed Shami, S Nadeem, TA Boult"/>
  </r>
  <r>
    <n v="1136571"/>
    <s v="Rajasthan Royals"/>
    <s v="Royal Challengers Bangalore"/>
    <x v="7"/>
    <n v="2018"/>
    <d v="2018-04-15T00:00:00"/>
    <x v="10"/>
    <x v="0"/>
    <s v="Win"/>
    <s v="NA"/>
    <x v="7"/>
    <x v="70"/>
    <x v="27"/>
    <s v="Bengaluru"/>
    <s v="AM Rahane, DJM Short, SV Samson, BA Stokes, JC Buttler, RA Tripathi, K Gowtham, S Gopal, DS Kulkarni, JD Unadkat, B Laughlin"/>
    <s v="BB McCullum, Q de Kock, V Kohli, AB de Villiers, Mandeep Singh, P Negi, Washington Sundar, CR Woakes, UT Yadav, K Khejroliya, YS Chahal"/>
  </r>
  <r>
    <n v="1136572"/>
    <s v="Kings XI Punjab"/>
    <s v="Chennai Super Kings"/>
    <x v="7"/>
    <n v="2018"/>
    <d v="2018-04-15T00:00:00"/>
    <x v="3"/>
    <x v="0"/>
    <s v="Win"/>
    <s v="NA"/>
    <x v="12"/>
    <x v="151"/>
    <x v="25"/>
    <s v="Chandigarh"/>
    <s v="KL Rahul, CH Gayle, MA Agarwal, Yuvraj Singh, AJ Finch, KK Nair, R Ashwin, AJ Tye, BB Sran, MM Sharma, Mujeeb Ur Rahman"/>
    <s v="SR Watson, M Vijay, AT Rayudu, SW Billings, MS Dhoni, RA Jadeja, DJ Bravo, DL Chahar, Harbhajan Singh, SN Thakur, Imran Tahir"/>
  </r>
  <r>
    <n v="1136569"/>
    <s v="Mumbai Indians"/>
    <s v="Delhi Daredevils"/>
    <x v="7"/>
    <n v="2018"/>
    <d v="2018-04-14T00:00:00"/>
    <x v="12"/>
    <x v="0"/>
    <s v="Win"/>
    <s v="NA"/>
    <x v="13"/>
    <x v="136"/>
    <x v="26"/>
    <s v="Mumbai"/>
    <s v="SA Yadav, E Lewis, Ishan Kishan, RG Sharma, KA Pollard, KH Pandya, HH Pandya, A Dananjaya, M Markande, JJ Bumrah, Mustafizur Rahman"/>
    <s v="JJ Roy, G Gambhir, RR Pant, GJ Maxwell, SS Iyer, V Shankar, DT Christian, R Tewatia, S Nadeem, Mohammed Shami, TA Boult"/>
  </r>
  <r>
    <n v="1136570"/>
    <s v="Kolkata Knight Riders"/>
    <s v="Sunrisers Hyderabad"/>
    <x v="7"/>
    <n v="2018"/>
    <d v="2018-04-14T00:00:00"/>
    <x v="4"/>
    <x v="0"/>
    <s v="Win"/>
    <s v="NA"/>
    <x v="4"/>
    <x v="172"/>
    <x v="29"/>
    <s v="Kolkata"/>
    <s v="RV Uthappa, CA Lynn, N Rana, SP Narine, KD Karthik, AD Russell, Shubman Gill, Shivam Mavi, MG Johnson, PP Chawla, Kuldeep Yadav"/>
    <s v="WP Saha, S Dhawan, KS Williamson, MK Pandey, Shakib Al Hasan, DJ Hooda, YK Pathan, B Kumar, Rashid Khan, S Kaul, B Stanlake"/>
  </r>
  <r>
    <n v="1136568"/>
    <s v="Kings XI Punjab"/>
    <s v="Royal Challengers Bangalore"/>
    <x v="7"/>
    <n v="2018"/>
    <d v="2018-04-13T00:00:00"/>
    <x v="10"/>
    <x v="0"/>
    <s v="Win"/>
    <s v="NA"/>
    <x v="11"/>
    <x v="129"/>
    <x v="27"/>
    <s v="Bengaluru"/>
    <s v="KL Rahul, MA Agarwal, AJ Finch, Yuvraj Singh, KK Nair, MP Stoinis, AR Patel, R Ashwin, AJ Tye, MM Sharma, Mujeeb Ur Rahman"/>
    <s v="Q de Kock, BB McCullum, V Kohli, AB de Villiers, SN Khan, Mandeep Singh, CR Woakes, Washington Sundar, UT Yadav, K Khejroliya, YS Chahal"/>
  </r>
  <r>
    <n v="1136567"/>
    <s v="Mumbai Indians"/>
    <s v="Sunrisers Hyderabad"/>
    <x v="7"/>
    <n v="2018"/>
    <d v="2018-04-12T00:00:00"/>
    <x v="4"/>
    <x v="0"/>
    <s v="Win"/>
    <s v="NA"/>
    <x v="4"/>
    <x v="78"/>
    <x v="22"/>
    <s v="Hyderabad"/>
    <s v="RG Sharma, E Lewis, Ishan Kishan, SA Yadav, KH Pandya, KA Pollard, BCJ Cutting, PJ Sangwan, M Markande, JJ Bumrah, Mustafizur Rahman"/>
    <s v="WP Saha, S Dhawan, KS Williamson, MK Pandey, Shakib Al Hasan, DJ Hooda, YK Pathan, Rashid Khan, S Kaul, Sandeep Sharma, B Stanlake"/>
  </r>
  <r>
    <n v="1136566"/>
    <s v="Rajasthan Royals"/>
    <s v="Delhi Daredevils"/>
    <x v="7"/>
    <n v="2018"/>
    <d v="2018-04-11T00:00:00"/>
    <x v="12"/>
    <x v="0"/>
    <s v="Win"/>
    <s v="NA"/>
    <x v="7"/>
    <x v="70"/>
    <x v="30"/>
    <s v="Jaipur"/>
    <s v="AM Rahane, DJM Short, BA Stokes, SV Samson, JC Buttler, RA Tripathi, K Gowtham, S Gopal, DS Kulkarni, JD Unadkat, B Laughlin"/>
    <s v="GJ Maxwell, C Munro, RR Pant, CH Morris, V Shankar, SS Iyer, G Gambhir, R Tewatia, S Nadeem, TA Boult, Mohammed Shami"/>
  </r>
  <r>
    <n v="1136565"/>
    <s v="Kolkata Knight Riders"/>
    <s v="Chennai Super Kings"/>
    <x v="7"/>
    <n v="2018"/>
    <d v="2018-04-10T00:00:00"/>
    <x v="3"/>
    <x v="0"/>
    <s v="Win"/>
    <s v="NA"/>
    <x v="3"/>
    <x v="173"/>
    <x v="24"/>
    <s v="Chennai"/>
    <s v="CA Lynn, SP Narine, RV Uthappa, N Rana, KD Karthik, RK Singh, AD Russell, TK Curran, R Vinay Kumar, Kuldeep Yadav, PP Chawla"/>
    <s v="SR Watson, AT Rayudu, SK Raina, MS Dhoni, SW Billings, RA Jadeja, DJ Bravo, DL Chahar, Harbhajan Singh, SN Thakur, Imran Tahir"/>
  </r>
  <r>
    <n v="1136564"/>
    <s v="Rajasthan Royals"/>
    <s v="Sunrisers Hyderabad"/>
    <x v="7"/>
    <n v="2018"/>
    <d v="2018-04-09T00:00:00"/>
    <x v="4"/>
    <x v="0"/>
    <s v="Win"/>
    <s v="NA"/>
    <x v="4"/>
    <x v="104"/>
    <x v="22"/>
    <s v="Hyderabad"/>
    <s v="AM Rahane, DJM Short, SV Samson, BA Stokes, RA Tripathi, JC Buttler, K Gowtham, S Gopal, DS Kulkarni, JD Unadkat, B Laughlin"/>
    <s v="WP Saha, S Dhawan, KS Williamson, MK Pandey, DJ Hooda, YK Pathan, Shakib Al Hasan, Rashid Khan, B Kumar, B Stanlake, S Kaul"/>
  </r>
  <r>
    <n v="1136563"/>
    <s v="Royal Challengers Bangalore"/>
    <s v="Kolkata Knight Riders"/>
    <x v="7"/>
    <n v="2018"/>
    <d v="2018-04-08T00:00:00"/>
    <x v="8"/>
    <x v="0"/>
    <s v="Win"/>
    <s v="NA"/>
    <x v="10"/>
    <x v="24"/>
    <x v="29"/>
    <s v="Kolkata"/>
    <s v="BB McCullum, Q de Kock, V Kohli, AB de Villiers, SN Khan, Mandeep Singh, CR Woakes, Washington Sundar, UT Yadav, K Khejroliya, YS Chahal"/>
    <s v="SP Narine, CA Lynn, RV Uthappa, N Rana, KD Karthik, RK Singh, AD Russell, R Vinay Kumar, PP Chawla, MG Johnson, Kuldeep Yadav"/>
  </r>
  <r>
    <n v="1136562"/>
    <s v="Delhi Daredevils"/>
    <s v="Kings XI Punjab"/>
    <x v="7"/>
    <n v="2018"/>
    <d v="2018-04-08T00:00:00"/>
    <x v="11"/>
    <x v="0"/>
    <s v="Win"/>
    <s v="NA"/>
    <x v="12"/>
    <x v="41"/>
    <x v="25"/>
    <s v="Chandigarh"/>
    <s v="C Munro, G Gambhir, SS Iyer, V Shankar, RR Pant, R Tewatia, CH Morris, DT Christian, A Mishra, TA Boult, Mohammed Shami"/>
    <s v="KL Rahul, MA Agarwal, Yuvraj Singh, KK Nair, DA Miller, MP Stoinis, AR Patel, R Ashwin, AJ Tye, MM Sharma, Mujeeb Ur Rahman"/>
  </r>
  <r>
    <n v="1136561"/>
    <s v="Mumbai Indians"/>
    <s v="Chennai Super Kings"/>
    <x v="7"/>
    <n v="2018"/>
    <d v="2018-04-07T00:00:00"/>
    <x v="3"/>
    <x v="0"/>
    <s v="Win"/>
    <s v="NA"/>
    <x v="3"/>
    <x v="138"/>
    <x v="26"/>
    <s v="Mumbai"/>
    <s v="RG Sharma, E Lewis, Ishan Kishan, SA Yadav, HH Pandya, KH Pandya, KA Pollard, JJ Bumrah, MJ McClenaghan, Mustafizur Rahman, M Markande"/>
    <s v="SR Watson, AT Rayudu, SK Raina, KM Jadhav, MS Dhoni, RA Jadeja, DJ Bravo, DL Chahar, Harbhajan Singh, MA Wood, Imran Tahir"/>
  </r>
  <r>
    <n v="1082650"/>
    <s v="Mumbai Indians"/>
    <s v="Rising Pune Supergiant"/>
    <x v="8"/>
    <n v="2017"/>
    <d v="2017-05-21T00:00:00"/>
    <x v="1"/>
    <x v="1"/>
    <s v="Win"/>
    <s v="NA"/>
    <x v="2"/>
    <x v="0"/>
    <x v="33"/>
    <s v="Hyderabad"/>
    <s v="LMP Simmons, PA Patel, AT Rayudu, RG Sharma, KH Pandya, KA Pollard, HH Pandya, KV Sharma, MG Johnson, JJ Bumrah, SL Malinga"/>
    <s v="AM Rahane, RA Tripathi, SPD Smith, MS Dhoni, MK Tiwary, DT Christian, Washington Sundar, LH Ferguson, A Zampa, SN Thakur, JD Unadkat"/>
  </r>
  <r>
    <n v="1082649"/>
    <s v="Mumbai Indians"/>
    <s v="Kolkata Knight Riders"/>
    <x v="8"/>
    <n v="2017"/>
    <d v="2017-05-19T00:00:00"/>
    <x v="1"/>
    <x v="0"/>
    <s v="Win"/>
    <s v="NA"/>
    <x v="2"/>
    <x v="38"/>
    <x v="34"/>
    <s v="Bangalore"/>
    <s v="LMP Simmons, PA Patel, AT Rayudu, RG Sharma, KH Pandya, KA Pollard, HH Pandya, MG Johnson, KV Sharma, JJ Bumrah, SL Malinga"/>
    <s v="CA Lynn, SP Narine, G Gambhir, RV Uthappa, IR Jaggi, C de Grandhomme, SA Yadav, PP Chawla, NM Coulter-Nile, UT Yadav, AS Rajpoot"/>
  </r>
  <r>
    <n v="1082648"/>
    <s v="Sunrisers Hyderabad"/>
    <s v="Kolkata Knight Riders"/>
    <x v="8"/>
    <n v="2017"/>
    <d v="2017-05-17T00:00:00"/>
    <x v="8"/>
    <x v="0"/>
    <s v="Win"/>
    <s v="NA"/>
    <x v="10"/>
    <x v="134"/>
    <x v="34"/>
    <s v="Bangalore"/>
    <s v="DA Warner, S Dhawan, KS Williamson, Yuvraj Singh, V Shankar, NV Ojha, CJ Jordan, Bipul Sharma, B Kumar, Rashid Khan, S Kaul"/>
    <s v="RV Uthappa, CA Lynn, YK Pathan, G Gambhir, IR Jaggi, SA Yadav, SP Narine, PP Chawla, UT Yadav, NM Coulter-Nile, TA Boult"/>
  </r>
  <r>
    <n v="1082647"/>
    <s v="Mumbai Indians"/>
    <s v="Rising Pune Supergiant"/>
    <x v="8"/>
    <n v="2017"/>
    <d v="2017-05-16T00:00:00"/>
    <x v="1"/>
    <x v="0"/>
    <s v="Win"/>
    <s v="NA"/>
    <x v="14"/>
    <x v="174"/>
    <x v="26"/>
    <s v="Mumbai"/>
    <s v="LMP Simmons, PA Patel, RG Sharma, AT Rayudu, KA Pollard, HH Pandya, KH Pandya, MJ McClenaghan, KV Sharma, JJ Bumrah, SL Malinga"/>
    <s v="AM Rahane, RA Tripathi, SPD Smith, MK Tiwary, MS Dhoni, DT Christian, Washington Sundar, LH Ferguson, A Zampa, SN Thakur, JD Unadkat"/>
  </r>
  <r>
    <n v="1082646"/>
    <s v="Delhi Daredevils"/>
    <s v="Royal Challengers Bangalore"/>
    <x v="8"/>
    <n v="2017"/>
    <d v="2017-05-14T00:00:00"/>
    <x v="10"/>
    <x v="1"/>
    <s v="Win"/>
    <s v="NA"/>
    <x v="11"/>
    <x v="27"/>
    <x v="35"/>
    <s v="Delhi"/>
    <s v="SV Samson, KK Nair, SS Iyer, RR Pant, MN Samuels, CJ Anderson, PJ Cummins, A Mishra, Mohammed Shami, S Nadeem, Z Khan"/>
    <s v="CH Gayle, Vishnu Vinod, V Kohli, TM Head, KM Jadhav, Sachin Baby, SR Watson, P Negi, HV Patel, Avesh Khan, YS Chahal"/>
  </r>
  <r>
    <n v="1082645"/>
    <s v="Rising Pune Supergiant"/>
    <s v="Kings XI Punjab"/>
    <x v="8"/>
    <n v="2017"/>
    <d v="2017-05-14T00:00:00"/>
    <x v="13"/>
    <x v="0"/>
    <s v="Win"/>
    <s v="NA"/>
    <x v="14"/>
    <x v="147"/>
    <x v="31"/>
    <s v="Pune"/>
    <s v="AM Rahane, RA Tripathi, SPD Smith, BA Stokes, MK Tiwary, MS Dhoni, DT Christian, Washington Sundar, SN Thakur, JD Unadkat, A Zampa"/>
    <s v="MJ Guptill, WP Saha, SE Marsh, EJG Morgan, R Tewatia, GJ Maxwell, AR Patel, Swapnil Singh, MM Sharma, I Sharma, Sandeep Sharma"/>
  </r>
  <r>
    <n v="1082643"/>
    <s v="Gujarat Lions"/>
    <s v="Sunrisers Hyderabad"/>
    <x v="8"/>
    <n v="2017"/>
    <d v="2017-05-13T00:00:00"/>
    <x v="4"/>
    <x v="0"/>
    <s v="Win"/>
    <s v="NA"/>
    <x v="4"/>
    <x v="45"/>
    <x v="36"/>
    <s v="Kanpur"/>
    <s v="DR Smith, Ishan Kishan, SK Raina, KD Karthik, AJ Finch, RA Jadeja, JP Faulkner, PJ Sangwan, Ankit Soni, P Kumar, MM Patel"/>
    <s v="DA Warner, S Dhawan, MC Henriques, V Shankar, DJ Hooda, Mohammad Nabi, NV Ojha, B Kumar, Rashid Khan, S Kaul, Mohammed Siraj"/>
  </r>
  <r>
    <n v="1082644"/>
    <s v="Kolkata Knight Riders"/>
    <s v="Mumbai Indians"/>
    <x v="8"/>
    <n v="2017"/>
    <d v="2017-05-13T00:00:00"/>
    <x v="8"/>
    <x v="0"/>
    <s v="Win"/>
    <s v="NA"/>
    <x v="2"/>
    <x v="156"/>
    <x v="29"/>
    <s v="Kolkata"/>
    <s v="SP Narine, CA Lynn, G Gambhir, RV Uthappa, MK Pandey, YK Pathan, C de Grandhomme, Kuldeep Yadav, UT Yadav, TA Boult, AS Rajpoot"/>
    <s v="SS Tiwary, LMP Simmons, RG Sharma, AT Rayudu, KA Pollard, HH Pandya, KH Pandya, KV Sharma, MG Johnson, R Vinay Kumar, TG Southee"/>
  </r>
  <r>
    <n v="1082642"/>
    <s v="Delhi Daredevils"/>
    <s v="Rising Pune Supergiant"/>
    <x v="8"/>
    <n v="2017"/>
    <d v="2017-05-12T00:00:00"/>
    <x v="12"/>
    <x v="1"/>
    <s v="Win"/>
    <s v="NA"/>
    <x v="13"/>
    <x v="175"/>
    <x v="35"/>
    <s v="Delhi"/>
    <s v="SV Samson, KK Nair, SS Iyer, RR Pant, MN Samuels, CJ Anderson, PJ Cummins, A Mishra, Mohammed Shami, S Nadeem, Z Khan"/>
    <s v="AM Rahane, RA Tripathi, SPD Smith, MK Tiwary, BA Stokes, MS Dhoni, DT Christian, Washington Sundar, SN Thakur, JD Unadkat, A Zampa"/>
  </r>
  <r>
    <n v="1082641"/>
    <s v="Mumbai Indians"/>
    <s v="Kings XI Punjab"/>
    <x v="8"/>
    <n v="2017"/>
    <d v="2017-05-11T00:00:00"/>
    <x v="1"/>
    <x v="0"/>
    <s v="Win"/>
    <s v="NA"/>
    <x v="12"/>
    <x v="112"/>
    <x v="26"/>
    <s v="Mumbai"/>
    <s v="LMP Simmons, PA Patel, N Rana, RG Sharma, KA Pollard, HH Pandya, KV Sharma, Harbhajan Singh, MJ McClenaghan, JJ Bumrah, SL Malinga"/>
    <s v="MJ Guptill, WP Saha, GJ Maxwell, SE Marsh, AR Patel, M Vohra, R Tewatia, MM Sharma, Sandeep Sharma, I Sharma, MJ Henry"/>
  </r>
  <r>
    <n v="1082640"/>
    <s v="Gujarat Lions"/>
    <s v="Delhi Daredevils"/>
    <x v="8"/>
    <n v="2017"/>
    <d v="2017-05-10T00:00:00"/>
    <x v="12"/>
    <x v="0"/>
    <s v="Win"/>
    <s v="NA"/>
    <x v="13"/>
    <x v="1"/>
    <x v="36"/>
    <s v="Kanpur"/>
    <s v="DR Smith, Ishan Kishan, SK Raina, KD Karthik, AJ Finch, RA Jadeja, JP Faulkner, DS Kulkarni, PJ Sangwan, Basil Thampi, Ankit Soni"/>
    <s v="SV Samson, KK Nair, RR Pant, SS Iyer, MN Samuels, CJ Anderson, CR Brathwaite, PJ Cummins, Mohammed Shami, A Mishra, Z Khan"/>
  </r>
  <r>
    <n v="1082639"/>
    <s v="Kings XI Punjab"/>
    <s v="Kolkata Knight Riders"/>
    <x v="8"/>
    <n v="2017"/>
    <d v="2017-05-09T00:00:00"/>
    <x v="8"/>
    <x v="0"/>
    <s v="Win"/>
    <s v="NA"/>
    <x v="12"/>
    <x v="83"/>
    <x v="37"/>
    <s v="Chandigarh"/>
    <s v="MJ Guptill, M Vohra, SE Marsh, WP Saha, GJ Maxwell, AR Patel, Swapnil Singh, R Tewatia, MJ Henry, MM Sharma, Sandeep Sharma"/>
    <s v="SP Narine, CA Lynn, G Gambhir, RV Uthappa, MK Pandey, C de Grandhomme, YK Pathan, CR Woakes, UT Yadav, Kuldeep Yadav, AS Rajpoot"/>
  </r>
  <r>
    <n v="1082638"/>
    <s v="Sunrisers Hyderabad"/>
    <s v="Mumbai Indians"/>
    <x v="8"/>
    <n v="2017"/>
    <d v="2017-05-08T00:00:00"/>
    <x v="1"/>
    <x v="1"/>
    <s v="Win"/>
    <s v="NA"/>
    <x v="4"/>
    <x v="104"/>
    <x v="33"/>
    <s v="Hyderabad"/>
    <s v="DA Warner, S Dhawan, MC Henriques, Yuvraj Singh, V Shankar, Mohammad Nabi, NV Ojha, B Kumar, Rashid Khan, S Kaul, Mohammed Siraj"/>
    <s v="LMP Simmons, PA Patel, N Rana, RG Sharma, HH Pandya, KA Pollard, KV Sharma, Harbhajan Singh, MJ McClenaghan, JJ Bumrah, SL Malinga"/>
  </r>
  <r>
    <n v="1082637"/>
    <s v="Kings XI Punjab"/>
    <s v="Gujarat Lions"/>
    <x v="8"/>
    <n v="2017"/>
    <d v="2017-05-07T00:00:00"/>
    <x v="14"/>
    <x v="0"/>
    <s v="Win"/>
    <s v="NA"/>
    <x v="15"/>
    <x v="176"/>
    <x v="37"/>
    <s v="Chandigarh"/>
    <s v="MJ Guptill, HM Amla, SE Marsh, GJ Maxwell, AR Patel, WP Saha, Gurkeerat Singh, MM Sharma, Sandeep Sharma, VR Aaron, T Natarajan"/>
    <s v="DR Smith, Ishan Kishan, SK Raina, KD Karthik, AJ Finch, RA Jadeja, JP Faulkner, DS Kulkarni, PJ Sangwan, Basil Thampi, Ankit Soni"/>
  </r>
  <r>
    <n v="1082636"/>
    <s v="Royal Challengers Bangalore"/>
    <s v="Kolkata Knight Riders"/>
    <x v="8"/>
    <n v="2017"/>
    <d v="2017-05-07T00:00:00"/>
    <x v="8"/>
    <x v="0"/>
    <s v="Win"/>
    <s v="NA"/>
    <x v="10"/>
    <x v="24"/>
    <x v="34"/>
    <s v="Bangalore"/>
    <s v="CH Gayle, Mandeep Singh, V Kohli, AB de Villiers, TM Head, KM Jadhav, P Negi, S Aravind, S Badree, A Choudhary, YS Chahal"/>
    <s v="CA Lynn, SP Narine, C de Grandhomme, G Gambhir, MK Pandey, YK Pathan, SP Jackson, CR Woakes, UT Yadav, PP Chawla, AS Rajpoot"/>
  </r>
  <r>
    <n v="1082634"/>
    <s v="Sunrisers Hyderabad"/>
    <s v="Rising Pune Supergiant"/>
    <x v="8"/>
    <n v="2017"/>
    <d v="2017-05-06T00:00:00"/>
    <x v="4"/>
    <x v="0"/>
    <s v="Win"/>
    <s v="NA"/>
    <x v="14"/>
    <x v="147"/>
    <x v="33"/>
    <s v="Hyderabad"/>
    <s v="DA Warner, S Dhawan, KS Williamson, Yuvraj Singh, MC Henriques, NV Ojha, Bipul Sharma, Rashid Khan, B Kumar, S Kaul, A Nehra"/>
    <s v="AM Rahane, RA Tripathi, SPD Smith, BA Stokes, MS Dhoni, DT Christian, MK Tiwary, Washington Sundar, SN Thakur, JD Unadkat, Imran Tahir"/>
  </r>
  <r>
    <n v="1082635"/>
    <s v="Delhi Daredevils"/>
    <s v="Mumbai Indians"/>
    <x v="8"/>
    <n v="2017"/>
    <d v="2017-05-06T00:00:00"/>
    <x v="12"/>
    <x v="0"/>
    <s v="Win"/>
    <s v="NA"/>
    <x v="2"/>
    <x v="177"/>
    <x v="35"/>
    <s v="Delhi"/>
    <s v="SV Samson, KK Nair, SS Iyer, RR Pant, CJ Anderson, MN Samuels, PJ Cummins, K Rabada, A Mishra, Mohammed Shami, Z Khan"/>
    <s v="LMP Simmons, PA Patel, KA Pollard, RG Sharma, HH Pandya, N Rana, KV Sharma, Harbhajan Singh, MJ McClenaghan, SL Malinga, JJ Bumrah"/>
  </r>
  <r>
    <n v="1082633"/>
    <s v="Royal Challengers Bangalore"/>
    <s v="Kings XI Punjab"/>
    <x v="8"/>
    <n v="2017"/>
    <d v="2017-05-05T00:00:00"/>
    <x v="10"/>
    <x v="0"/>
    <s v="Win"/>
    <s v="NA"/>
    <x v="12"/>
    <x v="73"/>
    <x v="34"/>
    <s v="Bangalore"/>
    <s v="Mandeep Singh, CH Gayle, V Kohli, AB de Villiers, KM Jadhav, SR Watson, P Negi, S Aravind, S Badree, A Choudhary, YS Chahal"/>
    <s v="HM Amla, MJ Guptill, SE Marsh, M Vohra, WP Saha, GJ Maxwell, AR Patel, MM Sharma, VR Aaron, Sandeep Sharma, T Natarajan"/>
  </r>
  <r>
    <n v="1082632"/>
    <s v="Delhi Daredevils"/>
    <s v="Gujarat Lions"/>
    <x v="8"/>
    <n v="2017"/>
    <d v="2017-05-04T00:00:00"/>
    <x v="12"/>
    <x v="0"/>
    <s v="Win"/>
    <s v="NA"/>
    <x v="13"/>
    <x v="72"/>
    <x v="35"/>
    <s v="Delhi"/>
    <s v="SV Samson, KK Nair, RR Pant, SS Iyer, CJ Anderson, MN Samuels, PJ Cummins, K Rabada, S Nadeem, A Mishra, Mohammed Shami"/>
    <s v="DR Smith, BB McCullum, SK Raina, KD Karthik, AJ Finch, Ishan Kishan, RA Jadeja, JP Faulkner, PJ Sangwan, Basil Thampi, Ankit Soni"/>
  </r>
  <r>
    <n v="1082631"/>
    <s v="Kolkata Knight Riders"/>
    <s v="Rising Pune Supergiant"/>
    <x v="8"/>
    <n v="2017"/>
    <d v="2017-05-03T00:00:00"/>
    <x v="13"/>
    <x v="0"/>
    <s v="Win"/>
    <s v="NA"/>
    <x v="14"/>
    <x v="111"/>
    <x v="29"/>
    <s v="Kolkata"/>
    <s v="SP Narine, G Gambhir, SP Jackson, MK Pandey, YK Pathan, C de Grandhomme, SA Yadav, CR Woakes, NM Coulter-Nile, UT Yadav, Kuldeep Yadav"/>
    <s v="AM Rahane, RA Tripathi, SPD Smith, MK Tiwary, BA Stokes, MS Dhoni, DT Christian, Washington Sundar, SN Thakur, JD Unadkat, Imran Tahir"/>
  </r>
  <r>
    <n v="1082630"/>
    <s v="Delhi Daredevils"/>
    <s v="Sunrisers Hyderabad"/>
    <x v="8"/>
    <n v="2017"/>
    <d v="2017-05-02T00:00:00"/>
    <x v="12"/>
    <x v="0"/>
    <s v="Win"/>
    <s v="NA"/>
    <x v="13"/>
    <x v="96"/>
    <x v="35"/>
    <s v="Delhi"/>
    <s v="SV Samson, KK Nair, RR Pant, SS Iyer, CJ Anderson, CH Morris, AD Mathews, J Yadav, K Rabada, A Mishra, Mohammed Shami"/>
    <s v="DA Warner, S Dhawan, KS Williamson, Yuvraj Singh, MC Henriques, DJ Hooda, NV Ojha, B Kumar, Rashid Khan, S Kaul, Mohammed Siraj"/>
  </r>
  <r>
    <n v="1082629"/>
    <s v="Rising Pune Supergiant"/>
    <s v="Gujarat Lions"/>
    <x v="8"/>
    <n v="2017"/>
    <d v="2017-05-01T00:00:00"/>
    <x v="13"/>
    <x v="0"/>
    <s v="Win"/>
    <s v="NA"/>
    <x v="14"/>
    <x v="150"/>
    <x v="31"/>
    <s v="Pune"/>
    <s v="AM Rahane, RA Tripathi, SPD Smith, MK Tiwary, BA Stokes, MS Dhoni, DT Christian, Washington Sundar, JD Unadkat, SN Thakur, Imran Tahir"/>
    <s v="Ishan Kishan, BB McCullum, SK Raina, AJ Finch, DR Smith, KD Karthik, RA Jadeja, JP Faulkner, PJ Sangwan, Basil Thampi, Ankit Soni"/>
  </r>
  <r>
    <n v="1082628"/>
    <s v="Mumbai Indians"/>
    <s v="Royal Challengers Bangalore"/>
    <x v="8"/>
    <n v="2017"/>
    <d v="2017-05-01T00:00:00"/>
    <x v="10"/>
    <x v="1"/>
    <s v="Win"/>
    <s v="NA"/>
    <x v="2"/>
    <x v="2"/>
    <x v="26"/>
    <s v="Mumbai"/>
    <s v="PA Patel, JC Buttler, N Rana, RG Sharma, KA Pollard, KH Pandya, KV Sharma, HH Pandya, MJ McClenaghan, SL Malinga, JJ Bumrah"/>
    <s v="V Kohli, Mandeep Singh, TM Head, AB de Villiers, KM Jadhav, SR Watson, P Negi, AF Milne, S Aravind, A Choudhary, YS Chahal"/>
  </r>
  <r>
    <n v="1082626"/>
    <s v="Kings XI Punjab"/>
    <s v="Delhi Daredevils"/>
    <x v="8"/>
    <n v="2017"/>
    <d v="2017-04-30T00:00:00"/>
    <x v="11"/>
    <x v="0"/>
    <s v="Win"/>
    <s v="NA"/>
    <x v="12"/>
    <x v="73"/>
    <x v="37"/>
    <s v="Chandigarh"/>
    <s v="MJ Guptill, HM Amla, M Vohra, SE Marsh, GJ Maxwell, WP Saha, AR Patel, MM Sharma, VR Aaron, Sandeep Sharma, T Natarajan"/>
    <s v="SV Samson, SW Billings, KK Nair, SS Iyer, RR Pant, CJ Anderson, CH Morris, K Rabada, A Mishra, Mohammed Shami, S Nadeem"/>
  </r>
  <r>
    <n v="1082627"/>
    <s v="Sunrisers Hyderabad"/>
    <s v="Kolkata Knight Riders"/>
    <x v="8"/>
    <n v="2017"/>
    <d v="2017-04-30T00:00:00"/>
    <x v="8"/>
    <x v="0"/>
    <s v="Win"/>
    <s v="NA"/>
    <x v="4"/>
    <x v="115"/>
    <x v="33"/>
    <s v="Hyderabad"/>
    <s v="DA Warner, S Dhawan, KS Williamson, Yuvraj Singh, MC Henriques, NV Ojha, Bipul Sharma, B Kumar, Rashid Khan, S Kaul, Mohammed Siraj"/>
    <s v="SP Narine, G Gambhir, RV Uthappa, MK Pandey, YK Pathan, SP Jackson, C de Grandhomme, CR Woakes, NM Coulter-Nile, UT Yadav, Kuldeep Yadav"/>
  </r>
  <r>
    <n v="1082625"/>
    <s v="Gujarat Lions"/>
    <s v="Mumbai Indians"/>
    <x v="8"/>
    <n v="2017"/>
    <d v="2017-04-29T00:00:00"/>
    <x v="14"/>
    <x v="1"/>
    <s v="tie"/>
    <s v="Mumbai Indians"/>
    <x v="9"/>
    <x v="0"/>
    <x v="38"/>
    <s v="Rajkot"/>
    <s v="Ishan Kishan, BB McCullum, SK Raina, AJ Finch, KD Karthik, RA Jadeja, JP Faulkner, IK Pathan, AJ Tye, Basil Thampi, Ankit Soni"/>
    <s v="PA Patel, JC Buttler, N Rana, RG Sharma, KA Pollard, KH Pandya, HH Pandya, Harbhajan Singh, MJ McClenaghan, JJ Bumrah, SL Malinga"/>
  </r>
  <r>
    <n v="1082624"/>
    <s v="Rising Pune Supergiant"/>
    <s v="Royal Challengers Bangalore"/>
    <x v="8"/>
    <n v="2017"/>
    <d v="2017-04-29T00:00:00"/>
    <x v="10"/>
    <x v="0"/>
    <s v="Win"/>
    <s v="NA"/>
    <x v="14"/>
    <x v="128"/>
    <x v="31"/>
    <s v="Pune"/>
    <s v="AM Rahane, RA Tripathi, SPD Smith, MK Tiwary, MS Dhoni, DT Christian, Washington Sundar, LH Ferguson, JD Unadkat, DL Chahar, Imran Tahir"/>
    <s v="TM Head, V Kohli, AB de Villiers, KM Jadhav, Sachin Baby, STR Binny, P Negi, AF Milne, S Badree, S Aravind, YS Chahal"/>
  </r>
  <r>
    <n v="1082622"/>
    <s v="Kolkata Knight Riders"/>
    <s v="Delhi Daredevils"/>
    <x v="8"/>
    <n v="2017"/>
    <d v="2017-04-28T00:00:00"/>
    <x v="8"/>
    <x v="0"/>
    <s v="Win"/>
    <s v="NA"/>
    <x v="10"/>
    <x v="178"/>
    <x v="29"/>
    <s v="Kolkata"/>
    <s v="SP Narine, G Gambhir, RV Uthappa, MK Pandey, SP Jackson, YK Pathan, C de Grandhomme, CR Woakes, NM Coulter-Nile, UT Yadav, Kuldeep Yadav"/>
    <s v="SV Samson, KK Nair, SS Iyer, RR Pant, CH Morris, CJ Anderson, AR Bawne, PJ Cummins, K Rabada, A Mishra, Z Khan"/>
  </r>
  <r>
    <n v="1082623"/>
    <s v="Kings XI Punjab"/>
    <s v="Sunrisers Hyderabad"/>
    <x v="8"/>
    <n v="2017"/>
    <d v="2017-04-28T00:00:00"/>
    <x v="11"/>
    <x v="0"/>
    <s v="Win"/>
    <s v="NA"/>
    <x v="4"/>
    <x v="78"/>
    <x v="37"/>
    <s v="Chandigarh"/>
    <s v="MJ Guptill, M Vohra, SE Marsh, GJ Maxwell, EJG Morgan, WP Saha, AR Patel, Anureet Singh, MM Sharma, I Sharma, KC Cariappa"/>
    <s v="DA Warner, S Dhawan, KS Williamson, Yuvraj Singh, MC Henriques, DJ Hooda, NV Ojha, B Kumar, A Nehra, S Kaul, Rashid Khan"/>
  </r>
  <r>
    <n v="1082621"/>
    <s v="Royal Challengers Bangalore"/>
    <s v="Gujarat Lions"/>
    <x v="8"/>
    <n v="2017"/>
    <d v="2017-04-27T00:00:00"/>
    <x v="14"/>
    <x v="0"/>
    <s v="Win"/>
    <s v="NA"/>
    <x v="15"/>
    <x v="179"/>
    <x v="34"/>
    <s v="Bangalore"/>
    <s v="CH Gayle, V Kohli, AB de Villiers, TM Head, KM Jadhav, Mandeep Singh, P Negi, S Badree, S Aravind, A Choudhary, YS Chahal"/>
    <s v="Ishan Kishan, BB McCullum, SK Raina, AJ Finch, RA Jadeja, KD Karthik, JP Faulkner, AJ Tye, Basil Thampi, NB Singh, Ankit Soni"/>
  </r>
  <r>
    <n v="1082620"/>
    <s v="Rising Pune Supergiant"/>
    <s v="Kolkata Knight Riders"/>
    <x v="8"/>
    <n v="2017"/>
    <d v="2017-04-26T00:00:00"/>
    <x v="8"/>
    <x v="0"/>
    <s v="Win"/>
    <s v="NA"/>
    <x v="10"/>
    <x v="180"/>
    <x v="31"/>
    <s v="Pune"/>
    <s v="AM Rahane, RA Tripathi, SPD Smith, MS Dhoni, MK Tiwary, DT Christian, F du Plessis, Washington Sundar, SN Thakur, JD Unadkat, Imran Tahir"/>
    <s v="SP Narine, G Gambhir, RV Uthappa, DM Bravo, MK Pandey, YK Pathan, C de Grandhomme, CR Woakes, PP Chawla, Kuldeep Yadav, UT Yadav"/>
  </r>
  <r>
    <n v="1082618"/>
    <s v="Mumbai Indians"/>
    <s v="Rising Pune Supergiant"/>
    <x v="8"/>
    <n v="2017"/>
    <d v="2017-04-24T00:00:00"/>
    <x v="1"/>
    <x v="0"/>
    <s v="Win"/>
    <s v="NA"/>
    <x v="14"/>
    <x v="150"/>
    <x v="26"/>
    <s v="Mumbai"/>
    <s v="PA Patel, JC Buttler, N Rana, RG Sharma, KV Sharma, KA Pollard, HH Pandya, Harbhajan Singh, MJ McClenaghan, MG Johnson, JJ Bumrah"/>
    <s v="AM Rahane, RA Tripathi, SPD Smith, MS Dhoni, BA Stokes, MK Tiwary, DT Christian, Washington Sundar, SN Thakur, JD Unadkat, Imran Tahir"/>
  </r>
  <r>
    <n v="1082616"/>
    <s v="Gujarat Lions"/>
    <s v="Kings XI Punjab"/>
    <x v="8"/>
    <n v="2017"/>
    <d v="2017-04-23T00:00:00"/>
    <x v="14"/>
    <x v="0"/>
    <s v="Win"/>
    <s v="NA"/>
    <x v="12"/>
    <x v="181"/>
    <x v="38"/>
    <s v="Rajkot"/>
    <s v="BB McCullum, AJ Finch, SK Raina, KD Karthik, RA Jadeja, DR Smith, AD Nath, AJ Tye, Basil Thampi, SS Agarwal, NB Singh"/>
    <s v="M Vohra, HM Amla, SE Marsh, GJ Maxwell, MP Stoinis, AR Patel, WP Saha, MM Sharma, KC Cariappa, T Natarajan, Sandeep Sharma"/>
  </r>
  <r>
    <n v="1082617"/>
    <s v="Kolkata Knight Riders"/>
    <s v="Royal Challengers Bangalore"/>
    <x v="8"/>
    <n v="2017"/>
    <d v="2017-04-23T00:00:00"/>
    <x v="10"/>
    <x v="0"/>
    <s v="Win"/>
    <s v="NA"/>
    <x v="10"/>
    <x v="134"/>
    <x v="29"/>
    <s v="Kolkata"/>
    <s v="SP Narine, G Gambhir, RV Uthappa, MK Pandey, YK Pathan, SA Yadav, C de Grandhomme, CR Woakes, NM Coulter-Nile, UT Yadav, Kuldeep Yadav"/>
    <s v="CH Gayle, V Kohli, Mandeep Singh, AB de Villiers, KM Jadhav, STR Binny, P Negi, S Badree, TS Mills, S Aravind, YS Chahal"/>
  </r>
  <r>
    <n v="1082614"/>
    <s v="Mumbai Indians"/>
    <s v="Delhi Daredevils"/>
    <x v="8"/>
    <n v="2017"/>
    <d v="2017-04-22T00:00:00"/>
    <x v="12"/>
    <x v="0"/>
    <s v="Win"/>
    <s v="NA"/>
    <x v="2"/>
    <x v="182"/>
    <x v="26"/>
    <s v="Mumbai"/>
    <s v="PA Patel, JC Buttler, N Rana, RG Sharma, KA Pollard, KH Pandya, HH Pandya, Harbhajan Singh, MJ McClenaghan, MG Johnson, JJ Bumrah"/>
    <s v="SV Samson, AP Tare, KK Nair, SS Iyer, CJ Anderson, RR Pant, K Rabada, CH Morris, PJ Cummins, A Mishra, Z Khan"/>
  </r>
  <r>
    <n v="1082615"/>
    <s v="Rising Pune Supergiant"/>
    <s v="Sunrisers Hyderabad"/>
    <x v="8"/>
    <n v="2017"/>
    <d v="2017-04-22T00:00:00"/>
    <x v="13"/>
    <x v="0"/>
    <s v="Win"/>
    <s v="NA"/>
    <x v="14"/>
    <x v="37"/>
    <x v="31"/>
    <s v="Pune"/>
    <s v="AM Rahane, RA Tripathi, SPD Smith, MS Dhoni, BA Stokes, MK Tiwary, DT Christian, Washington Sundar, SN Thakur, JD Unadkat, Imran Tahir"/>
    <s v="DA Warner, S Dhawan, KS Williamson, MC Henriques, DJ Hooda, NV Ojha, Bipul Sharma, B Kumar, Rashid Khan, Mohammed Siraj, S Kaul"/>
  </r>
  <r>
    <n v="1082613"/>
    <s v="Kolkata Knight Riders"/>
    <s v="Gujarat Lions"/>
    <x v="8"/>
    <n v="2017"/>
    <d v="2017-04-21T00:00:00"/>
    <x v="14"/>
    <x v="0"/>
    <s v="Win"/>
    <s v="NA"/>
    <x v="15"/>
    <x v="183"/>
    <x v="29"/>
    <s v="Kolkata"/>
    <s v="SP Narine, G Gambhir, RV Uthappa, MK Pandey, YK Pathan, SA Yadav, Shakib Al Hasan, CR Woakes, NM Coulter-Nile, Kuldeep Yadav, UT Yadav"/>
    <s v="AJ Finch, BB McCullum, SK Raina, KD Karthik, Ishan Kishan, DR Smith, RA Jadeja, JP Faulkner, P Kumar, Basil Thampi, DS Kulkarni"/>
  </r>
  <r>
    <n v="1082612"/>
    <s v="Kings XI Punjab"/>
    <s v="Mumbai Indians"/>
    <x v="8"/>
    <n v="2017"/>
    <d v="2017-04-20T00:00:00"/>
    <x v="1"/>
    <x v="0"/>
    <s v="Win"/>
    <s v="NA"/>
    <x v="2"/>
    <x v="33"/>
    <x v="32"/>
    <s v="Indore"/>
    <s v="HM Amla, SE Marsh, WP Saha, GJ Maxwell, MP Stoinis, AR Patel, Gurkeerat Singh, Swapnil Singh, MM Sharma, Sandeep Sharma, I Sharma"/>
    <s v="PA Patel, JC Buttler, N Rana, HH Pandya, RG Sharma, KA Pollard, KH Pandya, Harbhajan Singh, MJ McClenaghan, SL Malinga, JJ Bumrah"/>
  </r>
  <r>
    <n v="1082611"/>
    <s v="Sunrisers Hyderabad"/>
    <s v="Delhi Daredevils"/>
    <x v="8"/>
    <n v="2017"/>
    <d v="2017-04-19T00:00:00"/>
    <x v="4"/>
    <x v="1"/>
    <s v="Win"/>
    <s v="NA"/>
    <x v="4"/>
    <x v="124"/>
    <x v="33"/>
    <s v="Hyderabad"/>
    <s v="DA Warner, S Dhawan, KS Williamson, Yuvraj Singh, MC Henriques, DJ Hooda, NV Ojha, B Kumar, Rashid Khan, Mohammed Siraj, S Kaul"/>
    <s v="SV Samson, SW Billings, KK Nair, RR Pant, SS Iyer, AD Mathews, CH Morris, J Yadav, PJ Cummins, A Mishra, Z Khan"/>
  </r>
  <r>
    <n v="1082610"/>
    <s v="Gujarat Lions"/>
    <s v="Royal Challengers Bangalore"/>
    <x v="8"/>
    <n v="2017"/>
    <d v="2017-04-18T00:00:00"/>
    <x v="14"/>
    <x v="0"/>
    <s v="Win"/>
    <s v="NA"/>
    <x v="11"/>
    <x v="151"/>
    <x v="38"/>
    <s v="Rajkot"/>
    <s v="DR Smith, BB McCullum, SK Raina, AJ Finch, KD Karthik, RA Jadeja, Ishan Kishan, AJ Tye, Basil Thampi, DS Kulkarni, S Kaushik"/>
    <s v="CH Gayle, V Kohli, TM Head, KM Jadhav, SR Watson, Mandeep Singh, STR Binny, P Negi, AF Milne, S Aravind, YS Chahal"/>
  </r>
  <r>
    <n v="1082608"/>
    <s v="Delhi Daredevils"/>
    <s v="Kolkata Knight Riders"/>
    <x v="8"/>
    <n v="2017"/>
    <d v="2017-04-17T00:00:00"/>
    <x v="12"/>
    <x v="1"/>
    <s v="Win"/>
    <s v="NA"/>
    <x v="10"/>
    <x v="134"/>
    <x v="35"/>
    <s v="Delhi"/>
    <s v="SV Samson, SW Billings, KK Nair, SS Iyer, RR Pant, AD Mathews, CH Morris, PJ Cummins, Mohammed Shami, A Mishra, Z Khan"/>
    <s v="G Gambhir, C de Grandhomme, RV Uthappa, MK Pandey, YK Pathan, SA Yadav, CR Woakes, SP Narine, NM Coulter-Nile, Kuldeep Yadav, UT Yadav"/>
  </r>
  <r>
    <n v="1082609"/>
    <s v="Sunrisers Hyderabad"/>
    <s v="Kings XI Punjab"/>
    <x v="8"/>
    <n v="2017"/>
    <d v="2017-04-17T00:00:00"/>
    <x v="11"/>
    <x v="0"/>
    <s v="Win"/>
    <s v="NA"/>
    <x v="4"/>
    <x v="66"/>
    <x v="33"/>
    <s v="Hyderabad"/>
    <s v="DA Warner, S Dhawan, MC Henriques, Yuvraj Singh, NV Ojha, DJ Hooda, Mohammad Nabi, Rashid Khan, B Kumar, BB Sran, S Kaul"/>
    <s v="HM Amla, M Vohra, GJ Maxwell, EJG Morgan, DA Miller, WP Saha, AR Patel, MM Sharma, KC Cariappa, I Sharma, Sandeep Sharma"/>
  </r>
  <r>
    <n v="1082606"/>
    <s v="Mumbai Indians"/>
    <s v="Gujarat Lions"/>
    <x v="8"/>
    <n v="2017"/>
    <d v="2017-04-16T00:00:00"/>
    <x v="1"/>
    <x v="0"/>
    <s v="Win"/>
    <s v="NA"/>
    <x v="2"/>
    <x v="50"/>
    <x v="26"/>
    <s v="Mumbai"/>
    <s v="PA Patel, JC Buttler, N Rana, RG Sharma, KA Pollard, HH Pandya, KH Pandya, Harbhajan Singh, MJ McClenaghan, SL Malinga, JJ Bumrah"/>
    <s v="DR Smith, BB McCullum, SK Raina, Ishan Kishan, KD Karthik, JJ Roy, RA Jadeja, P Kumar, Basil Thampi, AJ Tye, MM Patel"/>
  </r>
  <r>
    <n v="1082607"/>
    <s v="Royal Challengers Bangalore"/>
    <s v="Rising Pune Supergiant"/>
    <x v="8"/>
    <n v="2017"/>
    <d v="2017-04-16T00:00:00"/>
    <x v="10"/>
    <x v="0"/>
    <s v="Win"/>
    <s v="NA"/>
    <x v="14"/>
    <x v="150"/>
    <x v="34"/>
    <s v="Bangalore"/>
    <s v="V Kohli, Mandeep Singh, AB de Villiers, KM Jadhav, SR Watson, STR Binny, P Negi, AF Milne, S Badree, S Aravind, YS Chahal"/>
    <s v="AM Rahane, RA Tripathi, SPD Smith, MS Dhoni, BA Stokes, DT Christian, MK Tiwary, SN Thakur, JD Unadkat, RD Chahar, Imran Tahir"/>
  </r>
  <r>
    <n v="1082605"/>
    <s v="Delhi Daredevils"/>
    <s v="Kings XI Punjab"/>
    <x v="8"/>
    <n v="2017"/>
    <d v="2017-04-15T00:00:00"/>
    <x v="12"/>
    <x v="1"/>
    <s v="Win"/>
    <s v="NA"/>
    <x v="13"/>
    <x v="184"/>
    <x v="35"/>
    <s v="Delhi"/>
    <s v="SV Samson, SW Billings, KK Nair, SS Iyer, RR Pant, CJ Anderson, CH Morris, PJ Cummins, A Mishra, Z Khan, S Nadeem"/>
    <s v="M Vohra, HM Amla, WP Saha, EJG Morgan, DA Miller, GJ Maxwell, AR Patel, MM Sharma, KC Cariappa, Sandeep Sharma, VR Aaron"/>
  </r>
  <r>
    <n v="1082604"/>
    <s v="Kolkata Knight Riders"/>
    <s v="Sunrisers Hyderabad"/>
    <x v="8"/>
    <n v="2017"/>
    <d v="2017-04-15T00:00:00"/>
    <x v="4"/>
    <x v="0"/>
    <s v="Win"/>
    <s v="NA"/>
    <x v="10"/>
    <x v="180"/>
    <x v="29"/>
    <s v="Kolkata"/>
    <s v="SP Narine, G Gambhir, RV Uthappa, MK Pandey, YK Pathan, SA Yadav, C de Grandhomme, CR Woakes, Kuldeep Yadav, UT Yadav, TA Boult"/>
    <s v="DA Warner, S Dhawan, MC Henriques, Yuvraj Singh, DJ Hooda, BCJ Cutting, NV Ojha, Bipul Sharma, B Kumar, Rashid Khan, A Nehra"/>
  </r>
  <r>
    <n v="1082602"/>
    <s v="Royal Challengers Bangalore"/>
    <s v="Mumbai Indians"/>
    <x v="8"/>
    <n v="2017"/>
    <d v="2017-04-14T00:00:00"/>
    <x v="1"/>
    <x v="0"/>
    <s v="Win"/>
    <s v="NA"/>
    <x v="2"/>
    <x v="135"/>
    <x v="34"/>
    <s v="Bangalore"/>
    <s v="CH Gayle, V Kohli, AB de Villiers, KM Jadhav, P Negi, Mandeep Singh, STR Binny, TS Mills, S Aravind, YS Chahal, S Badree"/>
    <s v="PA Patel, JC Buttler, RG Sharma, MJ McClenaghan, N Rana, KA Pollard, KH Pandya, HH Pandya, Harbhajan Singh, JJ Bumrah, TG Southee"/>
  </r>
  <r>
    <n v="1082603"/>
    <s v="Gujarat Lions"/>
    <s v="Rising Pune Supergiant"/>
    <x v="8"/>
    <n v="2017"/>
    <d v="2017-04-14T00:00:00"/>
    <x v="14"/>
    <x v="0"/>
    <s v="Win"/>
    <s v="NA"/>
    <x v="15"/>
    <x v="179"/>
    <x v="38"/>
    <s v="Rajkot"/>
    <s v="DR Smith, BB McCullum, SK Raina, KD Karthik, AJ Finch, Ishan Kishan, RA Jadeja, P Kumar, Basil Thampi, AJ Tye, SB Jakati"/>
    <s v="AM Rahane, RA Tripathi, SPD Smith, BA Stokes, MK Tiwary, MS Dhoni, Ankit Sharma, SN Thakur, LH Ferguson, RD Chahar, Imran Tahir"/>
  </r>
  <r>
    <n v="1082601"/>
    <s v="Kolkata Knight Riders"/>
    <s v="Kings XI Punjab"/>
    <x v="8"/>
    <n v="2017"/>
    <d v="2017-04-13T00:00:00"/>
    <x v="8"/>
    <x v="0"/>
    <s v="Win"/>
    <s v="NA"/>
    <x v="10"/>
    <x v="24"/>
    <x v="29"/>
    <s v="Kolkata"/>
    <s v="SP Narine, G Gambhir, RV Uthappa, MK Pandey, YK Pathan, SA Yadav, CR Woakes, C de Grandhomme, PP Chawla, UT Yadav, TA Boult"/>
    <s v="HM Amla, M Vohra, MP Stoinis, GJ Maxwell, DA Miller, WP Saha, AR Patel, MM Sharma, VR Aaron, Sandeep Sharma, I Sharma"/>
  </r>
  <r>
    <n v="1082600"/>
    <s v="Mumbai Indians"/>
    <s v="Sunrisers Hyderabad"/>
    <x v="8"/>
    <n v="2017"/>
    <d v="2017-04-12T00:00:00"/>
    <x v="1"/>
    <x v="0"/>
    <s v="Win"/>
    <s v="NA"/>
    <x v="2"/>
    <x v="75"/>
    <x v="26"/>
    <s v="Mumbai"/>
    <s v="PA Patel, JC Buttler, RG Sharma, N Rana, KA Pollard, KH Pandya, HH Pandya, Harbhajan Singh, MJ McClenaghan, SL Malinga, JJ Bumrah"/>
    <s v="S Dhawan, DA Warner, DJ Hooda, Yuvraj Singh, BCJ Cutting, NV Ojha, V Shankar, Rashid Khan, B Kumar, A Nehra, Mustafizur Rahman"/>
  </r>
  <r>
    <n v="1082599"/>
    <s v="Rising Pune Supergiant"/>
    <s v="Delhi Daredevils"/>
    <x v="8"/>
    <n v="2017"/>
    <d v="2017-04-11T00:00:00"/>
    <x v="13"/>
    <x v="0"/>
    <s v="Win"/>
    <s v="NA"/>
    <x v="13"/>
    <x v="70"/>
    <x v="31"/>
    <s v="Pune"/>
    <s v="AM Rahane, MA Agarwal, F du Plessis, RA Tripathi, BA Stokes, MS Dhoni, R Bhatia, DL Chahar, A Zampa, AB Dinda, Imran Tahir"/>
    <s v="AP Tare, SW Billings, SV Samson, RR Pant, CJ Anderson, CH Morris, KK Nair, PJ Cummins, A Mishra, Z Khan, S Nadeem"/>
  </r>
  <r>
    <n v="1082598"/>
    <s v="Kings XI Punjab"/>
    <s v="Royal Challengers Bangalore"/>
    <x v="8"/>
    <n v="2017"/>
    <d v="2017-04-10T00:00:00"/>
    <x v="10"/>
    <x v="1"/>
    <s v="Win"/>
    <s v="NA"/>
    <x v="12"/>
    <x v="99"/>
    <x v="32"/>
    <s v="Indore"/>
    <s v="M Vohra, HM Amla, AR Patel, GJ Maxwell, WP Saha, DA Miller, MP Stoinis, MM Sharma, Sandeep Sharma, VR Aaron, T Natarajan"/>
    <s v="SR Watson, Vishnu Vinod, AB de Villiers, KM Jadhav, Mandeep Singh, STR Binny, P Negi, Iqbal Abdulla, TS Mills, B Stanlake, YS Chahal"/>
  </r>
  <r>
    <n v="1082596"/>
    <s v="Sunrisers Hyderabad"/>
    <s v="Gujarat Lions"/>
    <x v="8"/>
    <n v="2017"/>
    <d v="2017-04-09T00:00:00"/>
    <x v="4"/>
    <x v="0"/>
    <s v="Win"/>
    <s v="NA"/>
    <x v="4"/>
    <x v="78"/>
    <x v="33"/>
    <s v="Hyderabad"/>
    <s v="DA Warner, S Dhawan, MC Henriques, Yuvraj Singh, DJ Hooda, BCJ Cutting, NV Ojha, Bipul Sharma, B Kumar, A Nehra, Rashid Khan"/>
    <s v="JJ Roy, BB McCullum, SK Raina, AJ Finch, KD Karthik, DR Smith, DS Kulkarni, P Kumar, Basil Thampi, Tejas Baroka, S Kaushik"/>
  </r>
  <r>
    <n v="1082597"/>
    <s v="Mumbai Indians"/>
    <s v="Kolkata Knight Riders"/>
    <x v="8"/>
    <n v="2017"/>
    <d v="2017-04-09T00:00:00"/>
    <x v="1"/>
    <x v="0"/>
    <s v="Win"/>
    <s v="NA"/>
    <x v="2"/>
    <x v="50"/>
    <x v="26"/>
    <s v="Mumbai"/>
    <s v="PA Patel, JC Buttler, N Rana, RG Sharma, KH Pandya, KA Pollard, HH Pandya, Harbhajan Singh, MJ McClenaghan, SL Malinga, JJ Bumrah"/>
    <s v="G Gambhir, CA Lynn, RV Uthappa, MK Pandey, YK Pathan, SA Yadav, CR Woakes, SP Narine, Kuldeep Yadav, AS Rajpoot, TA Boult"/>
  </r>
  <r>
    <n v="1082595"/>
    <s v="Royal Challengers Bangalore"/>
    <s v="Delhi Daredevils"/>
    <x v="8"/>
    <n v="2017"/>
    <d v="2017-04-08T00:00:00"/>
    <x v="10"/>
    <x v="1"/>
    <s v="Win"/>
    <s v="NA"/>
    <x v="11"/>
    <x v="185"/>
    <x v="27"/>
    <s v="Bengaluru"/>
    <s v="CH Gayle, SR Watson, Mandeep Singh, KM Jadhav, STR Binny, Vishnu Vinod, P Negi, Iqbal Abdulla, TS Mills, YS Chahal, B Stanlake"/>
    <s v="AP Tare, SW Billings, KK Nair, SV Samson, RR Pant, CH Morris, CR Brathwaite, PJ Cummins, A Mishra, S Nadeem, Z Khan"/>
  </r>
  <r>
    <n v="1082594"/>
    <s v="Kings XI Punjab"/>
    <s v="Rising Pune Supergiant"/>
    <x v="8"/>
    <n v="2017"/>
    <d v="2017-04-08T00:00:00"/>
    <x v="11"/>
    <x v="0"/>
    <s v="Win"/>
    <s v="NA"/>
    <x v="12"/>
    <x v="101"/>
    <x v="32"/>
    <s v="Indore"/>
    <s v="HM Amla, M Vohra, WP Saha, AR Patel, GJ Maxwell, DA Miller, MP Stoinis, Swapnil Singh, MM Sharma, Sandeep Sharma, T Natarajan"/>
    <s v="AM Rahane, MA Agarwal, SPD Smith, BA Stokes, MS Dhoni, MK Tiwary, DT Christian, R Bhatia, RD Chahar, Imran Tahir, AB Dinda"/>
  </r>
  <r>
    <n v="1082593"/>
    <s v="Gujarat Lions"/>
    <s v="Kolkata Knight Riders"/>
    <x v="8"/>
    <n v="2017"/>
    <d v="2017-04-07T00:00:00"/>
    <x v="8"/>
    <x v="0"/>
    <s v="Win"/>
    <s v="NA"/>
    <x v="10"/>
    <x v="168"/>
    <x v="38"/>
    <s v="Rajkot"/>
    <s v="JJ Roy, BB McCullum, SK Raina, AJ Finch, KD Karthik, DR Smith, MS Gony, P Kumar, SB Jakati, DS Kulkarni, S Kaushik"/>
    <s v="G Gambhir, CA Lynn, RV Uthappa, MK Pandey, YK Pathan, SA Yadav, CR Woakes, PP Chawla, Kuldeep Yadav, SP Narine, TA Boult"/>
  </r>
  <r>
    <n v="1082592"/>
    <s v="Rising Pune Supergiant"/>
    <s v="Mumbai Indians"/>
    <x v="8"/>
    <n v="2017"/>
    <d v="2017-04-06T00:00:00"/>
    <x v="13"/>
    <x v="0"/>
    <s v="Win"/>
    <s v="NA"/>
    <x v="14"/>
    <x v="159"/>
    <x v="31"/>
    <s v="Pune"/>
    <s v="AM Rahane, MA Agarwal, SPD Smith, BA Stokes, MS Dhoni, MK Tiwary, R Bhatia, DL Chahar, A Zampa, AB Dinda, Imran Tahir"/>
    <s v="PA Patel, JC Buttler, RG Sharma, N Rana, AT Rayudu, KH Pandya, KA Pollard, HH Pandya, TG Southee, MJ McClenaghan, JJ Bumrah"/>
  </r>
  <r>
    <n v="1082591"/>
    <s v="Sunrisers Hyderabad"/>
    <s v="Royal Challengers Bangalore"/>
    <x v="8"/>
    <n v="2017"/>
    <d v="2017-04-05T00:00:00"/>
    <x v="10"/>
    <x v="0"/>
    <s v="Win"/>
    <s v="NA"/>
    <x v="4"/>
    <x v="186"/>
    <x v="33"/>
    <s v="Hyderabad"/>
    <s v="DA Warner, S Dhawan, MC Henriques, Yuvraj Singh, DJ Hooda, BCJ Cutting, NV Ojha, Bipul Sharma, B Kumar, A Nehra, Rashid Khan"/>
    <s v="CH Gayle, Mandeep Singh, TM Head, KM Jadhav, SR Watson, Sachin Baby, STR Binny, S Aravind, TS Mills, YS Chahal, A Choudhary"/>
  </r>
  <r>
    <n v="981019"/>
    <s v="Royal Challengers Bangalore"/>
    <s v="Sunrisers Hyderabad"/>
    <x v="9"/>
    <n v="2016"/>
    <d v="2016-05-29T00:00:00"/>
    <x v="4"/>
    <x v="1"/>
    <s v="Win"/>
    <s v="NA"/>
    <x v="4"/>
    <x v="187"/>
    <x v="34"/>
    <s v="Bangalore"/>
    <s v="CH Gayle, V Kohli, AB de Villiers, KL Rahul, SR Watson, Sachin Baby, STR Binny, CJ Jordan, Iqbal Abdulla, S Aravind, YS Chahal"/>
    <s v="DA Warner, S Dhawan, MC Henriques, Yuvraj Singh, DJ Hooda, BCJ Cutting, NV Ojha, Bipul Sharma, B Kumar, BB Sran, Mustafizur Rahman"/>
  </r>
  <r>
    <n v="981017"/>
    <s v="Gujarat Lions"/>
    <s v="Sunrisers Hyderabad"/>
    <x v="9"/>
    <n v="2016"/>
    <d v="2016-05-27T00:00:00"/>
    <x v="4"/>
    <x v="0"/>
    <s v="Win"/>
    <s v="NA"/>
    <x v="4"/>
    <x v="115"/>
    <x v="35"/>
    <s v="Delhi"/>
    <s v="ER Dwivedi, BB McCullum, SK Raina, KD Karthik, AJ Finch, DR Smith, RA Jadeja, DJ Bravo, DS Kulkarni, P Kumar, S Kaushik"/>
    <s v="DA Warner, S Dhawan, MC Henriques, Yuvraj Singh, DJ Hooda, BCJ Cutting, NV Ojha, Bipul Sharma, B Kumar, BB Sran, TA Boult"/>
  </r>
  <r>
    <n v="981015"/>
    <s v="Sunrisers Hyderabad"/>
    <s v="Kolkata Knight Riders"/>
    <x v="9"/>
    <n v="2016"/>
    <d v="2016-05-25T00:00:00"/>
    <x v="8"/>
    <x v="0"/>
    <s v="Win"/>
    <s v="NA"/>
    <x v="4"/>
    <x v="188"/>
    <x v="35"/>
    <s v="Delhi"/>
    <s v="DA Warner, S Dhawan, MC Henriques, Yuvraj Singh, DJ Hooda, BCJ Cutting, NV Ojha, B Kumar, Bipul Sharma, BB Sran, Mustafizur Rahman"/>
    <s v="RV Uthappa, G Gambhir, C Munro, MK Pandey, YK Pathan, SA Yadav, R Sathish, JO Holder, SP Narine, M Morkel, Kuldeep Yadav"/>
  </r>
  <r>
    <n v="981013"/>
    <s v="Gujarat Lions"/>
    <s v="Royal Challengers Bangalore"/>
    <x v="9"/>
    <n v="2016"/>
    <d v="2016-05-24T00:00:00"/>
    <x v="10"/>
    <x v="0"/>
    <s v="Win"/>
    <s v="NA"/>
    <x v="11"/>
    <x v="142"/>
    <x v="34"/>
    <s v="Bangalore"/>
    <s v="AJ Finch, BB McCullum, SK Raina, KD Karthik, DR Smith, RA Jadeja, DJ Bravo, ER Dwivedi, P Kumar, DS Kulkarni, SB Jakati"/>
    <s v="CH Gayle, V Kohli, AB de Villiers, KL Rahul, SR Watson, Sachin Baby, STR Binny, Iqbal Abdulla, CJ Jordan, S Aravind, YS Chahal"/>
  </r>
  <r>
    <n v="981009"/>
    <s v="Kolkata Knight Riders"/>
    <s v="Sunrisers Hyderabad"/>
    <x v="9"/>
    <n v="2016"/>
    <d v="2016-05-22T00:00:00"/>
    <x v="4"/>
    <x v="0"/>
    <s v="Win"/>
    <s v="NA"/>
    <x v="10"/>
    <x v="189"/>
    <x v="29"/>
    <s v="Kolkata"/>
    <s v="RV Uthappa, G Gambhir, C Munro, MK Pandey, YK Pathan, JO Holder, Shakib Al Hasan, SA Yadav, AS Rajpoot, SP Narine, Kuldeep Yadav"/>
    <s v="S Dhawan, DA Warner, NV Ojha, Yuvraj Singh, KS Williamson, DJ Hooda, MC Henriques, KV Sharma, B Kumar, BB Sran, Mustafizur Rahman"/>
  </r>
  <r>
    <n v="981011"/>
    <s v="Delhi Daredevils"/>
    <s v="Royal Challengers Bangalore"/>
    <x v="9"/>
    <n v="2016"/>
    <d v="2016-05-22T00:00:00"/>
    <x v="10"/>
    <x v="0"/>
    <s v="Win"/>
    <s v="NA"/>
    <x v="11"/>
    <x v="31"/>
    <x v="39"/>
    <s v="Raipur"/>
    <s v="Q de Kock, RR Pant, KK Nair, SV Samson, SW Billings, P Negi, CR Brathwaite, CH Morris, J Yadav, A Mishra, Z Khan"/>
    <s v="CH Gayle, V Kohli, AB de Villiers, KL Rahul, SR Watson, STR Binny, Sachin Baby, CJ Jordan, Iqbal Abdulla, S Aravind, YS Chahal"/>
  </r>
  <r>
    <n v="981005"/>
    <s v="Rising Pune Supergiants"/>
    <s v="Kings XI Punjab"/>
    <x v="9"/>
    <n v="2016"/>
    <d v="2016-05-21T00:00:00"/>
    <x v="11"/>
    <x v="1"/>
    <s v="Win"/>
    <s v="NA"/>
    <x v="16"/>
    <x v="37"/>
    <x v="23"/>
    <s v="Visakhapatnam"/>
    <s v="AM Rahane, UT Khawaja, GJ Bailey, SS Tiwary, MS Dhoni, IK Pathan, NLTC Perera, R Ashwin, A Zampa, AB Dinda, DL Chahar"/>
    <s v="HM Amla, M Vijay, WP Saha, Gurkeerat Singh, DA Miller, F Behardien, AR Patel, R Dhawan, KJ Abbott, MM Sharma, Sandeep Sharma"/>
  </r>
  <r>
    <n v="981007"/>
    <s v="Gujarat Lions"/>
    <s v="Mumbai Indians"/>
    <x v="9"/>
    <n v="2016"/>
    <d v="2016-05-21T00:00:00"/>
    <x v="14"/>
    <x v="0"/>
    <s v="Win"/>
    <s v="NA"/>
    <x v="15"/>
    <x v="183"/>
    <x v="36"/>
    <s v="Kanpur"/>
    <s v="AJ Finch, BB McCullum, SK Raina, KD Karthik, DR Smith, RA Jadeja, DJ Bravo, ER Dwivedi, SB Jakati, P Kumar, DS Kulkarni"/>
    <s v="RG Sharma, MJ Guptill, N Rana, KH Pandya, JC Buttler, KA Pollard, HH Pandya, Harbhajan Singh, R Vinay Kumar, MJ McClenaghan, JJ Bumrah"/>
  </r>
  <r>
    <n v="981003"/>
    <s v="Delhi Daredevils"/>
    <s v="Sunrisers Hyderabad"/>
    <x v="9"/>
    <n v="2016"/>
    <d v="2016-05-20T00:00:00"/>
    <x v="12"/>
    <x v="0"/>
    <s v="Win"/>
    <s v="NA"/>
    <x v="13"/>
    <x v="175"/>
    <x v="39"/>
    <s v="Raipur"/>
    <s v="Q de Kock, RR Pant, KK Nair, JP Duminy, CR Brathwaite, SV Samson, P Negi, A Mishra, Z Khan, J Yadav, NM Coulter-Nile"/>
    <s v="DA Warner, S Dhawan, DJ Hooda, Yuvraj Singh, MC Henriques, EJG Morgan, NV Ojha, B Kumar, KV Sharma, Mustafizur Rahman, BB Sran"/>
  </r>
  <r>
    <n v="981001"/>
    <s v="Gujarat Lions"/>
    <s v="Kolkata Knight Riders"/>
    <x v="9"/>
    <n v="2016"/>
    <d v="2016-05-19T00:00:00"/>
    <x v="14"/>
    <x v="0"/>
    <s v="Win"/>
    <s v="NA"/>
    <x v="15"/>
    <x v="176"/>
    <x v="36"/>
    <s v="Kanpur"/>
    <s v="DR Smith, BB McCullum, SK Raina, KD Karthik, AJ Finch, RA Jadeja, DJ Bravo, ER Dwivedi, P Kumar, SB Jakati, DS Kulkarni"/>
    <s v="RV Uthappa, G Gambhir, MK Pandey, PP Chawla, YK Pathan, Shakib Al Hasan, SA Yadav, JO Holder, SP Narine, M Morkel, AS Rajpoot"/>
  </r>
  <r>
    <n v="980999"/>
    <s v="Royal Challengers Bangalore"/>
    <s v="Kings XI Punjab"/>
    <x v="9"/>
    <n v="2016"/>
    <d v="2016-05-18T00:00:00"/>
    <x v="11"/>
    <x v="0"/>
    <s v="Win"/>
    <s v="NA"/>
    <x v="11"/>
    <x v="31"/>
    <x v="34"/>
    <s v="Bangalore"/>
    <s v="CH Gayle, V Kohli, AB de Villiers, KL Rahul, SR Watson, Sachin Baby, STR Binny, CJ Jordan, S Aravind, VR Aaron, YS Chahal"/>
    <s v="M Vijay, HM Amla, WP Saha, DA Miller, Gurkeerat Singh, AR Patel, F Behardien, KJ Abbott, MM Sharma, KC Cariappa, Sandeep Sharma"/>
  </r>
  <r>
    <n v="980997"/>
    <s v="Rising Pune Supergiants"/>
    <s v="Delhi Daredevils"/>
    <x v="9"/>
    <n v="2016"/>
    <d v="2016-05-17T00:00:00"/>
    <x v="15"/>
    <x v="0"/>
    <s v="Win"/>
    <s v="NA"/>
    <x v="16"/>
    <x v="190"/>
    <x v="23"/>
    <s v="Visakhapatnam"/>
    <s v="AM Rahane, UT Khawaja, GJ Bailey, SS Tiwary, IK Pathan, MS Dhoni, NLTC Perera, R Ashwin, A Zampa, AB Dinda, DL Chahar"/>
    <s v="Q de Kock, SS Iyer, KK Nair, SV Samson, RR Pant, JP Duminy, CH Morris, NM Coulter-Nile, A Mishra, Z Khan, Mohammed Shami"/>
  </r>
  <r>
    <n v="980995"/>
    <s v="Kolkata Knight Riders"/>
    <s v="Royal Challengers Bangalore"/>
    <x v="9"/>
    <n v="2016"/>
    <d v="2016-05-16T00:00:00"/>
    <x v="10"/>
    <x v="0"/>
    <s v="Win"/>
    <s v="NA"/>
    <x v="11"/>
    <x v="31"/>
    <x v="29"/>
    <s v="Kolkata"/>
    <s v="RV Uthappa, G Gambhir, MK Pandey, YK Pathan, AD Russell, SA Yadav, Shakib Al Hasan, PP Chawla, SP Narine, AS Rajpoot, M Morkel"/>
    <s v="CH Gayle, V Kohli, AB de Villiers, SR Watson, KL Rahul, Sachin Baby, STR Binny, CJ Jordan, S Aravind, Iqbal Abdulla, YS Chahal"/>
  </r>
  <r>
    <n v="980993"/>
    <s v="Mumbai Indians"/>
    <s v="Delhi Daredevils"/>
    <x v="9"/>
    <n v="2016"/>
    <d v="2016-05-15T00:00:00"/>
    <x v="12"/>
    <x v="0"/>
    <s v="Win"/>
    <s v="NA"/>
    <x v="2"/>
    <x v="0"/>
    <x v="23"/>
    <s v="Visakhapatnam"/>
    <s v="RG Sharma, MJ Guptill, KH Pandya, KA Pollard, JC Buttler, AT Rayudu, N Rana, Harbhajan Singh, R Vinay Kumar, MJ McClenaghan, JJ Bumrah"/>
    <s v="MA Agarwal, Q de Kock, KK Nair, SV Samson, RR Pant, JP Duminy, CH Morris, A Mishra, S Nadeem, Imran Tahir, Z Khan"/>
  </r>
  <r>
    <n v="980991"/>
    <s v="Kings XI Punjab"/>
    <s v="Sunrisers Hyderabad"/>
    <x v="9"/>
    <n v="2016"/>
    <d v="2016-05-15T00:00:00"/>
    <x v="11"/>
    <x v="1"/>
    <s v="Win"/>
    <s v="NA"/>
    <x v="4"/>
    <x v="181"/>
    <x v="37"/>
    <s v="Chandigarh"/>
    <s v="HM Amla, M Vijay, WP Saha, Gurkeerat Singh, DA Miller, GJ Maxwell, MP Stoinis, AR Patel, MM Sharma, Sandeep Sharma, Anureet Singh"/>
    <s v="DA Warner, S Dhawan, DJ Hooda, Yuvraj Singh, BCJ Cutting, MC Henriques, NV Ojha, KV Sharma, B Kumar, A Nehra, Mustafizur Rahman"/>
  </r>
  <r>
    <n v="980989"/>
    <s v="Kolkata Knight Riders"/>
    <s v="Rising Pune Supergiants"/>
    <x v="9"/>
    <n v="2016"/>
    <d v="2016-05-14T00:00:00"/>
    <x v="15"/>
    <x v="1"/>
    <s v="Win"/>
    <s v="NA"/>
    <x v="10"/>
    <x v="189"/>
    <x v="29"/>
    <s v="Kolkata"/>
    <s v="RV Uthappa, G Gambhir, MK Pandey, YK Pathan, Shakib Al Hasan, SA Yadav, AD Russell, PP Chawla, SP Narine, AS Rajpoot, M Morkel"/>
    <s v="AM Rahane, UT Khawaja, GJ Bailey, SS Tiwary, IK Pathan, MS Dhoni, NLTC Perera, R Ashwin, A Zampa, M Ashwin, AB Dinda"/>
  </r>
  <r>
    <n v="980987"/>
    <s v="Royal Challengers Bangalore"/>
    <s v="Gujarat Lions"/>
    <x v="9"/>
    <n v="2016"/>
    <d v="2016-05-14T00:00:00"/>
    <x v="14"/>
    <x v="0"/>
    <s v="Win"/>
    <s v="NA"/>
    <x v="11"/>
    <x v="142"/>
    <x v="34"/>
    <s v="Bangalore"/>
    <s v="CH Gayle, V Kohli, AB de Villiers, SR Watson, KL Rahul, Sachin Baby, STR Binny, CJ Jordan, S Aravind, VR Aaron, YS Chahal"/>
    <s v="DR Smith, BB McCullum, RA Jadeja, KD Karthik, AJ Finch, DJ Bravo, AD Nath, P Kumar, DS Kulkarni, PV Tambe, S Kaushik"/>
  </r>
  <r>
    <n v="980985"/>
    <s v="Mumbai Indians"/>
    <s v="Kings XI Punjab"/>
    <x v="9"/>
    <n v="2016"/>
    <d v="2016-05-13T00:00:00"/>
    <x v="1"/>
    <x v="1"/>
    <s v="Win"/>
    <s v="NA"/>
    <x v="12"/>
    <x v="67"/>
    <x v="23"/>
    <s v="Visakhapatnam"/>
    <s v="RG Sharma, UBT Chand, AT Rayudu, N Rana, JC Buttler, KA Pollard, KH Pandya, Harbhajan Singh, TG Southee, MJ McClenaghan, JJ Bumrah"/>
    <s v="M Vijay, HM Amla, WP Saha, GJ Maxwell, Gurkeerat Singh, DA Miller, MP Stoinis, AR Patel, MM Sharma, Sandeep Sharma, KC Cariappa"/>
  </r>
  <r>
    <n v="980983"/>
    <s v="Sunrisers Hyderabad"/>
    <s v="Delhi Daredevils"/>
    <x v="9"/>
    <n v="2016"/>
    <d v="2016-05-12T00:00:00"/>
    <x v="12"/>
    <x v="0"/>
    <s v="Win"/>
    <s v="NA"/>
    <x v="13"/>
    <x v="144"/>
    <x v="33"/>
    <s v="Hyderabad"/>
    <s v="DA Warner, S Dhawan, KS Williamson, Yuvraj Singh, MC Henriques, DJ Hooda, NV Ojha, B Kumar, BB Sran, A Nehra, Mustafizur Rahman"/>
    <s v="Q de Kock, MA Agarwal, KK Nair, SV Samson, RR Pant, JP Duminy, J Yadav, CH Morris, A Mishra, NM Coulter-Nile, Mohammed Shami"/>
  </r>
  <r>
    <n v="980981"/>
    <s v="Royal Challengers Bangalore"/>
    <s v="Mumbai Indians"/>
    <x v="9"/>
    <n v="2016"/>
    <d v="2016-05-11T00:00:00"/>
    <x v="1"/>
    <x v="0"/>
    <s v="Win"/>
    <s v="NA"/>
    <x v="2"/>
    <x v="0"/>
    <x v="34"/>
    <s v="Bangalore"/>
    <s v="V Kohli, CH Gayle, AB de Villiers, KL Rahul, SR Watson, Sachin Baby, STR Binny, CJ Jordan, S Aravind, VR Aaron, YS Chahal"/>
    <s v="RG Sharma, PA Patel, AT Rayudu, N Rana, KA Pollard, JC Buttler, KH Pandya, Harbhajan Singh, TG Southee, MJ McClenaghan, JJ Bumrah"/>
  </r>
  <r>
    <n v="980979"/>
    <s v="Rising Pune Supergiants"/>
    <s v="Sunrisers Hyderabad"/>
    <x v="9"/>
    <n v="2016"/>
    <d v="2016-05-10T00:00:00"/>
    <x v="4"/>
    <x v="1"/>
    <s v="Win"/>
    <s v="NA"/>
    <x v="4"/>
    <x v="191"/>
    <x v="23"/>
    <s v="Visakhapatnam"/>
    <s v="AM Rahane, UT Khawaja, GJ Bailey, R Ashwin, SS Tiwary, MS Dhoni, NLTC Perera, R Bhatia, A Zampa, AB Dinda, RP Singh"/>
    <s v="DA Warner, S Dhawan, KS Williamson, Yuvraj Singh, MC Henriques, DJ Hooda, NV Ojha, B Kumar, BB Sran, A Nehra, Mustafizur Rahman"/>
  </r>
  <r>
    <n v="980977"/>
    <s v="Kings XI Punjab"/>
    <s v="Royal Challengers Bangalore"/>
    <x v="9"/>
    <n v="2016"/>
    <d v="2016-05-09T00:00:00"/>
    <x v="11"/>
    <x v="0"/>
    <s v="Win"/>
    <s v="NA"/>
    <x v="11"/>
    <x v="154"/>
    <x v="37"/>
    <s v="Chandigarh"/>
    <s v="HM Amla, M Vijay, WP Saha, DA Miller, MP Stoinis, F Behardien, AR Patel, MM Sharma, Anureet Singh, Sandeep Sharma, KC Cariappa"/>
    <s v="V Kohli, KL Rahul, AB de Villiers, SR Watson, Sachin Baby, TM Head, STR Binny, CJ Jordan, Iqbal Abdulla, VR Aaron, YS Chahal"/>
  </r>
  <r>
    <n v="980973"/>
    <s v="Mumbai Indians"/>
    <s v="Sunrisers Hyderabad"/>
    <x v="9"/>
    <n v="2016"/>
    <d v="2016-05-08T00:00:00"/>
    <x v="1"/>
    <x v="0"/>
    <s v="Win"/>
    <s v="NA"/>
    <x v="4"/>
    <x v="192"/>
    <x v="23"/>
    <s v="Visakhapatnam"/>
    <s v="RG Sharma, PA Patel, AT Rayudu, KH Pandya, JC Buttler, KA Pollard, HH Pandya, Harbhajan Singh, TG Southee, MJ McClenaghan, JJ Bumrah"/>
    <s v="DA Warner, S Dhawan, KS Williamson, Yuvraj Singh, MC Henriques, DJ Hooda, NV Ojha, B Kumar, BB Sran, A Nehra, Mustafizur Rahman"/>
  </r>
  <r>
    <n v="980975"/>
    <s v="Kolkata Knight Riders"/>
    <s v="Gujarat Lions"/>
    <x v="9"/>
    <n v="2016"/>
    <d v="2016-05-08T00:00:00"/>
    <x v="14"/>
    <x v="0"/>
    <s v="Win"/>
    <s v="NA"/>
    <x v="15"/>
    <x v="193"/>
    <x v="29"/>
    <s v="Kolkata"/>
    <s v="RV Uthappa, G Gambhir, MK Pandey, SA Yadav, Shakib Al Hasan, YK Pathan, AD Russell, GB Hogg, PP Chawla, M Morkel, UT Yadav"/>
    <s v="DR Smith, BB McCullum, SK Raina, KD Karthik, AJ Finch, RA Jadeja, DJ Bravo, P Kumar, DS Kulkarni, S Kaushik, PV Tambe"/>
  </r>
  <r>
    <n v="980971"/>
    <s v="Kings XI Punjab"/>
    <s v="Delhi Daredevils"/>
    <x v="9"/>
    <n v="2016"/>
    <d v="2016-05-07T00:00:00"/>
    <x v="12"/>
    <x v="0"/>
    <s v="Win"/>
    <s v="NA"/>
    <x v="12"/>
    <x v="67"/>
    <x v="37"/>
    <s v="Chandigarh"/>
    <s v="M Vijay, MP Stoinis, HM Amla, WP Saha, GJ Maxwell, DA Miller, AR Patel, Gurkeerat Singh, MM Sharma, Sandeep Sharma, KC Cariappa"/>
    <s v="Q de Kock, SV Samson, KK Nair, SW Billings, CR Brathwaite, CH Morris, RR Pant, A Mishra, Mohammed Shami, Z Khan, S Nadeem"/>
  </r>
  <r>
    <n v="980969"/>
    <s v="Royal Challengers Bangalore"/>
    <s v="Rising Pune Supergiants"/>
    <x v="9"/>
    <n v="2016"/>
    <d v="2016-05-07T00:00:00"/>
    <x v="10"/>
    <x v="0"/>
    <s v="Win"/>
    <s v="NA"/>
    <x v="11"/>
    <x v="31"/>
    <x v="34"/>
    <s v="Bangalore"/>
    <s v="V Kohli, KL Rahul, AB de Villiers, SR Watson, TM Head, Sachin Baby, STR Binny, Parvez Rasool, CJ Jordan, VR Aaron, YS Chahal"/>
    <s v="AM Rahane, UT Khawaja, SS Tiwary, MS Dhoni, NLTC Perera, GJ Bailey, R Bhatia, R Ashwin, A Zampa, AB Dinda, RP Singh"/>
  </r>
  <r>
    <n v="980967"/>
    <s v="Sunrisers Hyderabad"/>
    <s v="Gujarat Lions"/>
    <x v="9"/>
    <n v="2016"/>
    <d v="2016-05-06T00:00:00"/>
    <x v="4"/>
    <x v="0"/>
    <s v="Win"/>
    <s v="NA"/>
    <x v="4"/>
    <x v="66"/>
    <x v="33"/>
    <s v="Hyderabad"/>
    <s v="DA Warner, S Dhawan, KS Williamson, MC Henriques, Yuvraj Singh, DJ Hooda, NV Ojha, B Kumar, BB Sran, A Nehra, Mustafizur Rahman"/>
    <s v="DR Smith, BB McCullum, SK Raina, KD Karthik, AJ Finch, DJ Bravo, RA Jadeja, P Kumar, PJ Sangwan, DS Kulkarni, S Kaushik"/>
  </r>
  <r>
    <n v="980965"/>
    <s v="Delhi Daredevils"/>
    <s v="Rising Pune Supergiants"/>
    <x v="9"/>
    <n v="2016"/>
    <d v="2016-05-05T00:00:00"/>
    <x v="15"/>
    <x v="0"/>
    <s v="Win"/>
    <s v="NA"/>
    <x v="16"/>
    <x v="100"/>
    <x v="35"/>
    <s v="Delhi"/>
    <s v="RR Pant, SV Samson, KK Nair, JP Duminy, SW Billings, CR Brathwaite, P Negi, J Yadav, Mohammed Shami, A Mishra, Imran Tahir"/>
    <s v="AM Rahane, UT Khawaja, SS Tiwary, MS Dhoni, NLTC Perera, GJ Bailey, R Bhatia, SM Boland, R Ashwin, AB Dinda, M Ashwin"/>
  </r>
  <r>
    <n v="980963"/>
    <s v="Kolkata Knight Riders"/>
    <s v="Kings XI Punjab"/>
    <x v="9"/>
    <n v="2016"/>
    <d v="2016-05-04T00:00:00"/>
    <x v="11"/>
    <x v="0"/>
    <s v="Win"/>
    <s v="NA"/>
    <x v="10"/>
    <x v="20"/>
    <x v="29"/>
    <s v="Kolkata"/>
    <s v="RV Uthappa, G Gambhir, YK Pathan, AD Russell, MK Pandey, SA Yadav, Shakib Al Hasan, GB Hogg, PP Chawla, M Morkel, UT Yadav"/>
    <s v="M Vijay, MP Stoinis, M Vohra, WP Saha, GJ Maxwell, DA Miller, Gurkeerat Singh, AR Patel, Swapnil Singh, MM Sharma, Sandeep Sharma"/>
  </r>
  <r>
    <n v="980961"/>
    <s v="Gujarat Lions"/>
    <s v="Delhi Daredevils"/>
    <x v="9"/>
    <n v="2016"/>
    <d v="2016-05-03T00:00:00"/>
    <x v="12"/>
    <x v="0"/>
    <s v="Win"/>
    <s v="NA"/>
    <x v="13"/>
    <x v="72"/>
    <x v="38"/>
    <s v="Rajkot"/>
    <s v="DR Smith, BB McCullum, AJ Finch, SK Raina, KD Karthik, RA Jadeja, JP Faulkner, Ishan Kishan, P Kumar, DS Kulkarni, S Kaushik"/>
    <s v="Q de Kock, RR Pant, SV Samson, JP Duminy, KK Nair, SW Billings, CH Morris, A Mishra, Mohammed Shami, Z Khan, S Nadeem"/>
  </r>
  <r>
    <n v="980959"/>
    <s v="Royal Challengers Bangalore"/>
    <s v="Kolkata Knight Riders"/>
    <x v="9"/>
    <n v="2016"/>
    <d v="2016-05-02T00:00:00"/>
    <x v="8"/>
    <x v="0"/>
    <s v="Win"/>
    <s v="NA"/>
    <x v="10"/>
    <x v="20"/>
    <x v="34"/>
    <s v="Bangalore"/>
    <s v="KL Rahul, CH Gayle, V Kohli, AB de Villiers, SR Watson, Sachin Baby, STR Binny, VR Aaron, S Aravind, YS Chahal, T Shamsi"/>
    <s v="RV Uthappa, G Gambhir, CA Lynn, MK Pandey, YK Pathan, AD Russell, SA Yadav, PP Chawla, UT Yadav, SP Narine, M Morkel"/>
  </r>
  <r>
    <n v="980955"/>
    <s v="Gujarat Lions"/>
    <s v="Kings XI Punjab"/>
    <x v="9"/>
    <n v="2016"/>
    <d v="2016-05-01T00:00:00"/>
    <x v="14"/>
    <x v="0"/>
    <s v="Win"/>
    <s v="NA"/>
    <x v="12"/>
    <x v="99"/>
    <x v="38"/>
    <s v="Rajkot"/>
    <s v="DR Smith, BB McCullum, SK Raina, KD Karthik, RA Jadeja, DJ Bravo, Ishan Kishan, JP Faulkner, P Kumar, DS Kulkarni, S Kaushik"/>
    <s v="M Vijay, MP Stoinis, SE Marsh, GJ Maxwell, Gurkeerat Singh, DA Miller, WP Saha, AR Patel, MM Sharma, KC Cariappa, Sandeep Sharma"/>
  </r>
  <r>
    <n v="980957"/>
    <s v="Rising Pune Supergiants"/>
    <s v="Mumbai Indians"/>
    <x v="9"/>
    <n v="2016"/>
    <d v="2016-05-01T00:00:00"/>
    <x v="1"/>
    <x v="0"/>
    <s v="Win"/>
    <s v="NA"/>
    <x v="2"/>
    <x v="2"/>
    <x v="31"/>
    <s v="Pune"/>
    <s v="AM Rahane, SS Tiwary, SPD Smith, PSP Handscomb, MS Dhoni, NLTC Perera, R Bhatia, SM Boland, R Ashwin, AB Dinda, M Ashwin"/>
    <s v="RG Sharma, PA Patel, AT Rayudu, JC Buttler, KH Pandya, KA Pollard, HH Pandya, Harbhajan Singh, JJ Bumrah, TG Southee, MJ McClenaghan"/>
  </r>
  <r>
    <n v="980953"/>
    <s v="Sunrisers Hyderabad"/>
    <s v="Royal Challengers Bangalore"/>
    <x v="9"/>
    <n v="2016"/>
    <d v="2016-04-30T00:00:00"/>
    <x v="10"/>
    <x v="0"/>
    <s v="Win"/>
    <s v="NA"/>
    <x v="4"/>
    <x v="115"/>
    <x v="33"/>
    <s v="Hyderabad"/>
    <s v="DA Warner, S Dhawan, KS Williamson, MC Henriques, NV Ojha, DJ Hooda, A Ashish Reddy, BB Sran, B Kumar, A Nehra, Mustafizur Rahman"/>
    <s v="V Kohli, KL Rahul, AB de Villiers, SR Watson, Sachin Baby, KM Jadhav, Parvez Rasool, VR Aaron, HV Patel, KW Richardson, T Shamsi"/>
  </r>
  <r>
    <n v="980951"/>
    <s v="Delhi Daredevils"/>
    <s v="Kolkata Knight Riders"/>
    <x v="9"/>
    <n v="2016"/>
    <d v="2016-04-30T00:00:00"/>
    <x v="8"/>
    <x v="0"/>
    <s v="Win"/>
    <s v="NA"/>
    <x v="13"/>
    <x v="194"/>
    <x v="35"/>
    <s v="Delhi"/>
    <s v="Q de Kock, SS Iyer, SV Samson, KK Nair, SW Billings, CH Morris, CR Brathwaite, RR Pant, Mohammed Shami, A Mishra, Z Khan"/>
    <s v="RV Uthappa, G Gambhir, PP Chawla, YK Pathan, SA Yadav, R Sathish, AD Russell, JO Holder, UT Yadav, SP Narine, GB Hogg"/>
  </r>
  <r>
    <n v="980949"/>
    <s v="Rising Pune Supergiants"/>
    <s v="Gujarat Lions"/>
    <x v="9"/>
    <n v="2016"/>
    <d v="2016-04-29T00:00:00"/>
    <x v="14"/>
    <x v="0"/>
    <s v="Win"/>
    <s v="NA"/>
    <x v="15"/>
    <x v="176"/>
    <x v="31"/>
    <s v="Pune"/>
    <s v="AM Rahane, SS Tiwary, SPD Smith, MS Dhoni, NLTC Perera, JA Morkel, R Bhatia, PSP Handscomb, R Ashwin, M Ashwin, AB Dinda"/>
    <s v="DR Smith, BB McCullum, SK Raina, KD Karthik, DJ Bravo, RA Jadeja, JP Faulkner, Ishan Kishan, P Kumar, DS Kulkarni, S Kaushik"/>
  </r>
  <r>
    <n v="980947"/>
    <s v="Mumbai Indians"/>
    <s v="Kolkata Knight Riders"/>
    <x v="9"/>
    <n v="2016"/>
    <d v="2016-04-28T00:00:00"/>
    <x v="1"/>
    <x v="0"/>
    <s v="Win"/>
    <s v="NA"/>
    <x v="2"/>
    <x v="2"/>
    <x v="26"/>
    <s v="Mumbai"/>
    <s v="RG Sharma, PA Patel, AT Rayudu, KH Pandya, JC Buttler, KA Pollard, HH Pandya, Harbhajan Singh, JJ Bumrah, TG Southee, MJ McClenaghan"/>
    <s v="RV Uthappa, G Gambhir, Shakib Al Hasan, SA Yadav, AD Russell, CA Lynn, YK Pathan, R Sathish, UT Yadav, SP Narine, JD Unadkat"/>
  </r>
  <r>
    <n v="980945"/>
    <s v="Delhi Daredevils"/>
    <s v="Gujarat Lions"/>
    <x v="9"/>
    <n v="2016"/>
    <d v="2016-04-27T00:00:00"/>
    <x v="12"/>
    <x v="0"/>
    <s v="Win"/>
    <s v="NA"/>
    <x v="15"/>
    <x v="144"/>
    <x v="35"/>
    <s v="Delhi"/>
    <s v="Q de Kock, SV Samson, KK Nair, JP Duminy, RR Pant, CH Morris, P Negi, A Mishra, Z Khan, S Nadeem, Imran Tahir"/>
    <s v="DR Smith, BB McCullum, SK Raina, KD Karthik, RA Jadeja, Ishan Kishan, DJ Bravo, JP Faulkner, P Kumar, DS Kulkarni, PV Tambe"/>
  </r>
  <r>
    <n v="980943"/>
    <s v="Sunrisers Hyderabad"/>
    <s v="Rising Pune Supergiants"/>
    <x v="9"/>
    <n v="2016"/>
    <d v="2016-04-26T00:00:00"/>
    <x v="15"/>
    <x v="0"/>
    <s v="Win"/>
    <s v="NA"/>
    <x v="16"/>
    <x v="190"/>
    <x v="33"/>
    <s v="Hyderabad"/>
    <s v="DA Warner, S Dhawan, AP Tare, EJG Morgan, DJ Hooda, MC Henriques, NV Ojha, Bipul Sharma, B Kumar, A Nehra, Mustafizur Rahman"/>
    <s v="AM Rahane, F du Plessis, SPD Smith, MS Dhoni, SS Tiwary, NLTC Perera, MR Marsh, R Bhatia, R Ashwin, M Ashwin, AB Dinda"/>
  </r>
  <r>
    <n v="980941"/>
    <s v="Kings XI Punjab"/>
    <s v="Mumbai Indians"/>
    <x v="9"/>
    <n v="2016"/>
    <d v="2016-04-25T00:00:00"/>
    <x v="11"/>
    <x v="0"/>
    <s v="Win"/>
    <s v="NA"/>
    <x v="2"/>
    <x v="158"/>
    <x v="37"/>
    <s v="Chandigarh"/>
    <s v="M Vijay, M Vohra, SE Marsh, GJ Maxwell, DA Miller, NS Naik, AR Patel, MG Johnson, MM Sharma, P Sahu, Sandeep Sharma"/>
    <s v="RG Sharma, PA Patel, AT Rayudu, JC Buttler, KA Pollard, HH Pandya, KH Pandya, Harbhajan Singh, TG Southee, MJ McClenaghan, JJ Bumrah"/>
  </r>
  <r>
    <n v="980937"/>
    <s v="Gujarat Lions"/>
    <s v="Royal Challengers Bangalore"/>
    <x v="9"/>
    <n v="2016"/>
    <d v="2016-04-24T00:00:00"/>
    <x v="10"/>
    <x v="1"/>
    <s v="Win"/>
    <s v="NA"/>
    <x v="15"/>
    <x v="31"/>
    <x v="38"/>
    <s v="Rajkot"/>
    <s v="DR Smith, BB McCullum, SK Raina, KD Karthik, RA Jadeja, DJ Bravo, AJ Finch, P Kumar, DS Kulkarni, SB Jakati, PV Tambe"/>
    <s v="V Kohli, SR Watson, AB de Villiers, KL Rahul, SN Khan, KM Jadhav, STR Binny, Iqbal Abdulla, YS Chahal, KW Richardson, T Shamsi"/>
  </r>
  <r>
    <n v="980939"/>
    <s v="Rising Pune Supergiants"/>
    <s v="Kolkata Knight Riders"/>
    <x v="9"/>
    <n v="2016"/>
    <d v="2016-04-24T00:00:00"/>
    <x v="8"/>
    <x v="0"/>
    <s v="Win"/>
    <s v="NA"/>
    <x v="10"/>
    <x v="11"/>
    <x v="31"/>
    <s v="Pune"/>
    <s v="AM Rahane, F du Plessis, SPD Smith, NLTC Perera, JA Morkel, MS Dhoni, R Bhatia, SS Tiwary, R Ashwin, Ankit Sharma, M Ashwin"/>
    <s v="RV Uthappa, G Gambhir, SA Yadav, Shakib Al Hasan, YK Pathan, AD Russell, R Sathish, PP Chawla, UT Yadav, SP Narine, M Morkel"/>
  </r>
  <r>
    <n v="980935"/>
    <s v="Sunrisers Hyderabad"/>
    <s v="Kings XI Punjab"/>
    <x v="9"/>
    <n v="2016"/>
    <d v="2016-04-23T00:00:00"/>
    <x v="4"/>
    <x v="0"/>
    <s v="Win"/>
    <s v="NA"/>
    <x v="4"/>
    <x v="87"/>
    <x v="33"/>
    <s v="Hyderabad"/>
    <s v="DA Warner, S Dhawan, AP Tare, EJG Morgan, DJ Hooda, MC Henriques, NV Ojha, Bipul Sharma, B Kumar, BB Sran, Mustafizur Rahman"/>
    <s v="M Vijay, M Vohra, SE Marsh, DA Miller, GJ Maxwell, NS Naik, AR Patel, R Dhawan, MM Sharma, KJ Abbott, Sandeep Sharma"/>
  </r>
  <r>
    <n v="980933"/>
    <s v="Delhi Daredevils"/>
    <s v="Mumbai Indians"/>
    <x v="9"/>
    <n v="2016"/>
    <d v="2016-04-23T00:00:00"/>
    <x v="1"/>
    <x v="0"/>
    <s v="Win"/>
    <s v="NA"/>
    <x v="13"/>
    <x v="70"/>
    <x v="35"/>
    <s v="Delhi"/>
    <s v="Q de Kock, SS Iyer, SV Samson, KK Nair, JP Duminy, P Negi, CH Morris, Z Khan, A Mishra, Mohammed Shami, Imran Tahir"/>
    <s v="RG Sharma, PA Patel, AT Rayudu, KH Pandya, JC Buttler, KA Pollard, HH Pandya, Harbhajan Singh, TG Southee, MJ McClenaghan, JJ Bumrah"/>
  </r>
  <r>
    <n v="980931"/>
    <s v="Rising Pune Supergiants"/>
    <s v="Royal Challengers Bangalore"/>
    <x v="9"/>
    <n v="2016"/>
    <d v="2016-04-22T00:00:00"/>
    <x v="15"/>
    <x v="0"/>
    <s v="Win"/>
    <s v="NA"/>
    <x v="11"/>
    <x v="142"/>
    <x v="31"/>
    <s v="Pune"/>
    <s v="AM Rahane, F du Plessis, KP Pietersen, SPD Smith, MS Dhoni, NLTC Perera, R Bhatia, R Ashwin, Ankit Sharma, M Ashwin, I Sharma"/>
    <s v="V Kohli, KL Rahul, AB de Villiers, SR Watson, SN Khan, Mandeep Singh, STR Binny, HV Patel, KW Richardson, T Shamsi, Iqbal Abdulla"/>
  </r>
  <r>
    <n v="980929"/>
    <s v="Gujarat Lions"/>
    <s v="Sunrisers Hyderabad"/>
    <x v="9"/>
    <n v="2016"/>
    <d v="2016-04-21T00:00:00"/>
    <x v="4"/>
    <x v="0"/>
    <s v="Win"/>
    <s v="NA"/>
    <x v="4"/>
    <x v="66"/>
    <x v="38"/>
    <s v="Rajkot"/>
    <s v="AJ Finch, BB McCullum, SK Raina, KD Karthik, DJ Bravo, RA Jadeja, AD Nath, DW Steyn, P Kumar, DS Kulkarni, PV Tambe"/>
    <s v="DA Warner, S Dhawan, MC Henriques, EJG Morgan, DJ Hooda, AP Tare, NV Ojha, B Kumar, Mustafizur Rahman, Bipul Sharma, BB Sran"/>
  </r>
  <r>
    <n v="980927"/>
    <s v="Mumbai Indians"/>
    <s v="Royal Challengers Bangalore"/>
    <x v="9"/>
    <n v="2016"/>
    <d v="2016-04-20T00:00:00"/>
    <x v="1"/>
    <x v="0"/>
    <s v="Win"/>
    <s v="NA"/>
    <x v="2"/>
    <x v="2"/>
    <x v="26"/>
    <s v="Mumbai"/>
    <s v="RG Sharma, PA Patel, AT Rayudu, JC Buttler, KA Pollard, HH Pandya, KH Pandya, Harbhajan Singh, JJ Bumrah, MJ McClenaghan, TG Southee"/>
    <s v="V Kohli, KL Rahul, AB de Villiers, SR Watson, TM Head, SN Khan, STR Binny, HV Patel, KW Richardson, Iqbal Abdulla, VR Aaron"/>
  </r>
  <r>
    <n v="980925"/>
    <s v="Kings XI Punjab"/>
    <s v="Kolkata Knight Riders"/>
    <x v="9"/>
    <n v="2016"/>
    <d v="2016-04-19T00:00:00"/>
    <x v="8"/>
    <x v="0"/>
    <s v="Win"/>
    <s v="NA"/>
    <x v="10"/>
    <x v="180"/>
    <x v="37"/>
    <s v="Chandigarh"/>
    <s v="M Vijay, M Vohra, SE Marsh, WP Saha, DA Miller, GJ Maxwell, AR Patel, MM Sharma, P Sahu, KJ Abbott, Sandeep Sharma"/>
    <s v="RV Uthappa, G Gambhir, MK Pandey, Shakib Al Hasan, SA Yadav, YK Pathan, AD Russell, PP Chawla, SP Narine, M Morkel, UT Yadav"/>
  </r>
  <r>
    <n v="980923"/>
    <s v="Sunrisers Hyderabad"/>
    <s v="Mumbai Indians"/>
    <x v="9"/>
    <n v="2016"/>
    <d v="2016-04-18T00:00:00"/>
    <x v="4"/>
    <x v="0"/>
    <s v="Win"/>
    <s v="NA"/>
    <x v="4"/>
    <x v="115"/>
    <x v="33"/>
    <s v="Hyderabad"/>
    <s v="DA Warner, S Dhawan, MC Henriques, EJG Morgan, DJ Hooda, NV Ojha, Bipul Sharma, A Ashish Reddy, B Kumar, Mustafizur Rahman, BB Sran"/>
    <s v="MJ Guptill, PA Patel, AT Rayudu, RG Sharma, JC Buttler, KH Pandya, HH Pandya, Harbhajan Singh, TG Southee, MJ McClenaghan, JJ Bumrah"/>
  </r>
  <r>
    <n v="980921"/>
    <s v="Royal Challengers Bangalore"/>
    <s v="Delhi Daredevils"/>
    <x v="9"/>
    <n v="2016"/>
    <d v="2016-04-17T00:00:00"/>
    <x v="12"/>
    <x v="0"/>
    <s v="Win"/>
    <s v="NA"/>
    <x v="13"/>
    <x v="52"/>
    <x v="34"/>
    <s v="Bangalore"/>
    <s v="CH Gayle, V Kohli, AB de Villiers, SR Watson, SN Khan, KM Jadhav, D Wiese, Parvez Rasool, HV Patel, YS Chahal, S Aravind"/>
    <s v="Q de Kock, SS Iyer, SV Samson, KK Nair, JP Duminy, CR Brathwaite, CH Morris, P Negi, Z Khan, A Mishra, Mohammed Shami"/>
  </r>
  <r>
    <n v="980919"/>
    <s v="Kings XI Punjab"/>
    <s v="Rising Pune Supergiants"/>
    <x v="9"/>
    <n v="2016"/>
    <d v="2016-04-17T00:00:00"/>
    <x v="15"/>
    <x v="1"/>
    <s v="Win"/>
    <s v="NA"/>
    <x v="12"/>
    <x v="195"/>
    <x v="37"/>
    <s v="Chandigarh"/>
    <s v="M Vijay, M Vohra, SE Marsh, DA Miller, GJ Maxwell, WP Saha, AR Patel, MM Sharma, KJ Abbott, P Sahu, Sandeep Sharma"/>
    <s v="AM Rahane, F du Plessis, KP Pietersen, NLTC Perera, SPD Smith, MS Dhoni, IK Pathan, R Ashwin, I Sharma, Ankit Sharma, M Ashwin"/>
  </r>
  <r>
    <n v="980917"/>
    <s v="Mumbai Indians"/>
    <s v="Gujarat Lions"/>
    <x v="9"/>
    <n v="2016"/>
    <d v="2016-04-16T00:00:00"/>
    <x v="14"/>
    <x v="0"/>
    <s v="Win"/>
    <s v="NA"/>
    <x v="15"/>
    <x v="196"/>
    <x v="26"/>
    <s v="Mumbai"/>
    <s v="RG Sharma, PA Patel, HH Pandya, JC Buttler, KA Pollard, AT Rayudu, Harbhajan Singh, KH Pandya, TG Southee, MJ McClenaghan, JJ Bumrah"/>
    <s v="AJ Finch, BB McCullum, SK Raina, KD Karthik, DJ Bravo, AD Nath, JP Faulkner, P Kumar, DS Kulkarni, SB Jakati, PV Tambe"/>
  </r>
  <r>
    <n v="980915"/>
    <s v="Sunrisers Hyderabad"/>
    <s v="Kolkata Knight Riders"/>
    <x v="9"/>
    <n v="2016"/>
    <d v="2016-04-16T00:00:00"/>
    <x v="4"/>
    <x v="1"/>
    <s v="Win"/>
    <s v="NA"/>
    <x v="10"/>
    <x v="178"/>
    <x v="33"/>
    <s v="Hyderabad"/>
    <s v="DA Warner, S Dhawan, MC Henriques, EJG Morgan, DJ Hooda, NV Ojha, A Ashish Reddy, KV Sharma, B Kumar, Mustafizur Rahman, BB Sran"/>
    <s v="RV Uthappa, G Gambhir, AD Russell, MK Pandey, Shakib Al Hasan, YK Pathan, SA Yadav, PP Chawla, SP Narine, M Morkel, UT Yadav"/>
  </r>
  <r>
    <n v="980913"/>
    <s v="Delhi Daredevils"/>
    <s v="Kings XI Punjab"/>
    <x v="9"/>
    <n v="2016"/>
    <d v="2016-04-15T00:00:00"/>
    <x v="12"/>
    <x v="0"/>
    <s v="Win"/>
    <s v="NA"/>
    <x v="13"/>
    <x v="145"/>
    <x v="35"/>
    <s v="Delhi"/>
    <s v="Q de Kock, SS Iyer, SV Samson, P Negi, KK Nair, JP Duminy, CR Brathwaite, J Yadav, CH Morris, Z Khan, A Mishra"/>
    <s v="M Vijay, M Vohra, SE Marsh, DA Miller, GJ Maxwell, AR Patel, WP Saha, MG Johnson, MM Sharma, P Sahu, Sandeep Sharma"/>
  </r>
  <r>
    <n v="980911"/>
    <s v="Gujarat Lions"/>
    <s v="Rising Pune Supergiants"/>
    <x v="9"/>
    <n v="2016"/>
    <d v="2016-04-14T00:00:00"/>
    <x v="15"/>
    <x v="1"/>
    <s v="Win"/>
    <s v="NA"/>
    <x v="15"/>
    <x v="196"/>
    <x v="38"/>
    <s v="Rajkot"/>
    <s v="AJ Finch, BB McCullum, SK Raina, DJ Bravo, RA Jadeja, KD Karthik, AD Nath, JP Faulkner, P Kumar, SB Jakati, PV Tambe"/>
    <s v="AM Rahane, F du Plessis, KP Pietersen, SPD Smith, MS Dhoni, MR Marsh, R Bhatia, R Ashwin, I Sharma, RP Singh, M Ashwin"/>
  </r>
  <r>
    <n v="980909"/>
    <s v="Kolkata Knight Riders"/>
    <s v="Mumbai Indians"/>
    <x v="9"/>
    <n v="2016"/>
    <d v="2016-04-13T00:00:00"/>
    <x v="1"/>
    <x v="0"/>
    <s v="Win"/>
    <s v="NA"/>
    <x v="2"/>
    <x v="2"/>
    <x v="29"/>
    <s v="Kolkata"/>
    <s v="RV Uthappa, G Gambhir, MK Pandey, AD Russell, YK Pathan, C Munro, SA Yadav, PP Chawla, JW Hastings, Kuldeep Yadav, GB Hogg"/>
    <s v="RG Sharma, PA Patel, HH Pandya, MJ McClenaghan, JC Buttler, KA Pollard, AT Rayudu, Harbhajan Singh, J Suchith, TG Southee, JJ Bumrah"/>
  </r>
  <r>
    <n v="980907"/>
    <s v="Royal Challengers Bangalore"/>
    <s v="Sunrisers Hyderabad"/>
    <x v="9"/>
    <n v="2016"/>
    <d v="2016-04-12T00:00:00"/>
    <x v="4"/>
    <x v="0"/>
    <s v="Win"/>
    <s v="NA"/>
    <x v="11"/>
    <x v="142"/>
    <x v="34"/>
    <s v="Bangalore"/>
    <s v="CH Gayle, V Kohli, AB de Villiers, SR Watson, SN Khan, KM Jadhav, STR Binny, Parvez Rasool, HV Patel, AF Milne, YS Chahal"/>
    <s v="DA Warner, S Dhawan, MC Henriques, NV Ojha, DJ Hooda, EJG Morgan, A Ashish Reddy, KV Sharma, A Nehra, B Kumar, Mustafizur Rahman"/>
  </r>
  <r>
    <n v="980905"/>
    <s v="Kings XI Punjab"/>
    <s v="Gujarat Lions"/>
    <x v="9"/>
    <n v="2016"/>
    <d v="2016-04-11T00:00:00"/>
    <x v="14"/>
    <x v="0"/>
    <s v="Win"/>
    <s v="NA"/>
    <x v="15"/>
    <x v="196"/>
    <x v="37"/>
    <s v="Chandigarh"/>
    <s v="M Vijay, M Vohra, DA Miller, GJ Maxwell, WP Saha, MP Stoinis, AR Patel, MG Johnson, P Sahu, MM Sharma, Sandeep Sharma"/>
    <s v="AJ Finch, BB McCullum, SK Raina, KD Karthik, RA Jadeja, Ishan Kishan, DJ Bravo, JP Faulkner, P Kumar, PJ Sangwan, S Ladda"/>
  </r>
  <r>
    <n v="980903"/>
    <s v="Kolkata Knight Riders"/>
    <s v="Delhi Daredevils"/>
    <x v="9"/>
    <n v="2016"/>
    <d v="2016-04-10T00:00:00"/>
    <x v="8"/>
    <x v="0"/>
    <s v="Win"/>
    <s v="NA"/>
    <x v="10"/>
    <x v="20"/>
    <x v="29"/>
    <s v="Kolkata"/>
    <s v="RV Uthappa, G Gambhir, MK Pandey, C Munro, SA Yadav, YK Pathan, AD Russell, PP Chawla, JW Hastings, GB Hogg, UT Yadav"/>
    <s v="MA Agarwal, Q de Kock, SS Iyer, KK Nair, SV Samson, P Negi, CR Brathwaite, CH Morris, NM Coulter-Nile, A Mishra, Z Khan"/>
  </r>
  <r>
    <n v="980901"/>
    <s v="Mumbai Indians"/>
    <s v="Rising Pune Supergiants"/>
    <x v="9"/>
    <n v="2016"/>
    <d v="2016-04-09T00:00:00"/>
    <x v="1"/>
    <x v="1"/>
    <s v="Win"/>
    <s v="NA"/>
    <x v="16"/>
    <x v="100"/>
    <x v="26"/>
    <s v="Mumbai"/>
    <s v="LMP Simmons, RG Sharma, HH Pandya, JC Buttler, AT Rayudu, KA Pollard, S Gopal, Harbhajan Singh, R Vinay Kumar, MJ McClenaghan, JJ Bumrah"/>
    <s v="AM Rahane, F du Plessis, KP Pietersen, MS Dhoni, SPD Smith, R Bhatia, MR Marsh, R Ashwin, I Sharma, M Ashwin, RP Singh"/>
  </r>
  <r>
    <n v="829823"/>
    <s v="Mumbai Indians"/>
    <s v="Chennai Super Kings"/>
    <x v="10"/>
    <n v="2015"/>
    <d v="2015-05-24T00:00:00"/>
    <x v="3"/>
    <x v="0"/>
    <s v="Win"/>
    <s v="NA"/>
    <x v="2"/>
    <x v="2"/>
    <x v="29"/>
    <s v="Kolkata"/>
    <s v="LMP Simmons, PA Patel, RG Sharma, KA Pollard, AT Rayudu, HH Pandya, Harbhajan Singh, J Suchith, MJ McClenaghan, R Vinay Kumar, SL Malinga"/>
    <s v="DR Smith, MEK Hussey, SK Raina, MS Dhoni, DJ Bravo, P Negi, F du Plessis, RA Jadeja, R Ashwin, MM Sharma, A Nehra"/>
  </r>
  <r>
    <n v="829821"/>
    <s v="Chennai Super Kings"/>
    <s v="Royal Challengers Bangalore"/>
    <x v="10"/>
    <n v="2015"/>
    <d v="2015-05-22T00:00:00"/>
    <x v="3"/>
    <x v="0"/>
    <s v="Win"/>
    <s v="NA"/>
    <x v="3"/>
    <x v="192"/>
    <x v="40"/>
    <s v="Ranchi"/>
    <s v="DR Smith, MEK Hussey, F du Plessis, SK Raina, MS Dhoni, P Negi, DJ Bravo, RA Jadeja, R Ashwin, MM Sharma, A Nehra"/>
    <s v="CH Gayle, V Kohli, AB de Villiers, Mandeep Singh, KD Karthik, SN Khan, D Wiese, HV Patel, MA Starc, S Aravind, YS Chahal"/>
  </r>
  <r>
    <n v="829819"/>
    <s v="Royal Challengers Bangalore"/>
    <s v="Rajasthan Royals"/>
    <x v="10"/>
    <n v="2015"/>
    <d v="2015-05-20T00:00:00"/>
    <x v="10"/>
    <x v="1"/>
    <s v="Win"/>
    <s v="NA"/>
    <x v="11"/>
    <x v="142"/>
    <x v="31"/>
    <s v="Pune"/>
    <s v="CH Gayle, V Kohli, AB de Villiers, Mandeep Singh, KD Karthik, SN Khan, D Wiese, MA Starc, HV Patel, YS Chahal, S Aravind"/>
    <s v="AM Rahane, SR Watson, SV Samson, SPD Smith, KK Nair, DJ Hooda, JP Faulkner, STR Binny, CH Morris, Ankit Sharma, DS Kulkarni"/>
  </r>
  <r>
    <n v="829817"/>
    <s v="Chennai Super Kings"/>
    <s v="Mumbai Indians"/>
    <x v="10"/>
    <n v="2015"/>
    <d v="2015-05-19T00:00:00"/>
    <x v="1"/>
    <x v="1"/>
    <s v="Win"/>
    <s v="NA"/>
    <x v="2"/>
    <x v="135"/>
    <x v="26"/>
    <s v="Mumbai"/>
    <s v="DR Smith, MEK Hussey, F du Plessis, SK Raina, MS Dhoni, DJ Bravo, RA Jadeja, P Negi, R Ashwin, MM Sharma, A Nehra"/>
    <s v="LMP Simmons, PA Patel, RG Sharma, KA Pollard, HH Pandya, AT Rayudu, Harbhajan Singh, J Suchith, MJ McClenaghan, R Vinay Kumar, SL Malinga"/>
  </r>
  <r>
    <n v="829815"/>
    <s v="Sunrisers Hyderabad"/>
    <s v="Mumbai Indians"/>
    <x v="10"/>
    <n v="2015"/>
    <d v="2015-05-17T00:00:00"/>
    <x v="4"/>
    <x v="1"/>
    <s v="Win"/>
    <s v="NA"/>
    <x v="2"/>
    <x v="182"/>
    <x v="33"/>
    <s v="Hyderabad"/>
    <s v="DA Warner, S Dhawan, MC Henriques, EJG Morgan, KL Rahul, NV Ojha, KV Sharma, A Ashish Reddy, B Kumar, P Kumar, DW Steyn"/>
    <s v="LMP Simmons, PA Patel, RG Sharma, AT Rayudu, KA Pollard, HH Pandya, Harbhajan Singh, J Suchith, MJ McClenaghan, R Vinay Kumar, SL Malinga"/>
  </r>
  <r>
    <n v="829813"/>
    <s v="Royal Challengers Bangalore"/>
    <s v="Delhi Daredevils"/>
    <x v="10"/>
    <n v="2015"/>
    <d v="2015-05-17T00:00:00"/>
    <x v="10"/>
    <x v="0"/>
    <s v="no result"/>
    <s v="NA"/>
    <x v="9"/>
    <x v="16"/>
    <x v="34"/>
    <s v="Bangalore"/>
    <s v="V Kohli, CH Gayle, AB de Villiers, Mandeep Singh, KD Karthik, SN Khan, D Wiese, MA Starc, HV Patel, YS Chahal, AB Dinda"/>
    <s v="Q de Kock, SS Iyer, JP Duminy, Yuvraj Singh, KM Jadhav, AD Mathews, SS Tiwary, J Yadav, S Nadeem, GS Sandhu, Z Khan"/>
  </r>
  <r>
    <n v="829809"/>
    <s v="Kings XI Punjab"/>
    <s v="Chennai Super Kings"/>
    <x v="10"/>
    <n v="2015"/>
    <d v="2015-05-16T00:00:00"/>
    <x v="11"/>
    <x v="1"/>
    <s v="Win"/>
    <s v="NA"/>
    <x v="3"/>
    <x v="197"/>
    <x v="41"/>
    <s v="Chandigarh"/>
    <s v="WP Saha, M Vohra, GJ Bailey, GJ Maxwell, Gurkeerat Singh, DA Miller, AR Patel, R Dhawan, BE Hendricks, Anureet Singh, Sandeep Sharma"/>
    <s v="MEK Hussey, BB McCullum, F du Plessis, SK Raina, MS Dhoni, DJ Bravo, P Negi, RA Jadeja, R Ashwin, A Nehra, IC Pandey"/>
  </r>
  <r>
    <n v="829811"/>
    <s v="Rajasthan Royals"/>
    <s v="Kolkata Knight Riders"/>
    <x v="10"/>
    <n v="2015"/>
    <d v="2015-05-16T00:00:00"/>
    <x v="7"/>
    <x v="1"/>
    <s v="Win"/>
    <s v="NA"/>
    <x v="7"/>
    <x v="154"/>
    <x v="42"/>
    <s v="Mumbai"/>
    <s v="AM Rahane, SR Watson, SPD Smith, SV Samson, JP Faulkner, KK Nair, CH Morris, DJ Hooda, STR Binny, DS Kulkarni, BB Sran"/>
    <s v="RV Uthappa, G Gambhir, MK Pandey, YK Pathan, AD Russell, SA Yadav, Shakib Al Hasan, Azhar Mahmood, PP Chawla, UT Yadav, M Morkel"/>
  </r>
  <r>
    <n v="829807"/>
    <s v="Sunrisers Hyderabad"/>
    <s v="Royal Challengers Bangalore"/>
    <x v="10"/>
    <n v="2015"/>
    <d v="2015-05-15T00:00:00"/>
    <x v="4"/>
    <x v="1"/>
    <s v="Win"/>
    <s v="NA"/>
    <x v="11"/>
    <x v="31"/>
    <x v="33"/>
    <s v="Hyderabad"/>
    <s v="DA Warner, S Dhawan, MC Henriques, EJG Morgan, NV Ojha, KL Rahul, Bipul Sharma, KV Sharma, B Kumar, P Kumar, DW Steyn"/>
    <s v="CH Gayle, V Kohli, AB de Villiers, Mandeep Singh, KD Karthik, SN Khan, D Wiese, MA Starc, HV Patel, YS Chahal, AB Dinda"/>
  </r>
  <r>
    <n v="829805"/>
    <s v="Mumbai Indians"/>
    <s v="Kolkata Knight Riders"/>
    <x v="10"/>
    <n v="2015"/>
    <d v="2015-05-14T00:00:00"/>
    <x v="8"/>
    <x v="0"/>
    <s v="Win"/>
    <s v="NA"/>
    <x v="2"/>
    <x v="109"/>
    <x v="26"/>
    <s v="Mumbai"/>
    <s v="LMP Simmons, PA Patel, RG Sharma, AT Rayudu, KA Pollard, HH Pandya, Harbhajan Singh, J Suchith, MJ McClenaghan, R Vinay Kumar, SL Malinga"/>
    <s v="RV Uthappa, G Gambhir, MK Pandey, YK Pathan, Shakib Al Hasan, AD Russell, SA Yadav, PP Chawla, UT Yadav, M Morkel, SP Narine"/>
  </r>
  <r>
    <n v="829803"/>
    <s v="Kings XI Punjab"/>
    <s v="Royal Challengers Bangalore"/>
    <x v="10"/>
    <n v="2015"/>
    <d v="2015-05-13T00:00:00"/>
    <x v="10"/>
    <x v="0"/>
    <s v="Win"/>
    <s v="NA"/>
    <x v="12"/>
    <x v="99"/>
    <x v="41"/>
    <s v="Chandigarh"/>
    <s v="WP Saha, M Vohra, GJ Maxwell, DA Miller, GJ Bailey, AR Patel, Gurkeerat Singh, R Dhawan, BE Hendricks, Anureet Singh, Sandeep Sharma"/>
    <s v="CH Gayle, V Kohli, AB de Villiers, Mandeep Singh, KD Karthik, SN Khan, D Wiese, HV Patel, MA Starc, YS Chahal, S Aravind"/>
  </r>
  <r>
    <n v="829801"/>
    <s v="Delhi Daredevils"/>
    <s v="Chennai Super Kings"/>
    <x v="10"/>
    <n v="2015"/>
    <d v="2015-05-12T00:00:00"/>
    <x v="3"/>
    <x v="1"/>
    <s v="Win"/>
    <s v="NA"/>
    <x v="13"/>
    <x v="198"/>
    <x v="39"/>
    <s v="Raipur"/>
    <s v="Q de Kock, SS Iyer, JP Duminy, Yuvraj Singh, JA Morkel, KM Jadhav, SS Tiwary, J Yadav, GS Sandhu, Z Khan, S Nadeem"/>
    <s v="DR Smith, BB McCullum, SK Raina, F du Plessis, MS Dhoni, DJ Bravo, P Negi, RA Jadeja, R Ashwin, MM Sharma, IC Pandey"/>
  </r>
  <r>
    <n v="829799"/>
    <s v="Sunrisers Hyderabad"/>
    <s v="Kings XI Punjab"/>
    <x v="10"/>
    <n v="2015"/>
    <d v="2015-05-11T00:00:00"/>
    <x v="4"/>
    <x v="1"/>
    <s v="Win"/>
    <s v="NA"/>
    <x v="4"/>
    <x v="115"/>
    <x v="33"/>
    <s v="Hyderabad"/>
    <s v="DA Warner, S Dhawan, MC Henriques, EJG Morgan, NV Ojha, KL Rahul, KV Sharma, Bipul Sharma, B Kumar, TA Boult, I Sharma"/>
    <s v="M Vijay, M Vohra, WP Saha, GJ Maxwell, DA Miller, GJ Bailey, Gurkeerat Singh, AR Patel, BE Hendricks, Anureet Singh, Sandeep Sharma"/>
  </r>
  <r>
    <n v="829795"/>
    <s v="Mumbai Indians"/>
    <s v="Royal Challengers Bangalore"/>
    <x v="10"/>
    <n v="2015"/>
    <d v="2015-05-10T00:00:00"/>
    <x v="10"/>
    <x v="1"/>
    <s v="Win"/>
    <s v="NA"/>
    <x v="11"/>
    <x v="142"/>
    <x v="26"/>
    <s v="Mumbai"/>
    <s v="PA Patel, LMP Simmons, RG Sharma, KA Pollard, HH Pandya, AT Rayudu, Harbhajan Singh, J Suchith, MJ McClenaghan, SL Malinga, JJ Bumrah"/>
    <s v="CH Gayle, V Kohli, AB de Villiers, KD Karthik, SN Khan, Mandeep Singh, D Wiese, MA Starc, HV Patel, YS Chahal, S Aravind"/>
  </r>
  <r>
    <n v="829797"/>
    <s v="Chennai Super Kings"/>
    <s v="Rajasthan Royals"/>
    <x v="10"/>
    <n v="2015"/>
    <d v="2015-05-10T00:00:00"/>
    <x v="3"/>
    <x v="1"/>
    <s v="Win"/>
    <s v="NA"/>
    <x v="3"/>
    <x v="64"/>
    <x v="43"/>
    <s v="Chennai"/>
    <s v="DR Smith, BB McCullum, SK Raina, F du Plessis, P Negi, MS Dhoni, DJ Bravo, RA Jadeja, R Ashwin, MM Sharma, A Nehra"/>
    <s v="AM Rahane, SR Watson, SPD Smith, KK Nair, DJ Hooda, SV Samson, JP Faulkner, CH Morris, R Bhatia, Ankit Sharma, PV Tambe"/>
  </r>
  <r>
    <n v="829793"/>
    <s v="Delhi Daredevils"/>
    <s v="Sunrisers Hyderabad"/>
    <x v="10"/>
    <n v="2015"/>
    <d v="2015-05-09T00:00:00"/>
    <x v="4"/>
    <x v="1"/>
    <s v="Win"/>
    <s v="NA"/>
    <x v="4"/>
    <x v="188"/>
    <x v="39"/>
    <s v="Raipur"/>
    <s v="Q de Kock, SS Iyer, JP Duminy, Yuvraj Singh, KM Jadhav, SS Tiwary, JA Morkel, J Yadav, NM Coulter-Nile, A Mishra, Z Khan"/>
    <s v="S Dhawan, DA Warner, MC Henriques, EJG Morgan, KV Sharma, RS Bopara, NV Ojha, Parvez Rasool, P Kumar, B Kumar, I Sharma"/>
  </r>
  <r>
    <n v="829791"/>
    <s v="Kolkata Knight Riders"/>
    <s v="Kings XI Punjab"/>
    <x v="10"/>
    <n v="2015"/>
    <d v="2015-05-09T00:00:00"/>
    <x v="11"/>
    <x v="1"/>
    <s v="Win"/>
    <s v="NA"/>
    <x v="10"/>
    <x v="20"/>
    <x v="29"/>
    <s v="Kolkata"/>
    <s v="RV Uthappa, G Gambhir, MK Pandey, SA Yadav, YK Pathan, AD Russell, J Botha, PP Chawla, GB Hogg, UT Yadav, SP Narine"/>
    <s v="M Vijay, M Vohra, WP Saha, GJ Maxwell, DA Miller, Gurkeerat Singh, GJ Bailey, AR Patel, BE Hendricks, Anureet Singh, Sandeep Sharma"/>
  </r>
  <r>
    <n v="829789"/>
    <s v="Chennai Super Kings"/>
    <s v="Mumbai Indians"/>
    <x v="10"/>
    <n v="2015"/>
    <d v="2015-05-08T00:00:00"/>
    <x v="3"/>
    <x v="1"/>
    <s v="Win"/>
    <s v="NA"/>
    <x v="2"/>
    <x v="109"/>
    <x v="43"/>
    <s v="Chennai"/>
    <s v="DR Smith, BB McCullum, SK Raina, F du Plessis, MS Dhoni, P Negi, RA Jadeja, DJ Bravo, R Ashwin, MM Sharma, A Nehra"/>
    <s v="LMP Simmons, PA Patel, RG Sharma, KA Pollard, AT Rayudu, HH Pandya, Harbhajan Singh, J Suchith, R Vinay Kumar, MJ McClenaghan, M de Lange"/>
  </r>
  <r>
    <n v="829761"/>
    <s v="Kolkata Knight Riders"/>
    <s v="Delhi Daredevils"/>
    <x v="10"/>
    <n v="2015"/>
    <d v="2015-05-07T00:00:00"/>
    <x v="8"/>
    <x v="1"/>
    <s v="Win"/>
    <s v="NA"/>
    <x v="10"/>
    <x v="199"/>
    <x v="29"/>
    <s v="Kolkata"/>
    <s v="RV Uthappa, G Gambhir, MK Pandey, PP Chawla, YK Pathan, AD Russell, SA Yadav, J Botha, GB Hogg, UT Yadav, SP Narine"/>
    <s v="MK Tiwary, SS Iyer, JP Duminy, KM Jadhav, Yuvraj Singh, AD Mathews, SS Tiwary, JA Morkel, A Mishra, Imran Tahir, Z Khan"/>
  </r>
  <r>
    <n v="829787"/>
    <s v="Rajasthan Royals"/>
    <s v="Sunrisers Hyderabad"/>
    <x v="10"/>
    <n v="2015"/>
    <d v="2015-05-07T00:00:00"/>
    <x v="7"/>
    <x v="0"/>
    <s v="Win"/>
    <s v="NA"/>
    <x v="4"/>
    <x v="143"/>
    <x v="42"/>
    <s v="Mumbai"/>
    <s v="AM Rahane, SR Watson, SPD Smith, KK Nair, DJ Hooda, JP Faulkner, SV Samson, STR Binny, CH Morris, DS Kulkarni, PV Tambe"/>
    <s v="S Dhawan, DA Warner, MC Henriques, EJG Morgan, RS Bopara, NV Ojha, GH Vihari, KV Sharma, P Kumar, B Kumar, I Sharma"/>
  </r>
  <r>
    <n v="829785"/>
    <s v="Royal Challengers Bangalore"/>
    <s v="Kings XI Punjab"/>
    <x v="10"/>
    <n v="2015"/>
    <d v="2015-05-06T00:00:00"/>
    <x v="11"/>
    <x v="0"/>
    <s v="Win"/>
    <s v="NA"/>
    <x v="11"/>
    <x v="151"/>
    <x v="34"/>
    <s v="Bangalore"/>
    <s v="CH Gayle, V Kohli, AB de Villiers, KD Karthik, SN Khan, Mandeep Singh, D Wiese, MA Starc, HV Patel, YS Chahal, S Aravind"/>
    <s v="M Vijay, M Vohra, WP Saha, GJ Maxwell, DA Miller, GJ Bailey, AR Patel, MG Johnson, Anureet Singh, Karanveer Singh, Sandeep Sharma"/>
  </r>
  <r>
    <n v="829783"/>
    <s v="Mumbai Indians"/>
    <s v="Delhi Daredevils"/>
    <x v="10"/>
    <n v="2015"/>
    <d v="2015-05-05T00:00:00"/>
    <x v="12"/>
    <x v="1"/>
    <s v="Win"/>
    <s v="NA"/>
    <x v="2"/>
    <x v="164"/>
    <x v="26"/>
    <s v="Mumbai"/>
    <s v="LMP Simmons, PA Patel, HH Pandya, RG Sharma, Harbhajan Singh, AT Rayudu, KA Pollard, J Suchith, R Vinay Kumar, MJ McClenaghan, SL Malinga"/>
    <s v="MA Agarwal, SS Iyer, JP Duminy, KM Jadhav, Yuvraj Singh, AD Mathews, SS Tiwary, NM Coulter-Nile, A Mishra, Imran Tahir, Z Khan"/>
  </r>
  <r>
    <n v="829779"/>
    <s v="Chennai Super Kings"/>
    <s v="Royal Challengers Bangalore"/>
    <x v="10"/>
    <n v="2015"/>
    <d v="2015-05-04T00:00:00"/>
    <x v="3"/>
    <x v="1"/>
    <s v="Win"/>
    <s v="NA"/>
    <x v="3"/>
    <x v="183"/>
    <x v="43"/>
    <s v="Chennai"/>
    <s v="DR Smith, BB McCullum, SK Raina, F du Plessis, MS Dhoni, RA Jadeja, P Negi, DJ Bravo, MM Sharma, A Nehra, IC Pandey"/>
    <s v="NJ Maddinson, V Kohli, AB de Villiers, Mandeep Singh, KD Karthik, SN Khan, D Wiese, HV Patel, MA Starc, Iqbal Abdulla, YS Chahal"/>
  </r>
  <r>
    <n v="829781"/>
    <s v="Kolkata Knight Riders"/>
    <s v="Sunrisers Hyderabad"/>
    <x v="10"/>
    <n v="2015"/>
    <d v="2015-05-04T00:00:00"/>
    <x v="4"/>
    <x v="0"/>
    <s v="Win"/>
    <s v="NA"/>
    <x v="10"/>
    <x v="129"/>
    <x v="29"/>
    <s v="Kolkata"/>
    <s v="RV Uthappa, G Gambhir, MK Pandey, AD Russell, RN ten Doeschate, YK Pathan, J Botha, SA Yadav, PP Chawla, GB Hogg, UT Yadav"/>
    <s v="DA Warner, S Dhawan, NV Ojha, MC Henriques, EJG Morgan, GH Vihari, Bipul Sharma, KV Sharma, P Kumar, B Kumar, DW Steyn"/>
  </r>
  <r>
    <n v="829777"/>
    <s v="Rajasthan Royals"/>
    <s v="Delhi Daredevils"/>
    <x v="10"/>
    <n v="2015"/>
    <d v="2015-05-03T00:00:00"/>
    <x v="12"/>
    <x v="0"/>
    <s v="Win"/>
    <s v="NA"/>
    <x v="7"/>
    <x v="100"/>
    <x v="42"/>
    <s v="Mumbai"/>
    <s v="AM Rahane, SR Watson, KK Nair, JP Faulkner, SPD Smith, SV Samson, STR Binny, DJ Hooda, TG Southee, DS Kulkarni, R Bhatia"/>
    <s v="MA Agarwal, SS Iyer, JP Duminy, Yuvraj Singh, AD Mathews, KM Jadhav, SS Tiwary, NM Coulter-Nile, A Mishra, Z Khan, GS Sandhu"/>
  </r>
  <r>
    <n v="829775"/>
    <s v="Kings XI Punjab"/>
    <s v="Mumbai Indians"/>
    <x v="10"/>
    <n v="2015"/>
    <d v="2015-05-03T00:00:00"/>
    <x v="1"/>
    <x v="1"/>
    <s v="Win"/>
    <s v="NA"/>
    <x v="2"/>
    <x v="177"/>
    <x v="41"/>
    <s v="Chandigarh"/>
    <s v="M Vijay, V Sehwag, GJ Maxwell, DA Miller, GJ Bailey, WP Saha, AR Patel, MG Johnson, Anureet Singh, Sandeep Sharma, Karanveer Singh"/>
    <s v="LMP Simmons, PA Patel, RG Sharma, KA Pollard, AT Rayudu, UBT Chand, Harbhajan Singh, J Suchith, R Vinay Kumar, MJ McClenaghan, SL Malinga"/>
  </r>
  <r>
    <n v="829771"/>
    <s v="Royal Challengers Bangalore"/>
    <s v="Kolkata Knight Riders"/>
    <x v="10"/>
    <n v="2015"/>
    <d v="2015-05-02T00:00:00"/>
    <x v="10"/>
    <x v="0"/>
    <s v="Win"/>
    <s v="NA"/>
    <x v="11"/>
    <x v="200"/>
    <x v="34"/>
    <s v="Bangalore"/>
    <s v="CH Gayle, V Kohli, AB de Villiers, Mandeep Singh, D Wiese, KD Karthik, SN Khan, HV Patel, MA Starc, VR Aaron, YS Chahal"/>
    <s v="RV Uthappa, G Gambhir, AD Russell, RN ten Doeschate, YK Pathan, SA Yadav, MK Pandey, PJ Cummins, PP Chawla, GB Hogg, UT Yadav"/>
  </r>
  <r>
    <n v="829773"/>
    <s v="Sunrisers Hyderabad"/>
    <s v="Chennai Super Kings"/>
    <x v="10"/>
    <n v="2015"/>
    <d v="2015-05-02T00:00:00"/>
    <x v="3"/>
    <x v="0"/>
    <s v="Win"/>
    <s v="NA"/>
    <x v="4"/>
    <x v="115"/>
    <x v="33"/>
    <s v="Hyderabad"/>
    <s v="DA Warner, S Dhawan, MC Henriques, EJG Morgan, NV Ojha, A Ashish Reddy, GH Vihari, KV Sharma, B Kumar, P Kumar, TA Boult"/>
    <s v="DR Smith, BB McCullum, SK Raina, F du Plessis, MS Dhoni, P Negi, DJ Bravo, RA Jadeja, MM Sharma, A Nehra, RG More"/>
  </r>
  <r>
    <n v="829769"/>
    <s v="Mumbai Indians"/>
    <s v="Rajasthan Royals"/>
    <x v="10"/>
    <n v="2015"/>
    <d v="2015-05-01T00:00:00"/>
    <x v="7"/>
    <x v="0"/>
    <s v="Win"/>
    <s v="NA"/>
    <x v="2"/>
    <x v="156"/>
    <x v="26"/>
    <s v="Mumbai"/>
    <s v="LMP Simmons, PA Patel, UBT Chand, RG Sharma, AT Rayudu, KA Pollard, Harbhajan Singh, J Suchith, R Vinay Kumar, MJ McClenaghan, SL Malinga"/>
    <s v="AM Rahane, SR Watson, SV Samson, SPD Smith, KK Nair, STR Binny, DJ Hooda, TG Southee, J Theron, DS Kulkarni, Ankit Sharma"/>
  </r>
  <r>
    <n v="829767"/>
    <s v="Delhi Daredevils"/>
    <s v="Kings XI Punjab"/>
    <x v="10"/>
    <n v="2015"/>
    <d v="2015-05-01T00:00:00"/>
    <x v="12"/>
    <x v="0"/>
    <s v="Win"/>
    <s v="NA"/>
    <x v="13"/>
    <x v="134"/>
    <x v="35"/>
    <s v="Delhi"/>
    <s v="MA Agarwal, SS Iyer, SS Tiwary, JP Duminy, Yuvraj Singh, AD Mathews, KM Jadhav, NM Coulter-Nile, A Mishra, Z Khan, Imran Tahir"/>
    <s v="V Sehwag, M Vohra, SE Marsh, WP Saha, DA Miller, GJ Bailey, NLTC Perera, AR Patel, SN Thakur, Anureet Singh, Sandeep Sharma"/>
  </r>
  <r>
    <n v="829723"/>
    <s v="Kolkata Knight Riders"/>
    <s v="Chennai Super Kings"/>
    <x v="10"/>
    <n v="2015"/>
    <d v="2015-04-30T00:00:00"/>
    <x v="8"/>
    <x v="0"/>
    <s v="Win"/>
    <s v="NA"/>
    <x v="10"/>
    <x v="20"/>
    <x v="29"/>
    <s v="Kolkata"/>
    <s v="RV Uthappa, G Gambhir, MK Pandey, SA Yadav, AD Russell, RN ten Doeschate, YK Pathan, PJ Cummins, PP Chawla, GB Hogg, UT Yadav"/>
    <s v="DR Smith, BB McCullum, SK Raina, F du Plessis, DJ Bravo, MS Dhoni, RA Jadeja, P Negi, MM Sharma, A Nehra, RG More"/>
  </r>
  <r>
    <n v="829763"/>
    <s v="Royal Challengers Bangalore"/>
    <s v="Rajasthan Royals"/>
    <x v="10"/>
    <n v="2015"/>
    <d v="2015-04-29T00:00:00"/>
    <x v="7"/>
    <x v="0"/>
    <s v="no result"/>
    <s v="NA"/>
    <x v="9"/>
    <x v="16"/>
    <x v="34"/>
    <s v="Bangalore"/>
    <s v="CH Gayle, V Kohli, AB de Villiers, Mandeep Singh, KD Karthik, SN Khan, D Wiese, HV Patel, MA Starc, VR Aaron, YS Chahal"/>
    <s v="AM Rahane, SR Watson, SPD Smith, KK Nair, SV Samson, STR Binny, DJ Hooda, JP Faulkner, PV Tambe, DS Kulkarni, TG Southee"/>
  </r>
  <r>
    <n v="829765"/>
    <s v="Chennai Super Kings"/>
    <s v="Kolkata Knight Riders"/>
    <x v="10"/>
    <n v="2015"/>
    <d v="2015-04-28T00:00:00"/>
    <x v="8"/>
    <x v="0"/>
    <s v="Win"/>
    <s v="NA"/>
    <x v="3"/>
    <x v="138"/>
    <x v="43"/>
    <s v="Chennai"/>
    <s v="DR Smith, BB McCullum, SK Raina, F du Plessis, MS Dhoni, DJ Bravo, RA Jadeja, R Ashwin, MM Sharma, IC Pandey, A Nehra"/>
    <s v="RV Uthappa, G Gambhir, MK Pandey, SA Yadav, YK Pathan, RN ten Doeschate, AD Russell, PJ Cummins, PP Chawla, UT Yadav, GB Hogg"/>
  </r>
  <r>
    <n v="829759"/>
    <s v="Kings XI Punjab"/>
    <s v="Sunrisers Hyderabad"/>
    <x v="10"/>
    <n v="2015"/>
    <d v="2015-04-27T00:00:00"/>
    <x v="11"/>
    <x v="0"/>
    <s v="Win"/>
    <s v="NA"/>
    <x v="4"/>
    <x v="29"/>
    <x v="41"/>
    <s v="Chandigarh"/>
    <s v="M Vijay, M Vohra, SE Marsh, GJ Bailey, DA Miller, WP Saha, AR Patel, R Dhawan, MG Johnson, Anureet Singh, Sandeep Sharma"/>
    <s v="DA Warner, S Dhawan, GH Vihari, MC Henriques, NV Ojha, RS Bopara, A Ashish Reddy, KV Sharma, P Kumar, B Kumar, TA Boult"/>
  </r>
  <r>
    <n v="829757"/>
    <s v="Delhi Daredevils"/>
    <s v="Royal Challengers Bangalore"/>
    <x v="10"/>
    <n v="2015"/>
    <d v="2015-04-26T00:00:00"/>
    <x v="10"/>
    <x v="0"/>
    <s v="Win"/>
    <s v="NA"/>
    <x v="11"/>
    <x v="157"/>
    <x v="35"/>
    <s v="Delhi"/>
    <s v="MA Agarwal, SS Iyer, JP Duminy, Yuvraj Singh, AD Mathews, KM Jadhav, NM Coulter-Nile, A Mishra, S Nadeem, Imran Tahir, DJ Muthuswami"/>
    <s v="CH Gayle, V Kohli, AB de Villiers, Mandeep Singh, KD Karthik, SN Khan, D Wiese, HV Patel, MA Starc, Iqbal Abdulla, VR Aaron"/>
  </r>
  <r>
    <n v="829753"/>
    <s v="Chennai Super Kings"/>
    <s v="Kings XI Punjab"/>
    <x v="10"/>
    <n v="2015"/>
    <d v="2015-04-25T00:00:00"/>
    <x v="3"/>
    <x v="1"/>
    <s v="Win"/>
    <s v="NA"/>
    <x v="3"/>
    <x v="201"/>
    <x v="43"/>
    <s v="Chennai"/>
    <s v="DR Smith, BB McCullum, SK Raina, MS Dhoni, RA Jadeja, F du Plessis, DJ Bravo, R Ashwin, MM Sharma, IC Pandey, A Nehra"/>
    <s v="M Vijay, V Sehwag, SE Marsh, GJ Bailey, DA Miller, WP Saha, AR Patel, MG Johnson, Anureet Singh, Karanveer Singh, Sandeep Sharma"/>
  </r>
  <r>
    <n v="829751"/>
    <s v="Mumbai Indians"/>
    <s v="Sunrisers Hyderabad"/>
    <x v="10"/>
    <n v="2015"/>
    <d v="2015-04-25T00:00:00"/>
    <x v="1"/>
    <x v="1"/>
    <s v="Win"/>
    <s v="NA"/>
    <x v="2"/>
    <x v="160"/>
    <x v="26"/>
    <s v="Mumbai"/>
    <s v="LMP Simmons, PA Patel, UBT Chand, RG Sharma, KA Pollard, AT Rayudu, Harbhajan Singh, J Suchith, R Vinay Kumar, MJ McClenaghan, SL Malinga"/>
    <s v="S Dhawan, DA Warner, KL Rahul, NV Ojha, RS Bopara, GH Vihari, KV Sharma, P Kumar, DW Steyn, B Kumar, TA Boult"/>
  </r>
  <r>
    <n v="829749"/>
    <s v="Rajasthan Royals"/>
    <s v="Royal Challengers Bangalore"/>
    <x v="10"/>
    <n v="2015"/>
    <d v="2015-04-24T00:00:00"/>
    <x v="10"/>
    <x v="0"/>
    <s v="Win"/>
    <s v="NA"/>
    <x v="11"/>
    <x v="35"/>
    <x v="44"/>
    <s v="Ahmedabad"/>
    <s v="AM Rahane, SR Watson, SPD Smith, KK Nair, DJ Hooda, SV Samson, STR Binny, JP Faulkner, CH Morris, DS Kulkarni, PV Tambe"/>
    <s v="CH Gayle, V Kohli, AB de Villiers, Mandeep Singh, KD Karthik, SN Khan, D Wiese, HV Patel, MA Starc, Iqbal Abdulla, YS Chahal"/>
  </r>
  <r>
    <n v="829747"/>
    <s v="Delhi Daredevils"/>
    <s v="Mumbai Indians"/>
    <x v="10"/>
    <n v="2015"/>
    <d v="2015-04-23T00:00:00"/>
    <x v="1"/>
    <x v="0"/>
    <s v="Win"/>
    <s v="NA"/>
    <x v="13"/>
    <x v="1"/>
    <x v="35"/>
    <s v="Delhi"/>
    <s v="MA Agarwal, SS Iyer, JP Duminy, AD Mathews, Yuvraj Singh, KM Jadhav, NM Coulter-Nile, A Mishra, S Nadeem, Imran Tahir, DJ Muthuswami"/>
    <s v="LMP Simmons, PA Patel, UBT Chand, RG Sharma, KA Pollard, AT Rayudu, HH Pandya, Harbhajan Singh, MJ McClenaghan, SL Malinga, JJ Bumrah"/>
  </r>
  <r>
    <n v="829745"/>
    <s v="Royal Challengers Bangalore"/>
    <s v="Chennai Super Kings"/>
    <x v="10"/>
    <n v="2015"/>
    <d v="2015-04-22T00:00:00"/>
    <x v="10"/>
    <x v="0"/>
    <s v="Win"/>
    <s v="NA"/>
    <x v="3"/>
    <x v="183"/>
    <x v="34"/>
    <s v="Bangalore"/>
    <s v="MS Bisla, RR Rossouw, V Kohli, KD Karthik, AB de Villiers, SN Khan, D Wiese, HV Patel, MA Starc, Iqbal Abdulla, YS Chahal"/>
    <s v="DR Smith, BB McCullum, SK Raina, MS Dhoni, RA Jadeja, F du Plessis, DJ Bravo, R Ashwin, MM Sharma, A Nehra, IC Pandey"/>
  </r>
  <r>
    <n v="829743"/>
    <s v="Sunrisers Hyderabad"/>
    <s v="Kolkata Knight Riders"/>
    <x v="10"/>
    <n v="2015"/>
    <d v="2015-04-22T00:00:00"/>
    <x v="8"/>
    <x v="0"/>
    <s v="Win"/>
    <s v="NA"/>
    <x v="4"/>
    <x v="115"/>
    <x v="23"/>
    <s v="Visakhapatnam"/>
    <s v="S Dhawan, DA Warner, RS Bopara, NV Ojha, MC Henriques, KL Rahul, KV Sharma, Bipul Sharma, P Kumar, B Kumar, DW Steyn"/>
    <s v="RV Uthappa, G Gambhir, MK Pandey, AD Russell, YK Pathan, SA Yadav, J Botha, PP Chawla, SP Narine, M Morkel, UT Yadav"/>
  </r>
  <r>
    <n v="829741"/>
    <s v="Rajasthan Royals"/>
    <s v="Kings XI Punjab"/>
    <x v="10"/>
    <n v="2015"/>
    <d v="2015-04-21T00:00:00"/>
    <x v="11"/>
    <x v="0"/>
    <s v="tie"/>
    <s v="Kings XI Punjab"/>
    <x v="9"/>
    <x v="202"/>
    <x v="44"/>
    <s v="Ahmedabad"/>
    <s v="AM Rahane, SR Watson, DJ Hooda, SPD Smith, KK Nair, JP Faulkner, STR Binny, SV Samson, CH Morris, R Tewatia, PV Tambe"/>
    <s v="M Vijay, V Sehwag, SE Marsh, GJ Maxwell, DA Miller, WP Saha, AR Patel, MG Johnson, Anureet Singh, Shivam Sharma, Sandeep Sharma"/>
  </r>
  <r>
    <n v="829739"/>
    <s v="Delhi Daredevils"/>
    <s v="Kolkata Knight Riders"/>
    <x v="10"/>
    <n v="2015"/>
    <d v="2015-04-20T00:00:00"/>
    <x v="8"/>
    <x v="0"/>
    <s v="Win"/>
    <s v="NA"/>
    <x v="10"/>
    <x v="129"/>
    <x v="35"/>
    <s v="Delhi"/>
    <s v="MA Agarwal, SS Iyer, JP Duminy, MK Tiwary, Yuvraj Singh, AD Mathews, KM Jadhav, NM Coulter-Nile, A Mishra, Imran Tahir, DJ Muthuswami"/>
    <s v="RV Uthappa, G Gambhir, MK Pandey, SA Yadav, YK Pathan, RN ten Doeschate, AD Russell, PP Chawla, SP Narine, M Morkel, UT Yadav"/>
  </r>
  <r>
    <n v="829735"/>
    <s v="Rajasthan Royals"/>
    <s v="Chennai Super Kings"/>
    <x v="10"/>
    <n v="2015"/>
    <d v="2015-04-19T00:00:00"/>
    <x v="3"/>
    <x v="1"/>
    <s v="Win"/>
    <s v="NA"/>
    <x v="7"/>
    <x v="100"/>
    <x v="44"/>
    <s v="Ahmedabad"/>
    <s v="AM Rahane, SR Watson, SPD Smith, KK Nair, SV Samson, STR Binny, DJ Hooda, JP Faulkner, CH Morris, PV Tambe, Ankit Sharma"/>
    <s v="DR Smith, BB McCullum, SK Raina, F du Plessis, DJ Bravo, MS Dhoni, RA Jadeja, R Ashwin, MM Sharma, IC Pandey, A Nehra"/>
  </r>
  <r>
    <n v="829737"/>
    <s v="Royal Challengers Bangalore"/>
    <s v="Mumbai Indians"/>
    <x v="10"/>
    <n v="2015"/>
    <d v="2015-04-19T00:00:00"/>
    <x v="10"/>
    <x v="0"/>
    <s v="Win"/>
    <s v="NA"/>
    <x v="2"/>
    <x v="164"/>
    <x v="34"/>
    <s v="Bangalore"/>
    <s v="CH Gayle, MS Bisla, V Kohli, KD Karthik, AB de Villiers, RR Rossouw, D Wiese, Iqbal Abdulla, AN Ahmed, VR Aaron, YS Chahal"/>
    <s v="LMP Simmons, PA Patel, UBT Chand, RG Sharma, KA Pollard, AT Rayudu, Harbhajan Singh, HH Pandya, JJ Bumrah, MJ McClenaghan, SL Malinga"/>
  </r>
  <r>
    <n v="829731"/>
    <s v="Sunrisers Hyderabad"/>
    <s v="Delhi Daredevils"/>
    <x v="10"/>
    <n v="2015"/>
    <d v="2015-04-18T00:00:00"/>
    <x v="12"/>
    <x v="1"/>
    <s v="Win"/>
    <s v="NA"/>
    <x v="13"/>
    <x v="203"/>
    <x v="23"/>
    <s v="Visakhapatnam"/>
    <s v="DA Warner, S Dhawan, RS Bopara, KL Rahul, NV Ojha, EJG Morgan, A Ashish Reddy, KV Sharma, P Kumar, B Kumar, DW Steyn"/>
    <s v="MA Agarwal, SS Iyer, JP Duminy, Yuvraj Singh, AD Mathews, KM Jadhav, MK Tiwary, NM Coulter-Nile, A Mishra, Imran Tahir, DJ Muthuswami"/>
  </r>
  <r>
    <n v="829733"/>
    <s v="Kings XI Punjab"/>
    <s v="Kolkata Knight Riders"/>
    <x v="10"/>
    <n v="2015"/>
    <d v="2015-04-18T00:00:00"/>
    <x v="8"/>
    <x v="0"/>
    <s v="Win"/>
    <s v="NA"/>
    <x v="10"/>
    <x v="20"/>
    <x v="31"/>
    <s v="Pune"/>
    <s v="M Vijay, V Sehwag, WP Saha, GJ Maxwell, GJ Bailey, NLTC Perera, Gurkeerat Singh, AR Patel, MG Johnson, Anureet Singh, Sandeep Sharma"/>
    <s v="RV Uthappa, G Gambhir, MK Pandey, SA Yadav, YK Pathan, RN ten Doeschate, AD Russell, PP Chawla, SP Narine, M Morkel, UT Yadav"/>
  </r>
  <r>
    <n v="829729"/>
    <s v="Mumbai Indians"/>
    <s v="Chennai Super Kings"/>
    <x v="10"/>
    <n v="2015"/>
    <d v="2015-04-17T00:00:00"/>
    <x v="1"/>
    <x v="1"/>
    <s v="Win"/>
    <s v="NA"/>
    <x v="3"/>
    <x v="192"/>
    <x v="26"/>
    <s v="Mumbai"/>
    <s v="LMP Simmons, PA Patel, CJ Anderson, RG Sharma, Harbhajan Singh, KA Pollard, AT Rayudu, J Suchith, R Vinay Kumar, SL Malinga, P Suyal"/>
    <s v="DR Smith, BB McCullum, SK Raina, F du Plessis, MS Dhoni, DJ Bravo, RA Jadeja, R Ashwin, MM Sharma, IC Pandey, A Nehra"/>
  </r>
  <r>
    <n v="829727"/>
    <s v="Sunrisers Hyderabad"/>
    <s v="Rajasthan Royals"/>
    <x v="10"/>
    <n v="2015"/>
    <d v="2015-04-16T00:00:00"/>
    <x v="7"/>
    <x v="0"/>
    <s v="Win"/>
    <s v="NA"/>
    <x v="7"/>
    <x v="100"/>
    <x v="23"/>
    <s v="Visakhapatnam"/>
    <s v="DA Warner, S Dhawan, KL Rahul, NV Ojha, EJG Morgan, RS Bopara, A Ashish Reddy, KV Sharma, P Kumar, B Kumar, TA Boult"/>
    <s v="AM Rahane, SV Samson, SPD Smith, KK Nair, STR Binny, JP Faulkner, DJ Hooda, CH Morris, TG Southee, DS Kulkarni, PV Tambe"/>
  </r>
  <r>
    <n v="829725"/>
    <s v="Kings XI Punjab"/>
    <s v="Delhi Daredevils"/>
    <x v="10"/>
    <n v="2015"/>
    <d v="2015-04-15T00:00:00"/>
    <x v="11"/>
    <x v="1"/>
    <s v="Win"/>
    <s v="NA"/>
    <x v="13"/>
    <x v="123"/>
    <x v="31"/>
    <s v="Pune"/>
    <s v="M Vijay, V Sehwag, WP Saha, DA Miller, GJ Maxwell, GJ Bailey, AR Patel, R Dhawan, MG Johnson, Anureet Singh, Sandeep Sharma"/>
    <s v="MA Agarwal, SS Iyer, JP Duminy, Yuvraj Singh, AD Mathews, KM Jadhav, MK Tiwary, NM Coulter-Nile, A Mishra, Imran Tahir, DJ Muthuswami"/>
  </r>
  <r>
    <n v="829721"/>
    <s v="Rajasthan Royals"/>
    <s v="Mumbai Indians"/>
    <x v="10"/>
    <n v="2015"/>
    <d v="2015-04-14T00:00:00"/>
    <x v="1"/>
    <x v="1"/>
    <s v="Win"/>
    <s v="NA"/>
    <x v="7"/>
    <x v="159"/>
    <x v="44"/>
    <s v="Ahmedabad"/>
    <s v="AM Rahane, SV Samson, SPD Smith, DJ Hooda, JP Faulkner, KK Nair, STR Binny, CH Morris, TG Southee, DS Kulkarni, PV Tambe"/>
    <s v="AJ Finch, PA Patel, UBT Chand, RG Sharma, CJ Anderson, KA Pollard, J Suchith, S Gopal, SL Malinga, R Vinay Kumar, P Suyal"/>
  </r>
  <r>
    <n v="829719"/>
    <s v="Royal Challengers Bangalore"/>
    <s v="Sunrisers Hyderabad"/>
    <x v="10"/>
    <n v="2015"/>
    <d v="2015-04-13T00:00:00"/>
    <x v="4"/>
    <x v="0"/>
    <s v="Win"/>
    <s v="NA"/>
    <x v="4"/>
    <x v="115"/>
    <x v="34"/>
    <s v="Bangalore"/>
    <s v="CH Gayle, V Kohli, KD Karthik, AB de Villiers, Mandeep Singh, DJG Sammy, SA Abbott, HV Patel, AN Ahmed, VR Aaron, YS Chahal"/>
    <s v="DA Warner, S Dhawan, KS Williamson, KL Rahul, NV Ojha, RS Bopara, A Ashish Reddy, KV Sharma, P Kumar, B Kumar, TA Boult"/>
  </r>
  <r>
    <n v="829717"/>
    <s v="Mumbai Indians"/>
    <s v="Kings XI Punjab"/>
    <x v="10"/>
    <n v="2015"/>
    <d v="2015-04-12T00:00:00"/>
    <x v="1"/>
    <x v="0"/>
    <s v="Win"/>
    <s v="NA"/>
    <x v="12"/>
    <x v="204"/>
    <x v="26"/>
    <s v="Mumbai"/>
    <s v="RG Sharma, AJ Finch, AP Tare, AT Rayudu, CJ Anderson, KA Pollard, J Suchith, Harbhajan Singh, R Vinay Kumar, SL Malinga, P Suyal"/>
    <s v="M Vijay, V Sehwag, GJ Maxwell, DA Miller, GJ Bailey, R Dhawan, MG Johnson, WP Saha, AR Patel, Anureet Singh, Sandeep Sharma"/>
  </r>
  <r>
    <n v="829715"/>
    <s v="Delhi Daredevils"/>
    <s v="Rajasthan Royals"/>
    <x v="10"/>
    <n v="2015"/>
    <d v="2015-04-12T00:00:00"/>
    <x v="7"/>
    <x v="0"/>
    <s v="Win"/>
    <s v="NA"/>
    <x v="7"/>
    <x v="205"/>
    <x v="35"/>
    <s v="Delhi"/>
    <s v="MA Agarwal, SS Iyer, JP Duminy, Yuvraj Singh, AD Mathews, MK Tiwary, KM Jadhav, NM Coulter-Nile, A Mishra, Imran Tahir, JD Unadkat"/>
    <s v="AM Rahane, SV Samson, SPD Smith, KK Nair, STR Binny, DJ Hooda, JP Faulkner, CH Morris, TG Southee, DS Kulkarni, PV Tambe"/>
  </r>
  <r>
    <n v="829711"/>
    <s v="Chennai Super Kings"/>
    <s v="Sunrisers Hyderabad"/>
    <x v="10"/>
    <n v="2015"/>
    <d v="2015-04-11T00:00:00"/>
    <x v="3"/>
    <x v="1"/>
    <s v="Win"/>
    <s v="NA"/>
    <x v="3"/>
    <x v="201"/>
    <x v="43"/>
    <s v="Chennai"/>
    <s v="DR Smith, BB McCullum, SK Raina, MS Dhoni, RA Jadeja, DJ Bravo, F du Plessis, R Ashwin, MM Sharma, IC Pandey, A Nehra"/>
    <s v="DA Warner, S Dhawan, KL Rahul, NV Ojha, RS Bopara, KS Williamson, KV Sharma, Parvez Rasool, B Kumar, I Sharma, TA Boult"/>
  </r>
  <r>
    <n v="829713"/>
    <s v="Kolkata Knight Riders"/>
    <s v="Royal Challengers Bangalore"/>
    <x v="10"/>
    <n v="2015"/>
    <d v="2015-04-11T00:00:00"/>
    <x v="10"/>
    <x v="0"/>
    <s v="Win"/>
    <s v="NA"/>
    <x v="11"/>
    <x v="151"/>
    <x v="29"/>
    <s v="Kolkata"/>
    <s v="RV Uthappa, G Gambhir, MK Pandey, SA Yadav, YK Pathan, AD Russell, Shakib Al Hasan, PP Chawla, SP Narine, KC Cariappa, M Morkel"/>
    <s v="CH Gayle, V Kohli, KD Karthik, Mandeep Singh, AB de Villiers, DJG Sammy, SA Abbott, HV Patel, AN Ahmed, YS Chahal, VR Aaron"/>
  </r>
  <r>
    <n v="829709"/>
    <s v="Kings XI Punjab"/>
    <s v="Rajasthan Royals"/>
    <x v="10"/>
    <n v="2015"/>
    <d v="2015-04-10T00:00:00"/>
    <x v="11"/>
    <x v="0"/>
    <s v="Win"/>
    <s v="NA"/>
    <x v="7"/>
    <x v="206"/>
    <x v="31"/>
    <s v="Pune"/>
    <s v="V Sehwag, M Vijay, WP Saha, GJ Maxwell, AR Patel, DA Miller, GJ Bailey, MG Johnson, Anureet Singh, Karanveer Singh, Sandeep Sharma"/>
    <s v="AM Rahane, SV Samson, SPD Smith, KK Nair, STR Binny, DJ Hooda, JP Faulkner, CH Morris, TG Southee, DS Kulkarni, PV Tambe"/>
  </r>
  <r>
    <n v="829707"/>
    <s v="Chennai Super Kings"/>
    <s v="Delhi Daredevils"/>
    <x v="10"/>
    <n v="2015"/>
    <d v="2015-04-09T00:00:00"/>
    <x v="12"/>
    <x v="0"/>
    <s v="Win"/>
    <s v="NA"/>
    <x v="3"/>
    <x v="192"/>
    <x v="43"/>
    <s v="Chennai"/>
    <s v="DR Smith, BB McCullum, SK Raina, F du Plessis, RA Jadeja, MS Dhoni, DJ Bravo, R Ashwin, MM Sharma, IC Pandey, A Nehra"/>
    <s v="MA Agarwal, CM Gautam, JA Morkel, SS Iyer, KM Jadhav, Yuvraj Singh, JP Duminy, NM Coulter-Nile, A Mishra, Imran Tahir, DJ Muthuswami"/>
  </r>
  <r>
    <n v="829705"/>
    <s v="Kolkata Knight Riders"/>
    <s v="Mumbai Indians"/>
    <x v="10"/>
    <n v="2015"/>
    <d v="2015-04-08T00:00:00"/>
    <x v="8"/>
    <x v="0"/>
    <s v="Win"/>
    <s v="NA"/>
    <x v="10"/>
    <x v="207"/>
    <x v="29"/>
    <s v="Kolkata"/>
    <s v="RV Uthappa, G Gambhir, MK Pandey, SA Yadav, YK Pathan, Shakib Al Hasan, AD Russell, PP Chawla, SP Narine, UT Yadav, M Morkel"/>
    <s v="RG Sharma, AJ Finch, AP Tare, AT Rayudu, CJ Anderson, KA Pollard, Harbhajan Singh, SL Malinga, R Vinay Kumar, JJ Bumrah, PP Ojha"/>
  </r>
  <r>
    <n v="734049"/>
    <s v="Kolkata Knight Riders"/>
    <s v="Kings XI Punjab"/>
    <x v="11"/>
    <n v="2014"/>
    <d v="2014-06-01T00:00:00"/>
    <x v="8"/>
    <x v="0"/>
    <s v="Win"/>
    <s v="NA"/>
    <x v="10"/>
    <x v="153"/>
    <x v="34"/>
    <s v="Bangalore"/>
    <s v="RV Uthappa, G Gambhir, MK Pandey, YK Pathan, Shakib Al Hasan, RN ten Doeschate, SA Yadav, PP Chawla, SP Narine, M Morkel, UT Yadav"/>
    <s v="V Sehwag, M Vohra, GJ Bailey, WP Saha, GJ Maxwell, DA Miller, AR Patel, MG Johnson, L Balaji, Karanveer Singh, P Awana"/>
  </r>
  <r>
    <n v="734047"/>
    <s v="Chennai Super Kings"/>
    <s v="Kings XI Punjab"/>
    <x v="11"/>
    <n v="2014"/>
    <d v="2014-05-30T00:00:00"/>
    <x v="3"/>
    <x v="0"/>
    <s v="Win"/>
    <s v="NA"/>
    <x v="12"/>
    <x v="208"/>
    <x v="26"/>
    <s v="Mumbai"/>
    <s v="DR Smith, F du Plessis, SK Raina, BB McCullum, RA Jadeja, DJ Hussey, MS Dhoni, R Ashwin, MM Sharma, IC Pandey, A Nehra"/>
    <s v="V Sehwag, M Vohra, GJ Maxwell, DA Miller, GJ Bailey, WP Saha, MG Johnson, AR Patel, Karanveer Singh, Sandeep Sharma, P Awana"/>
  </r>
  <r>
    <n v="734045"/>
    <s v="Chennai Super Kings"/>
    <s v="Mumbai Indians"/>
    <x v="11"/>
    <n v="2014"/>
    <d v="2014-05-28T00:00:00"/>
    <x v="3"/>
    <x v="0"/>
    <s v="Win"/>
    <s v="NA"/>
    <x v="3"/>
    <x v="183"/>
    <x v="42"/>
    <s v="Mumbai"/>
    <s v="DR Smith, F du Plessis, SK Raina, BB McCullum, DJ Hussey, MS Dhoni, RA Jadeja, R Ashwin, MM Sharma, IC Pandey, A Nehra"/>
    <s v="LMP Simmons, MEK Hussey, CJ Anderson, RG Sharma, KA Pollard, AT Rayudu, AP Tare, Harbhajan Singh, P Kumar, PP Ojha, JJ Bumrah"/>
  </r>
  <r>
    <n v="734043"/>
    <s v="Kings XI Punjab"/>
    <s v="Kolkata Knight Riders"/>
    <x v="11"/>
    <n v="2014"/>
    <d v="2014-05-27T00:00:00"/>
    <x v="11"/>
    <x v="0"/>
    <s v="Win"/>
    <s v="NA"/>
    <x v="10"/>
    <x v="129"/>
    <x v="29"/>
    <s v="Kolkata"/>
    <s v="V Sehwag, M Vohra, WP Saha, GJ Maxwell, DA Miller, AR Patel, GJ Bailey, R Dhawan, MG Johnson, Karanveer Singh, P Awana"/>
    <s v="RV Uthappa, G Gambhir, MK Pandey, Shakib Al Hasan, YK Pathan, RN ten Doeschate, SA Yadav, PP Chawla, SP Narine, M Morkel, UT Yadav"/>
  </r>
  <r>
    <n v="734041"/>
    <s v="Mumbai Indians"/>
    <s v="Rajasthan Royals"/>
    <x v="11"/>
    <n v="2014"/>
    <d v="2014-05-25T00:00:00"/>
    <x v="1"/>
    <x v="0"/>
    <s v="Win"/>
    <s v="NA"/>
    <x v="2"/>
    <x v="184"/>
    <x v="26"/>
    <s v="Mumbai"/>
    <s v="LMP Simmons, MEK Hussey, CJ Anderson, KA Pollard, RG Sharma, AT Rayudu, AP Tare, Harbhajan Singh, S Gopal, PP Ojha, JJ Bumrah"/>
    <s v="SR Watson, SV Samson, KK Nair, BJ Hodge, JP Faulkner, KK Cooper, AM Rahane, AM Nayar, Ankit Sharma, PV Tambe, DS Kulkarni"/>
  </r>
  <r>
    <n v="734039"/>
    <s v="Kings XI Punjab"/>
    <s v="Delhi Daredevils"/>
    <x v="11"/>
    <n v="2014"/>
    <d v="2014-05-25T00:00:00"/>
    <x v="11"/>
    <x v="0"/>
    <s v="Win"/>
    <s v="NA"/>
    <x v="12"/>
    <x v="195"/>
    <x v="41"/>
    <s v="Chandigarh"/>
    <s v="V Sehwag, M Vohra, GJ Maxwell, DA Miller, GJ Bailey, WP Saha, AR Patel, MG Johnson, R Dhawan, Karanveer Singh, P Awana"/>
    <s v="KP Pietersen, MA Agarwal, KD Karthik, KM Jadhav, MK Tiwary, JP Duminy, JDS Neesham, S Nadeem, Mohammed Shami, Imran Tahir, JD Unadkat"/>
  </r>
  <r>
    <n v="734037"/>
    <s v="Kolkata Knight Riders"/>
    <s v="Sunrisers Hyderabad"/>
    <x v="11"/>
    <n v="2014"/>
    <d v="2014-05-24T00:00:00"/>
    <x v="8"/>
    <x v="0"/>
    <s v="Win"/>
    <s v="NA"/>
    <x v="10"/>
    <x v="189"/>
    <x v="29"/>
    <s v="Kolkata"/>
    <s v="RV Uthappa, G Gambhir, MK Pandey, YK Pathan, RN ten Doeschate, Shakib Al Hasan, SA Yadav, R Vinay Kumar, M Morkel, UT Yadav, SP Narine"/>
    <s v="DA Warner, S Dhawan, NV Ojha, Y Venugopal Rao, DJG Sammy, S Anirudha, JO Holder, KV Sharma, Parvez Rasool, DW Steyn, B Kumar"/>
  </r>
  <r>
    <n v="734035"/>
    <s v="Royal Challengers Bangalore"/>
    <s v="Chennai Super Kings"/>
    <x v="11"/>
    <n v="2014"/>
    <d v="2014-05-24T00:00:00"/>
    <x v="3"/>
    <x v="0"/>
    <s v="Win"/>
    <s v="NA"/>
    <x v="3"/>
    <x v="37"/>
    <x v="34"/>
    <s v="Bangalore"/>
    <s v="RR Rossouw, YV Takawale, VH Zol, V Kohli, Yuvraj Singh, AB de Villiers, S Rana, MA Starc, YS Chahal, R Rampaul, SB Jakati"/>
    <s v="DR Smith, F du Plessis, SK Raina, MS Dhoni, DJ Hussey, RA Jadeja, M Manhas, R Ashwin, MM Sharma, S Badree, A Nehra"/>
  </r>
  <r>
    <n v="734031"/>
    <s v="Mumbai Indians"/>
    <s v="Delhi Daredevils"/>
    <x v="11"/>
    <n v="2014"/>
    <d v="2014-05-23T00:00:00"/>
    <x v="12"/>
    <x v="0"/>
    <s v="Win"/>
    <s v="NA"/>
    <x v="2"/>
    <x v="209"/>
    <x v="26"/>
    <s v="Mumbai"/>
    <s v="LMP Simmons, MEK Hussey, RG Sharma, KA Pollard, AT Rayudu, AP Tare, Harbhajan Singh, S Gopal, M de Lange, PP Ojha, JJ Bumrah"/>
    <s v="M Vijay, KP Pietersen, KD Karthik, MK Tiwary, JP Duminy, KM Jadhav, WD Parnell, S Nadeem, JD Unadkat, S Kaul, Imran Tahir"/>
  </r>
  <r>
    <n v="734033"/>
    <s v="Kings XI Punjab"/>
    <s v="Rajasthan Royals"/>
    <x v="11"/>
    <n v="2014"/>
    <d v="2014-05-23T00:00:00"/>
    <x v="7"/>
    <x v="0"/>
    <s v="Win"/>
    <s v="NA"/>
    <x v="12"/>
    <x v="202"/>
    <x v="41"/>
    <s v="Chandigarh"/>
    <s v="V Sehwag, M Vohra, SE Marsh, WP Saha, DA Miller, GJ Bailey, AR Patel, R Dhawan, Karanveer Singh, BE Hendricks, L Balaji"/>
    <s v="AM Rahane, KK Nair, SV Samson, SR Watson, STR Binny, R Tewatia, BJ Hodge, JP Faulkner, KK Cooper, VS Malik, PV Tambe"/>
  </r>
  <r>
    <n v="734027"/>
    <s v="Kolkata Knight Riders"/>
    <s v="Royal Challengers Bangalore"/>
    <x v="11"/>
    <n v="2014"/>
    <d v="2014-05-22T00:00:00"/>
    <x v="10"/>
    <x v="0"/>
    <s v="Win"/>
    <s v="NA"/>
    <x v="10"/>
    <x v="180"/>
    <x v="29"/>
    <s v="Kolkata"/>
    <s v="RV Uthappa, G Gambhir, MK Pandey, YK Pathan, Shakib Al Hasan, RN ten Doeschate, SA Yadav, R Vinay Kumar, M Morkel, UT Yadav, SP Narine"/>
    <s v="CH Gayle, YV Takawale, V Kohli, Yuvraj Singh, AB de Villiers, S Rana, MA Starc, AN Ahmed, AB Dinda, YS Chahal, M Muralitharan"/>
  </r>
  <r>
    <n v="734029"/>
    <s v="Chennai Super Kings"/>
    <s v="Sunrisers Hyderabad"/>
    <x v="11"/>
    <n v="2014"/>
    <d v="2014-05-22T00:00:00"/>
    <x v="4"/>
    <x v="0"/>
    <s v="Win"/>
    <s v="NA"/>
    <x v="4"/>
    <x v="115"/>
    <x v="40"/>
    <s v="Ranchi"/>
    <s v="DR Smith, F du Plessis, SK Raina, DJ Hussey, MS Dhoni, RA Jadeja, M Manhas, R Ashwin, JW Hastings, MM Sharma, P Negi"/>
    <s v="DA Warner, S Dhawan, NV Ojha, AJ Finch, DJG Sammy, Y Venugopal Rao, IK Pathan, KV Sharma, Parvez Rasool, DW Steyn, B Kumar"/>
  </r>
  <r>
    <n v="734025"/>
    <s v="Kings XI Punjab"/>
    <s v="Mumbai Indians"/>
    <x v="11"/>
    <n v="2014"/>
    <d v="2014-05-21T00:00:00"/>
    <x v="1"/>
    <x v="0"/>
    <s v="Win"/>
    <s v="NA"/>
    <x v="2"/>
    <x v="177"/>
    <x v="41"/>
    <s v="Chandigarh"/>
    <s v="V Sehwag, M Vohra, SE Marsh, GJ Maxwell, GJ Bailey, WP Saha, AR Patel, R Dhawan, BE Hendricks, Shivam Sharma, Sandeep Sharma"/>
    <s v="LMP Simmons, MEK Hussey, AT Rayudu, RG Sharma, KA Pollard, AP Tare, JJ Bumrah, K Santokie, P Kumar, PP Ojha, S Gopal"/>
  </r>
  <r>
    <n v="734023"/>
    <s v="Kolkata Knight Riders"/>
    <s v="Chennai Super Kings"/>
    <x v="11"/>
    <n v="2014"/>
    <d v="2014-05-20T00:00:00"/>
    <x v="8"/>
    <x v="0"/>
    <s v="Win"/>
    <s v="NA"/>
    <x v="10"/>
    <x v="180"/>
    <x v="29"/>
    <s v="Kolkata"/>
    <s v="RV Uthappa, G Gambhir, MK Pandey, Shakib Al Hasan, YK Pathan, RN ten Doeschate, SA Yadav, PP Chawla, PJ Cummins, UT Yadav, SP Narine"/>
    <s v="DR Smith, BB McCullum, SK Raina, F du Plessis, MS Dhoni, RA Jadeja, M Manhas, R Ashwin, IC Pandey, MM Sharma, BW Hilfenhaus"/>
  </r>
  <r>
    <n v="734021"/>
    <s v="Sunrisers Hyderabad"/>
    <s v="Royal Challengers Bangalore"/>
    <x v="11"/>
    <n v="2014"/>
    <d v="2014-05-20T00:00:00"/>
    <x v="10"/>
    <x v="1"/>
    <s v="Win"/>
    <s v="NA"/>
    <x v="4"/>
    <x v="115"/>
    <x v="33"/>
    <s v="Hyderabad"/>
    <s v="S Dhawan, DA Warner, NV Ojha, AJ Finch, DJG Sammy, Y Venugopal Rao, IK Pathan, KV Sharma, Parvez Rasool, DW Steyn, B Kumar"/>
    <s v="CH Gayle, PA Patel, V Kohli, Yuvraj Singh, AB de Villiers, S Rana, MA Starc, M Muralitharan, YS Chahal, AN Ahmed, VR Aaron"/>
  </r>
  <r>
    <n v="734017"/>
    <s v="Rajasthan Royals"/>
    <s v="Mumbai Indians"/>
    <x v="11"/>
    <n v="2014"/>
    <d v="2014-05-19T00:00:00"/>
    <x v="1"/>
    <x v="1"/>
    <s v="Win"/>
    <s v="NA"/>
    <x v="2"/>
    <x v="209"/>
    <x v="44"/>
    <s v="Ahmedabad"/>
    <s v="KK Nair, UBT Chand, SR Watson, SV Samson, KK Cooper, Ankit Sharma, STR Binny, BJ Hodge, JP Faulkner, R Bhatia, DS Kulkarni"/>
    <s v="MEK Hussey, LMP Simmons, KA Pollard, RG Sharma, AT Rayudu, AP Tare, Harbhajan Singh, JJ Bumrah, K Santokie, PP Ojha, S Gopal"/>
  </r>
  <r>
    <n v="734019"/>
    <s v="Delhi Daredevils"/>
    <s v="Kings XI Punjab"/>
    <x v="11"/>
    <n v="2014"/>
    <d v="2014-05-19T00:00:00"/>
    <x v="11"/>
    <x v="0"/>
    <s v="Win"/>
    <s v="NA"/>
    <x v="12"/>
    <x v="99"/>
    <x v="35"/>
    <s v="Delhi"/>
    <s v="M Vijay, KP Pietersen, KD Karthik, JP Duminy, KM Jadhav, MA Agarwal, MK Tiwary, WD Parnell, Mohammed Shami, Imran Tahir, JD Unadkat"/>
    <s v="V Sehwag, M Vohra, GJ Maxwell, DA Miller, WP Saha, AR Patel, GJ Bailey, R Dhawan, BE Hendricks, Shivam Sharma, Sandeep Sharma"/>
  </r>
  <r>
    <n v="734013"/>
    <s v="Chennai Super Kings"/>
    <s v="Royal Challengers Bangalore"/>
    <x v="11"/>
    <n v="2014"/>
    <d v="2014-05-18T00:00:00"/>
    <x v="3"/>
    <x v="1"/>
    <s v="Win"/>
    <s v="NA"/>
    <x v="11"/>
    <x v="142"/>
    <x v="40"/>
    <s v="Ranchi"/>
    <s v="DR Smith, BB McCullum, SK Raina, DJ Hussey, MS Dhoni, RA Jadeja, M Manhas, R Ashwin, IC Pandey, MM Sharma, S Badree"/>
    <s v="CH Gayle, PA Patel, V Kohli, AB de Villiers, Yuvraj Singh, S Rana, AN Ahmed, MA Starc, M Muralitharan, YS Chahal, VR Aaron"/>
  </r>
  <r>
    <n v="734015"/>
    <s v="Sunrisers Hyderabad"/>
    <s v="Kolkata Knight Riders"/>
    <x v="11"/>
    <n v="2014"/>
    <d v="2014-05-18T00:00:00"/>
    <x v="4"/>
    <x v="1"/>
    <s v="Win"/>
    <s v="NA"/>
    <x v="10"/>
    <x v="129"/>
    <x v="33"/>
    <s v="Hyderabad"/>
    <s v="AJ Finch, S Dhawan, NV Ojha, DA Warner, KL Rahul, IK Pathan, DJG Sammy, KV Sharma, DW Steyn, A Mishra, B Kumar"/>
    <s v="RV Uthappa, G Gambhir, MK Pandey, YK Pathan, RN ten Doeschate, Shakib Al Hasan, SA Yadav, PP Chawla, M Morkel, UT Yadav, SP Narine"/>
  </r>
  <r>
    <n v="734011"/>
    <s v="Rajasthan Royals"/>
    <s v="Delhi Daredevils"/>
    <x v="11"/>
    <n v="2014"/>
    <d v="2014-05-15T00:00:00"/>
    <x v="12"/>
    <x v="0"/>
    <s v="Win"/>
    <s v="NA"/>
    <x v="7"/>
    <x v="100"/>
    <x v="44"/>
    <s v="Ahmedabad"/>
    <s v="AM Rahane, KK Nair, KK Cooper, SV Samson, STR Binny, BCJ Cutting, JP Faulkner, SPD Smith, R Bhatia, DS Kulkarni, PV Tambe"/>
    <s v="KP Pietersen, MA Agarwal, KD Karthik, JP Duminy, MK Tiwary, LRPL Taylor, KM Jadhav, S Nadeem, Imran Tahir, R Shukla, S Kaul"/>
  </r>
  <r>
    <n v="734009"/>
    <s v="Kolkata Knight Riders"/>
    <s v="Mumbai Indians"/>
    <x v="11"/>
    <n v="2014"/>
    <d v="2014-05-14T00:00:00"/>
    <x v="8"/>
    <x v="0"/>
    <s v="Win"/>
    <s v="NA"/>
    <x v="10"/>
    <x v="180"/>
    <x v="45"/>
    <s v="Cuttack"/>
    <s v="RV Uthappa, G Gambhir, MK Pandey, YK Pathan, Shakib Al Hasan, RN ten Doeschate, SA Yadav, PP Chawla, M Morkel, UT Yadav, SP Narine"/>
    <s v="LMP Simmons, CM Gautam, AT Rayudu, RG Sharma, CJ Anderson, KA Pollard, AP Tare, Harbhajan Singh, SL Malinga, JJ Bumrah, PP Ojha"/>
  </r>
  <r>
    <n v="734007"/>
    <s v="Sunrisers Hyderabad"/>
    <s v="Kings XI Punjab"/>
    <x v="11"/>
    <n v="2014"/>
    <d v="2014-05-14T00:00:00"/>
    <x v="11"/>
    <x v="0"/>
    <s v="Win"/>
    <s v="NA"/>
    <x v="12"/>
    <x v="112"/>
    <x v="33"/>
    <s v="Hyderabad"/>
    <s v="AJ Finch, S Dhawan, NV Ojha, DA Warner, MC Henriques, IK Pathan, KV Sharma, KL Rahul, DW Steyn, A Mishra, B Kumar"/>
    <s v="V Sehwag, M Vohra, WP Saha, GJ Maxwell, DA Miller, GJ Bailey, AR Patel, MG Johnson, Shivam Sharma, R Dhawan, Sandeep Sharma"/>
  </r>
  <r>
    <n v="734003"/>
    <s v="Chennai Super Kings"/>
    <s v="Rajasthan Royals"/>
    <x v="11"/>
    <n v="2014"/>
    <d v="2014-05-13T00:00:00"/>
    <x v="7"/>
    <x v="1"/>
    <s v="Win"/>
    <s v="NA"/>
    <x v="3"/>
    <x v="64"/>
    <x v="40"/>
    <s v="Ranchi"/>
    <s v="DR Smith, BB McCullum, SK Raina, F du Plessis, R Ashwin, MS Dhoni, RA Jadeja, V Shankar, IC Pandey, MM Sharma, S Badree"/>
    <s v="Ankit Sharma, SR Watson, AM Rahane, KK Nair, STR Binny, SPD Smith, JP Faulkner, DH Yagnik, R Bhatia, KK Cooper, PV Tambe"/>
  </r>
  <r>
    <n v="734005"/>
    <s v="Royal Challengers Bangalore"/>
    <s v="Delhi Daredevils"/>
    <x v="11"/>
    <n v="2014"/>
    <d v="2014-05-13T00:00:00"/>
    <x v="12"/>
    <x v="0"/>
    <s v="Win"/>
    <s v="NA"/>
    <x v="11"/>
    <x v="186"/>
    <x v="34"/>
    <s v="Bangalore"/>
    <s v="CH Gayle, PA Patel, V Kohli, AB de Villiers, Yuvraj Singh, S Rana, VH Zol, MA Starc, M Muralitharan, YS Chahal, AN Ahmed"/>
    <s v="Q de Kock, M Vijay, MA Agarwal, KP Pietersen, JP Duminy, KD Karthik, KM Jadhav, R Shukla, Mohammed Shami, Imran Tahir, S Kaul"/>
  </r>
  <r>
    <n v="734001"/>
    <s v="Sunrisers Hyderabad"/>
    <s v="Mumbai Indians"/>
    <x v="11"/>
    <n v="2014"/>
    <d v="2014-05-12T00:00:00"/>
    <x v="4"/>
    <x v="1"/>
    <s v="Win"/>
    <s v="NA"/>
    <x v="2"/>
    <x v="156"/>
    <x v="33"/>
    <s v="Hyderabad"/>
    <s v="AJ Finch, S Dhawan, KL Rahul, DA Warner, NV Ojha, MC Henriques, IK Pathan, KV Sharma, DW Steyn, A Mishra, B Kumar"/>
    <s v="LMP Simmons, CM Gautam, AT Rayudu, RG Sharma, KA Pollard, CJ Anderson, AP Tare, Harbhajan Singh, SL Malinga, JJ Bumrah, PP Ojha"/>
  </r>
  <r>
    <n v="733997"/>
    <s v="Kings XI Punjab"/>
    <s v="Kolkata Knight Riders"/>
    <x v="11"/>
    <n v="2014"/>
    <d v="2014-05-11T00:00:00"/>
    <x v="8"/>
    <x v="0"/>
    <s v="Win"/>
    <s v="NA"/>
    <x v="10"/>
    <x v="178"/>
    <x v="45"/>
    <s v="Cuttack"/>
    <s v="V Sehwag, Mandeep Singh, WP Saha, GJ Maxwell, DA Miller, GJ Bailey, R Dhawan, MG Johnson, AR Patel, P Awana, Sandeep Sharma"/>
    <s v="RV Uthappa, G Gambhir, MK Pandey, JH Kallis, RN ten Doeschate, YK Pathan, SA Yadav, PP Chawla, M Morkel, UT Yadav, SP Narine"/>
  </r>
  <r>
    <n v="733999"/>
    <s v="Royal Challengers Bangalore"/>
    <s v="Rajasthan Royals"/>
    <x v="11"/>
    <n v="2014"/>
    <d v="2014-05-11T00:00:00"/>
    <x v="10"/>
    <x v="1"/>
    <s v="Win"/>
    <s v="NA"/>
    <x v="7"/>
    <x v="206"/>
    <x v="34"/>
    <s v="Bangalore"/>
    <s v="V Kohli, CH Gayle, VH Zol, AB de Villiers, Yuvraj Singh, JA Morkel, PA Patel, MA Starc, VR Aaron, YS Chahal, AB Dinda"/>
    <s v="AM Rahane, KK Nair, SR Watson, STR Binny, SV Samson, SPD Smith, JP Faulkner, R Bhatia, KW Richardson, PV Tambe, R Tewatia"/>
  </r>
  <r>
    <n v="733995"/>
    <s v="Mumbai Indians"/>
    <s v="Chennai Super Kings"/>
    <x v="11"/>
    <n v="2014"/>
    <d v="2014-05-10T00:00:00"/>
    <x v="3"/>
    <x v="0"/>
    <s v="Win"/>
    <s v="NA"/>
    <x v="3"/>
    <x v="176"/>
    <x v="26"/>
    <s v="Mumbai"/>
    <s v="LMP Simmons, CM Gautam, AT Rayudu, RG Sharma, KA Pollard, CJ Anderson, AP Tare, Harbhajan Singh, SL Malinga, JJ Bumrah, P Kumar"/>
    <s v="DR Smith, BB McCullum, SK Raina, F du Plessis, MS Dhoni, RA Jadeja, M Manhas, R Ashwin, IC Pandey, MM Sharma, S Badree"/>
  </r>
  <r>
    <n v="733993"/>
    <s v="Delhi Daredevils"/>
    <s v="Sunrisers Hyderabad"/>
    <x v="11"/>
    <n v="2014"/>
    <d v="2014-05-10T00:00:00"/>
    <x v="4"/>
    <x v="0"/>
    <s v="Win"/>
    <s v="NA"/>
    <x v="4"/>
    <x v="210"/>
    <x v="35"/>
    <s v="Delhi"/>
    <s v="Q de Kock, KP Pietersen, MA Agarwal, KD Karthik, LR Shukla, JP Duminy, KM Jadhav, R Shukla, Mohammed Shami, Imran Tahir, S Kaul"/>
    <s v="AJ Finch, S Dhawan, DA Warner, NV Ojha, KL Rahul, MC Henriques, IK Pathan, KV Sharma, DW Steyn, A Mishra, B Kumar"/>
  </r>
  <r>
    <n v="733991"/>
    <s v="Royal Challengers Bangalore"/>
    <s v="Kings XI Punjab"/>
    <x v="11"/>
    <n v="2014"/>
    <d v="2014-05-09T00:00:00"/>
    <x v="10"/>
    <x v="0"/>
    <s v="Win"/>
    <s v="NA"/>
    <x v="12"/>
    <x v="73"/>
    <x v="34"/>
    <s v="Bangalore"/>
    <s v="CH Gayle, PA Patel, V Kohli, S Rana, AB de Villiers, Yuvraj Singh, JA Morkel, MA Starc, HV Patel, VR Aaron, YS Chahal"/>
    <s v="V Sehwag, Mandeep Singh, GJ Maxwell, DA Miller, GJ Bailey, WP Saha, MG Johnson, AR Patel, Shivam Sharma, L Balaji, Sandeep Sharma"/>
  </r>
  <r>
    <n v="733989"/>
    <s v="Rajasthan Royals"/>
    <s v="Sunrisers Hyderabad"/>
    <x v="11"/>
    <n v="2014"/>
    <d v="2014-05-08T00:00:00"/>
    <x v="7"/>
    <x v="0"/>
    <s v="Win"/>
    <s v="NA"/>
    <x v="4"/>
    <x v="66"/>
    <x v="44"/>
    <s v="Ahmedabad"/>
    <s v="AM Rahane, KK Nair, SV Samson, SR Watson, STR Binny, SPD Smith, R Bhatia, JP Faulkner, KW Richardson, DS Kulkarni, PV Tambe"/>
    <s v="S Dhawan, AJ Finch, KL Rahul, NV Ojha, DA Warner, MC Henriques, IK Pathan, KV Sharma, DW Steyn, A Mishra, B Kumar"/>
  </r>
  <r>
    <n v="733987"/>
    <s v="Kings XI Punjab"/>
    <s v="Chennai Super Kings"/>
    <x v="11"/>
    <n v="2014"/>
    <d v="2014-05-07T00:00:00"/>
    <x v="3"/>
    <x v="0"/>
    <s v="Win"/>
    <s v="NA"/>
    <x v="12"/>
    <x v="101"/>
    <x v="45"/>
    <s v="Cuttack"/>
    <s v="V Sehwag, Mandeep Singh, GJ Maxwell, DA Miller, GJ Bailey, MG Johnson, WP Saha, R Dhawan, AR Patel, M Kartik, Sandeep Sharma"/>
    <s v="DR Smith, BB McCullum, SK Raina, RA Jadeja, F du Plessis, MS Dhoni, M Manhas, R Ashwin, BW Hilfenhaus, IC Pandey, MM Sharma"/>
  </r>
  <r>
    <n v="733985"/>
    <s v="Delhi Daredevils"/>
    <s v="Kolkata Knight Riders"/>
    <x v="11"/>
    <n v="2014"/>
    <d v="2014-05-07T00:00:00"/>
    <x v="12"/>
    <x v="1"/>
    <s v="Win"/>
    <s v="NA"/>
    <x v="10"/>
    <x v="178"/>
    <x v="35"/>
    <s v="Delhi"/>
    <s v="Q de Kock, M Vijay, KP Pietersen, KD Karthik, JP Duminy, LR Shukla, KM Jadhav, WD Parnell, S Nadeem, Mohammed Shami, S Kaul"/>
    <s v="RV Uthappa, G Gambhir, MK Pandey, JH Kallis, Shakib Al Hasan, YK Pathan, RN ten Doeschate, SA Yadav, R Vinay Kumar, SP Narine, UT Yadav"/>
  </r>
  <r>
    <n v="733983"/>
    <s v="Mumbai Indians"/>
    <s v="Royal Challengers Bangalore"/>
    <x v="11"/>
    <n v="2014"/>
    <d v="2014-05-06T00:00:00"/>
    <x v="10"/>
    <x v="0"/>
    <s v="Win"/>
    <s v="NA"/>
    <x v="2"/>
    <x v="2"/>
    <x v="26"/>
    <s v="Mumbai"/>
    <s v="BR Dunk, CM Gautam, AT Rayudu, RG Sharma, CJ Anderson, KA Pollard, AP Tare, Harbhajan Singh, JJ Bumrah, SL Malinga, P Suyal"/>
    <s v="CH Gayle, PA Patel, V Kohli, AB de Villiers, Yuvraj Singh, RR Rossouw, MA Starc, HV Patel, VR Aaron, AB Dinda, YS Chahal"/>
  </r>
  <r>
    <n v="733979"/>
    <s v="Rajasthan Royals"/>
    <s v="Kolkata Knight Riders"/>
    <x v="11"/>
    <n v="2014"/>
    <d v="2014-05-05T00:00:00"/>
    <x v="8"/>
    <x v="0"/>
    <s v="Win"/>
    <s v="NA"/>
    <x v="7"/>
    <x v="211"/>
    <x v="44"/>
    <s v="Ahmedabad"/>
    <s v="AM Rahane, KK Nair, SV Samson, SR Watson, STR Binny, SPD Smith, JP Faulkner, R Bhatia, TG Southee, PV Tambe, R Tewatia"/>
    <s v="RV Uthappa, G Gambhir, AD Russell, MK Pandey, Shakib Al Hasan, YK Pathan, RN ten Doeschate, SA Yadav, R Vinay Kumar, SP Narine, UT Yadav"/>
  </r>
  <r>
    <n v="733981"/>
    <s v="Delhi Daredevils"/>
    <s v="Chennai Super Kings"/>
    <x v="11"/>
    <n v="2014"/>
    <d v="2014-05-05T00:00:00"/>
    <x v="3"/>
    <x v="0"/>
    <s v="Win"/>
    <s v="NA"/>
    <x v="3"/>
    <x v="176"/>
    <x v="35"/>
    <s v="Delhi"/>
    <s v="Q de Kock, M Vijay, KP Pietersen, KD Karthik, LR Shukla, JP Duminy, KM Jadhav, WD Parnell, S Nadeem, Mohammed Shami, JD Unadkat"/>
    <s v="DR Smith, BB McCullum, SK Raina, MS Dhoni, F du Plessis, M Manhas, RA Jadeja, R Ashwin, BW Hilfenhaus, IC Pandey, MM Sharma"/>
  </r>
  <r>
    <n v="733977"/>
    <s v="Royal Challengers Bangalore"/>
    <s v="Sunrisers Hyderabad"/>
    <x v="11"/>
    <n v="2014"/>
    <d v="2014-05-04T00:00:00"/>
    <x v="10"/>
    <x v="0"/>
    <s v="Win"/>
    <s v="NA"/>
    <x v="11"/>
    <x v="142"/>
    <x v="34"/>
    <s v="Bangalore"/>
    <s v="CH Gayle, PA Patel, V Kohli, RR Rossouw, AB de Villiers, Yuvraj Singh, MA Starc, HV Patel, AB Dinda, VR Aaron, YS Chahal"/>
    <s v="AJ Finch, S Dhawan, KL Rahul, DA Warner, DJG Sammy, NV Ojha, IK Pathan, KV Sharma, DW Steyn, B Kumar, I Sharma"/>
  </r>
  <r>
    <n v="733973"/>
    <s v="Mumbai Indians"/>
    <s v="Kings XI Punjab"/>
    <x v="11"/>
    <n v="2014"/>
    <d v="2014-05-03T00:00:00"/>
    <x v="11"/>
    <x v="1"/>
    <s v="Win"/>
    <s v="NA"/>
    <x v="2"/>
    <x v="184"/>
    <x v="26"/>
    <s v="Mumbai"/>
    <s v="BR Dunk, CM Gautam, AT Rayudu, RG Sharma, CJ Anderson, KA Pollard, AP Tare, Harbhajan Singh, JJ Bumrah, Z Khan, SL Malinga"/>
    <s v="CA Pujara, V Sehwag, WP Saha, GJ Maxwell, GJ Bailey, DA Miller, MG Johnson, R Dhawan, AR Patel, L Balaji, Sandeep Sharma"/>
  </r>
  <r>
    <n v="733975"/>
    <s v="Delhi Daredevils"/>
    <s v="Rajasthan Royals"/>
    <x v="11"/>
    <n v="2014"/>
    <d v="2014-05-03T00:00:00"/>
    <x v="7"/>
    <x v="0"/>
    <s v="Win"/>
    <s v="NA"/>
    <x v="7"/>
    <x v="175"/>
    <x v="35"/>
    <s v="Delhi"/>
    <s v="Q de Kock, M Vijay, KP Pietersen, KD Karthik, JP Duminy, KM Jadhav, WD Parnell, S Nadeem, Mohammed Shami, JD Unadkat, R Sharma"/>
    <s v="AM Rahane, KK Nair, SV Samson, R Bhatia, SR Watson, STR Binny, SPD Smith, JP Faulkner, DS Kulkarni, KW Richardson, PV Tambe"/>
  </r>
  <r>
    <n v="733971"/>
    <s v="Chennai Super Kings"/>
    <s v="Kolkata Knight Riders"/>
    <x v="11"/>
    <n v="2014"/>
    <d v="2014-05-02T00:00:00"/>
    <x v="3"/>
    <x v="1"/>
    <s v="Win"/>
    <s v="NA"/>
    <x v="3"/>
    <x v="64"/>
    <x v="40"/>
    <s v="Ranchi"/>
    <s v="DR Smith, BB McCullum, SK Raina, MS Dhoni, RA Jadeja, F du Plessis, M Manhas, R Ashwin, BW Hilfenhaus, IC Pandey, MM Sharma"/>
    <s v="RV Uthappa, G Gambhir, JH Kallis, MK Pandey, Shakib Al Hasan, SA Yadav, YK Pathan, AD Russell, PP Chawla, R Vinay Kumar, SP Narine"/>
  </r>
  <r>
    <n v="729317"/>
    <s v="Mumbai Indians"/>
    <s v="Sunrisers Hyderabad"/>
    <x v="11"/>
    <n v="2014"/>
    <d v="2014-04-30T00:00:00"/>
    <x v="1"/>
    <x v="0"/>
    <s v="Win"/>
    <s v="NA"/>
    <x v="4"/>
    <x v="66"/>
    <x v="18"/>
    <s v="NA"/>
    <s v="BR Dunk, RG Sharma, CJ Anderson, AT Rayudu, KA Pollard, AP Tare, Harbhajan Singh, CM Gautam, Z Khan, PP Ojha, SL Malinga"/>
    <s v="AJ Finch, S Dhawan, KL Rahul, DA Warner, DJG Sammy, NV Ojha, IK Pathan, KV Sharma, DW Steyn, A Mishra, B Kumar"/>
  </r>
  <r>
    <n v="729315"/>
    <s v="Kolkata Knight Riders"/>
    <s v="Rajasthan Royals"/>
    <x v="11"/>
    <n v="2014"/>
    <d v="2014-04-29T00:00:00"/>
    <x v="7"/>
    <x v="1"/>
    <s v="tie"/>
    <s v="Rajasthan Royals"/>
    <x v="9"/>
    <x v="206"/>
    <x v="21"/>
    <s v="Abu Dhabi"/>
    <s v="G Gambhir, MS Bisla, JH Kallis, MK Pandey, SA Yadav, Shakib Al Hasan, RV Uthappa, R Vinay Kumar, PP Chawla, SP Narine, M Morkel"/>
    <s v="AM Rahane, KK Nair, SV Samson, SR Watson, STR Binny, SPD Smith, JP Faulkner, R Bhatia, KW Richardson, PV Tambe, Iqbal Abdulla"/>
  </r>
  <r>
    <n v="729313"/>
    <s v="Kings XI Punjab"/>
    <s v="Royal Challengers Bangalore"/>
    <x v="11"/>
    <n v="2014"/>
    <d v="2014-04-28T00:00:00"/>
    <x v="11"/>
    <x v="0"/>
    <s v="Win"/>
    <s v="NA"/>
    <x v="12"/>
    <x v="73"/>
    <x v="18"/>
    <s v="NA"/>
    <s v="CA Pujara, V Sehwag, WP Saha, GJ Maxwell, DA Miller, GJ Bailey, R Dhawan, MG Johnson, AR Patel, L Balaji, Sandeep Sharma"/>
    <s v="CH Gayle, PA Patel, V Kohli, YV Takawale, AB de Villiers, Yuvraj Singh, JA Morkel, MA Starc, VR Aaron, AB Dinda, YS Chahal"/>
  </r>
  <r>
    <n v="729311"/>
    <s v="Sunrisers Hyderabad"/>
    <s v="Chennai Super Kings"/>
    <x v="11"/>
    <n v="2014"/>
    <d v="2014-04-27T00:00:00"/>
    <x v="4"/>
    <x v="1"/>
    <s v="Win"/>
    <s v="NA"/>
    <x v="3"/>
    <x v="176"/>
    <x v="19"/>
    <s v="NA"/>
    <s v="AJ Finch, S Dhawan, DA Warner, KL Rahul, Y Venugopal Rao, DJG Sammy, KV Sharma, DW Steyn, A Mishra, B Kumar, I Sharma"/>
    <s v="DR Smith, BB McCullum, SK Raina, MS Dhoni, F du Plessis, RA Jadeja, M Manhas, R Ashwin, BW Hilfenhaus, IC Pandey, MM Sharma"/>
  </r>
  <r>
    <n v="729309"/>
    <s v="Delhi Daredevils"/>
    <s v="Mumbai Indians"/>
    <x v="11"/>
    <n v="2014"/>
    <d v="2014-04-27T00:00:00"/>
    <x v="1"/>
    <x v="1"/>
    <s v="Win"/>
    <s v="NA"/>
    <x v="13"/>
    <x v="212"/>
    <x v="19"/>
    <s v="NA"/>
    <s v="Q de Kock, M Vijay, JP Duminy, KP Pietersen, KD Karthik, KM Jadhav, LR Shukla, WD Parnell, S Nadeem, Mohammed Shami, JD Unadkat"/>
    <s v="RG Sharma, AP Tare, CJ Anderson, AT Rayudu, MEK Hussey, KA Pollard, CM Gautam, Harbhajan Singh, Z Khan, PP Ojha, SL Malinga"/>
  </r>
  <r>
    <n v="729307"/>
    <s v="Kolkata Knight Riders"/>
    <s v="Kings XI Punjab"/>
    <x v="11"/>
    <n v="2014"/>
    <d v="2014-04-26T00:00:00"/>
    <x v="8"/>
    <x v="0"/>
    <s v="Win"/>
    <s v="NA"/>
    <x v="12"/>
    <x v="73"/>
    <x v="21"/>
    <s v="Abu Dhabi"/>
    <s v="MK Pandey, JH Kallis, G Gambhir, CA Lynn, RV Uthappa, YK Pathan, SA Yadav, PP Chawla, SP Narine, UT Yadav, M Morkel"/>
    <s v="CA Pujara, V Sehwag, WP Saha, GJ Maxwell, DA Miller, GJ Bailey, R Dhawan, AR Patel, MG Johnson, L Balaji, Sandeep Sharma"/>
  </r>
  <r>
    <n v="729305"/>
    <s v="Rajasthan Royals"/>
    <s v="Royal Challengers Bangalore"/>
    <x v="11"/>
    <n v="2014"/>
    <d v="2014-04-26T00:00:00"/>
    <x v="7"/>
    <x v="0"/>
    <s v="Win"/>
    <s v="NA"/>
    <x v="7"/>
    <x v="211"/>
    <x v="21"/>
    <s v="Abu Dhabi"/>
    <s v="AM Rahane, KK Nair, SV Samson, AM Nayar, SR Watson, STR Binny, SPD Smith, R Bhatia, KW Richardson, PV Tambe, TG Southee"/>
    <s v="PA Patel, YV Takawale, V Kohli, Yuvraj Singh, AB de Villiers, S Rana, JA Morkel, MA Starc, R Rampaul, AB Dinda, YS Chahal"/>
  </r>
  <r>
    <n v="729301"/>
    <s v="Sunrisers Hyderabad"/>
    <s v="Delhi Daredevils"/>
    <x v="11"/>
    <n v="2014"/>
    <d v="2014-04-25T00:00:00"/>
    <x v="4"/>
    <x v="1"/>
    <s v="Win"/>
    <s v="NA"/>
    <x v="4"/>
    <x v="196"/>
    <x v="18"/>
    <s v="NA"/>
    <s v="S Dhawan, AJ Finch, DA Warner, KL Rahul, DJG Sammy, Y Venugopal Rao, KV Sharma, NV Ojha, DW Steyn, A Mishra, B Kumar"/>
    <s v="Q de Kock, M Vijay, KP Pietersen, KD Karthik, JP Duminy, MK Tiwary, LR Shukla, WD Parnell, S Nadeem, Mohammed Shami, JD Unadkat"/>
  </r>
  <r>
    <n v="729303"/>
    <s v="Chennai Super Kings"/>
    <s v="Mumbai Indians"/>
    <x v="11"/>
    <n v="2014"/>
    <d v="2014-04-25T00:00:00"/>
    <x v="1"/>
    <x v="1"/>
    <s v="Win"/>
    <s v="NA"/>
    <x v="3"/>
    <x v="83"/>
    <x v="18"/>
    <s v="NA"/>
    <s v="DR Smith, BB McCullum, SK Raina, F du Plessis, MS Dhoni, M Manhas, RA Jadeja, R Ashwin, BW Hilfenhaus, IC Pandey, MM Sharma"/>
    <s v="MEK Hussey, AP Tare, CJ Anderson, RG Sharma, KA Pollard, AT Rayudu, CM Gautam, Harbhajan Singh, Z Khan, PP Ojha, SL Malinga"/>
  </r>
  <r>
    <n v="729299"/>
    <s v="Royal Challengers Bangalore"/>
    <s v="Kolkata Knight Riders"/>
    <x v="11"/>
    <n v="2014"/>
    <d v="2014-04-24T00:00:00"/>
    <x v="10"/>
    <x v="0"/>
    <s v="Win"/>
    <s v="NA"/>
    <x v="10"/>
    <x v="168"/>
    <x v="19"/>
    <s v="NA"/>
    <s v="PA Patel, YV Takawale, V Kohli, Yuvraj Singh, AB de Villiers, JA Morkel, MA Starc, AB Dinda, YS Chahal, VR Aaron, M Muralitharan"/>
    <s v="JH Kallis, G Gambhir, MK Pandey, CA Lynn, YK Pathan, RV Uthappa, SA Yadav, R Vinay Kumar, SP Narine, M Morkel, UT Yadav"/>
  </r>
  <r>
    <n v="729297"/>
    <s v="Rajasthan Royals"/>
    <s v="Chennai Super Kings"/>
    <x v="11"/>
    <n v="2014"/>
    <d v="2014-04-23T00:00:00"/>
    <x v="7"/>
    <x v="0"/>
    <s v="Win"/>
    <s v="NA"/>
    <x v="3"/>
    <x v="64"/>
    <x v="18"/>
    <s v="NA"/>
    <s v="AM Nayar, AM Rahane, SV Samson, SR Watson, STR Binny, SPD Smith, R Bhatia, JP Faulkner, TG Southee, DS Kulkarni, PV Tambe"/>
    <s v="DR Smith, BB McCullum, SK Raina, F du Plessis, MS Dhoni, RA Jadeja, M Manhas, R Ashwin, BW Hilfenhaus, IC Pandey, MM Sharma"/>
  </r>
  <r>
    <n v="729295"/>
    <s v="Kings XI Punjab"/>
    <s v="Sunrisers Hyderabad"/>
    <x v="11"/>
    <n v="2014"/>
    <d v="2014-04-22T00:00:00"/>
    <x v="4"/>
    <x v="0"/>
    <s v="Win"/>
    <s v="NA"/>
    <x v="12"/>
    <x v="101"/>
    <x v="19"/>
    <s v="NA"/>
    <s v="CA Pujara, V Sehwag, GJ Maxwell, DA Miller, GJ Bailey, MG Johnson, AR Patel, WP Saha, L Balaji, R Dhawan, Sandeep Sharma"/>
    <s v="AJ Finch, S Dhawan, DA Warner, KL Rahul, Y Venugopal Rao, IK Pathan, DJG Sammy, KV Sharma, DW Steyn, A Mishra, B Kumar"/>
  </r>
  <r>
    <n v="729293"/>
    <s v="Chennai Super Kings"/>
    <s v="Delhi Daredevils"/>
    <x v="11"/>
    <n v="2014"/>
    <d v="2014-04-21T00:00:00"/>
    <x v="3"/>
    <x v="1"/>
    <s v="Win"/>
    <s v="NA"/>
    <x v="3"/>
    <x v="183"/>
    <x v="21"/>
    <s v="Abu Dhabi"/>
    <s v="DR Smith, BB McCullum, SK Raina, F du Plessis, MS Dhoni, RA Jadeja, M Manhas, R Ashwin, BW Hilfenhaus, MM Sharma, IC Pandey"/>
    <s v="MA Agarwal, M Vijay, KD Karthik, MK Tiwary, JP Duminy, LRPL Taylor, JDS Neesham, S Nadeem, Mohammed Shami, JD Unadkat, NM Coulter-Nile"/>
  </r>
  <r>
    <n v="729291"/>
    <s v="Rajasthan Royals"/>
    <s v="Kings XI Punjab"/>
    <x v="11"/>
    <n v="2014"/>
    <d v="2014-04-20T00:00:00"/>
    <x v="11"/>
    <x v="0"/>
    <s v="Win"/>
    <s v="NA"/>
    <x v="12"/>
    <x v="101"/>
    <x v="19"/>
    <s v="NA"/>
    <s v="AM Nayar, AM Rahane, SV Samson, SR Watson, STR Binny, SPD Smith, JP Faulkner, R Bhatia, KW Richardson, DS Kulkarni, PV Tambe"/>
    <s v="CA Pujara, V Sehwag, WP Saha, GJ Maxwell, DA Miller, GJ Bailey, MG Johnson, M Kartik, AR Patel, P Awana, L Balaji"/>
  </r>
  <r>
    <n v="729289"/>
    <s v="Kolkata Knight Riders"/>
    <s v="Delhi Daredevils"/>
    <x v="11"/>
    <n v="2014"/>
    <d v="2014-04-19T00:00:00"/>
    <x v="8"/>
    <x v="1"/>
    <s v="Win"/>
    <s v="NA"/>
    <x v="13"/>
    <x v="203"/>
    <x v="18"/>
    <s v="NA"/>
    <s v="JH Kallis, G Gambhir, MK Pandey, RV Uthappa, Shakib Al Hasan, YK Pathan, SA Yadav, PP Chawla, R Vinay Kumar, SP Narine, M Morkel"/>
    <s v="M Vijay, MA Agarwal, KD Karthik, LRPL Taylor, JP Duminy, MK Tiwary, JDS Neesham, NM Coulter-Nile, S Nadeem, Mohammed Shami, JD Unadkat"/>
  </r>
  <r>
    <n v="729287"/>
    <s v="Royal Challengers Bangalore"/>
    <s v="Mumbai Indians"/>
    <x v="11"/>
    <n v="2014"/>
    <d v="2014-04-19T00:00:00"/>
    <x v="10"/>
    <x v="0"/>
    <s v="Win"/>
    <s v="NA"/>
    <x v="11"/>
    <x v="158"/>
    <x v="18"/>
    <s v="NA"/>
    <s v="NJ Maddinson, PA Patel, V Kohli, Yuvraj Singh, AB de Villiers, JA Morkel, S Rana, AB Dinda, MA Starc, YS Chahal, VR Aaron"/>
    <s v="MEK Hussey, AP Tare, AT Rayudu, RG Sharma, KA Pollard, CJ Anderson, Harbhajan Singh, Z Khan, SL Malinga, PP Ojha, JJ Bumrah"/>
  </r>
  <r>
    <n v="729285"/>
    <s v="Sunrisers Hyderabad"/>
    <s v="Rajasthan Royals"/>
    <x v="11"/>
    <n v="2014"/>
    <d v="2014-04-18T00:00:00"/>
    <x v="7"/>
    <x v="0"/>
    <s v="Win"/>
    <s v="NA"/>
    <x v="7"/>
    <x v="100"/>
    <x v="21"/>
    <s v="Abu Dhabi"/>
    <s v="AJ Finch, S Dhawan, DA Warner, KL Rahul, DJG Sammy, Y Venugopal Rao, KV Sharma, DW Steyn, A Mishra, B Kumar, I Sharma"/>
    <s v="AM Nayar, AM Rahane, SV Samson, SR Watson, STR Binny, BJ Hodge, R Bhatia, JP Faulkner, KW Richardson, DS Kulkarni, PV Tambe"/>
  </r>
  <r>
    <n v="729283"/>
    <s v="Chennai Super Kings"/>
    <s v="Kings XI Punjab"/>
    <x v="11"/>
    <n v="2014"/>
    <d v="2014-04-18T00:00:00"/>
    <x v="3"/>
    <x v="1"/>
    <s v="Win"/>
    <s v="NA"/>
    <x v="12"/>
    <x v="101"/>
    <x v="21"/>
    <s v="Abu Dhabi"/>
    <s v="DR Smith, BB McCullum, SK Raina, MS Dhoni, DJ Bravo, F du Plessis, RA Jadeja, R Ashwin, P Negi, A Nehra, MM Sharma"/>
    <s v="CA Pujara, V Sehwag, GJ Maxwell, AR Patel, DA Miller, GJ Bailey, WP Saha, MG Johnson, R Dhawan, P Awana, L Balaji"/>
  </r>
  <r>
    <n v="729281"/>
    <s v="Delhi Daredevils"/>
    <s v="Royal Challengers Bangalore"/>
    <x v="11"/>
    <n v="2014"/>
    <d v="2014-04-17T00:00:00"/>
    <x v="10"/>
    <x v="0"/>
    <s v="Win"/>
    <s v="NA"/>
    <x v="11"/>
    <x v="36"/>
    <x v="19"/>
    <s v="NA"/>
    <s v="MA Agarwal, M Vijay, KD Karthik, MK Tiwary, JP Duminy, LRPL Taylor, JDS Neesham, WD Parnell, S Nadeem, R Sharma, Mohammed Shami"/>
    <s v="PA Patel, NJ Maddinson, V Kohli, Yuvraj Singh, AB de Villiers, JA Morkel, S Rana, AB Dinda, MA Starc, YS Chahal, VR Aaron"/>
  </r>
  <r>
    <n v="729279"/>
    <s v="Mumbai Indians"/>
    <s v="Kolkata Knight Riders"/>
    <x v="11"/>
    <n v="2014"/>
    <d v="2014-04-16T00:00:00"/>
    <x v="8"/>
    <x v="1"/>
    <s v="Win"/>
    <s v="NA"/>
    <x v="10"/>
    <x v="213"/>
    <x v="21"/>
    <s v="Abu Dhabi"/>
    <s v="MEK Hussey, AP Tare, AT Rayudu, RG Sharma, KA Pollard, CJ Anderson, Harbhajan Singh, CM Gautam, SL Malinga, Z Khan, PP Ojha"/>
    <s v="G Gambhir, JH Kallis, MK Pandey, RV Uthappa, YK Pathan, Shakib Al Hasan, SA Yadav, PP Chawla, R Vinay Kumar, SP Narine, M Morkel"/>
  </r>
  <r>
    <n v="598073"/>
    <s v="Chennai Super Kings"/>
    <s v="Mumbai Indians"/>
    <x v="12"/>
    <n v="2013"/>
    <d v="2013-05-26T00:00:00"/>
    <x v="1"/>
    <x v="1"/>
    <s v="Win"/>
    <s v="NA"/>
    <x v="2"/>
    <x v="135"/>
    <x v="29"/>
    <s v="Kolkata"/>
    <s v="MEK Hussey, M Vijay, SK Raina, S Badrinath, DJ Bravo, RA Jadeja, MS Dhoni, JA Morkel, CH Morris, R Ashwin, MM Sharma"/>
    <s v="DR Smith, AP Tare, KD Karthik, RG Sharma, AT Rayudu, KA Pollard, Harbhajan Singh, R Dhawan, MG Johnson, SL Malinga, PP Ojha"/>
  </r>
  <r>
    <n v="598072"/>
    <s v="Mumbai Indians"/>
    <s v="Rajasthan Royals"/>
    <x v="12"/>
    <n v="2013"/>
    <d v="2013-05-24T00:00:00"/>
    <x v="7"/>
    <x v="1"/>
    <s v="Win"/>
    <s v="NA"/>
    <x v="2"/>
    <x v="164"/>
    <x v="29"/>
    <s v="Kolkata"/>
    <s v="DR Smith, AP Tare, KD Karthik, RG Sharma, KA Pollard, AT Rayudu, Harbhajan Singh, R Dhawan, MG Johnson, SL Malinga, PP Ojha"/>
    <s v="R Dravid, AM Rahane, SR Watson, SV Samson, STR Binny, BJ Hodge, KK Cooper, DH Yagnik, JP Faulkner, VS Malik, SK Trivedi"/>
  </r>
  <r>
    <n v="598071"/>
    <s v="Rajasthan Royals"/>
    <s v="Sunrisers Hyderabad"/>
    <x v="12"/>
    <n v="2013"/>
    <d v="2013-05-22T00:00:00"/>
    <x v="4"/>
    <x v="1"/>
    <s v="Win"/>
    <s v="NA"/>
    <x v="7"/>
    <x v="214"/>
    <x v="35"/>
    <s v="Delhi"/>
    <s v="R Dravid, AM Rahane, SR Watson, DH Yagnik, STR Binny, SV Samson, BJ Hodge, JP Faulkner, KK Cooper, VS Malik, SK Trivedi"/>
    <s v="PA Patel, S Dhawan, GH Vihari, CL White, DJG Sammy, NLTC Perera, BB Samantray, KV Sharma, DW Steyn, A Mishra, I Sharma"/>
  </r>
  <r>
    <n v="598070"/>
    <s v="Chennai Super Kings"/>
    <s v="Mumbai Indians"/>
    <x v="12"/>
    <n v="2013"/>
    <d v="2013-05-21T00:00:00"/>
    <x v="3"/>
    <x v="1"/>
    <s v="Win"/>
    <s v="NA"/>
    <x v="3"/>
    <x v="209"/>
    <x v="35"/>
    <s v="Delhi"/>
    <s v="MEK Hussey, M Vijay, SK Raina, MS Dhoni, RA Jadeja, S Badrinath, DJ Bravo, JA Morkel, CH Morris, R Ashwin, MM Sharma"/>
    <s v="DR Smith, AP Tare, KD Karthik, RG Sharma, KA Pollard, AT Rayudu, Harbhajan Singh, MG Johnson, SL Malinga, PP Ojha, MM Patel"/>
  </r>
  <r>
    <n v="598069"/>
    <s v="Sunrisers Hyderabad"/>
    <s v="Kolkata Knight Riders"/>
    <x v="12"/>
    <n v="2013"/>
    <d v="2013-05-19T00:00:00"/>
    <x v="8"/>
    <x v="1"/>
    <s v="Win"/>
    <s v="NA"/>
    <x v="4"/>
    <x v="158"/>
    <x v="33"/>
    <s v="Hyderabad"/>
    <s v="PA Patel, S Dhawan, GH Vihari, CL White, NLTC Perera, DJG Sammy, BB Samantray, KV Sharma, A Mishra, DW Steyn, Anand Rajan"/>
    <s v="MS Bisla, G Gambhir, JH Kallis, EJG Morgan, YK Pathan, RN ten Doeschate, P Dogra, SP Narine, Iqbal Abdulla, PJ Sangwan, Mohammed Shami"/>
  </r>
  <r>
    <n v="598067"/>
    <s v="Pune Warriors"/>
    <s v="Delhi Daredevils"/>
    <x v="12"/>
    <n v="2013"/>
    <d v="2013-05-19T00:00:00"/>
    <x v="16"/>
    <x v="1"/>
    <s v="Win"/>
    <s v="NA"/>
    <x v="17"/>
    <x v="215"/>
    <x v="46"/>
    <s v="Pune"/>
    <s v="RV Uthappa, AJ Finch, MK Pandey, Yuvraj Singh, AD Mathews, LJ Wright, RV Gomez, WD Parnell, B Kumar, AG Murtaza, AB Dinda"/>
    <s v="DPMD Jayawardene, DA Warner, B Chipli, V Sehwag, BJ Rohrer, IK Pathan, CM Gautam, M Morkel, UT Yadav, S Nadeem, S Kaul"/>
  </r>
  <r>
    <n v="598068"/>
    <s v="Royal Challengers Bangalore"/>
    <s v="Chennai Super Kings"/>
    <x v="12"/>
    <n v="2013"/>
    <d v="2013-05-18T00:00:00"/>
    <x v="3"/>
    <x v="0"/>
    <s v="Win"/>
    <s v="NA"/>
    <x v="11"/>
    <x v="31"/>
    <x v="34"/>
    <s v="Bangalore"/>
    <s v="V Kohli, CH Gayle, AB de Villiers, MC Henriques, RP Singh, KL Rahul, SS Tiwary, R Vinay Kumar, Z Khan, R Rampaul, JD Unadkat"/>
    <s v="MEK Hussey, M Vijay, SK Raina, DJ Bravo, MS Dhoni, RA Jadeja, S Badrinath, CH Morris, R Ashwin, JO Holder, MM Sharma"/>
  </r>
  <r>
    <n v="598066"/>
    <s v="Kings XI Punjab"/>
    <s v="Mumbai Indians"/>
    <x v="12"/>
    <n v="2013"/>
    <d v="2013-05-18T00:00:00"/>
    <x v="1"/>
    <x v="0"/>
    <s v="Win"/>
    <s v="NA"/>
    <x v="12"/>
    <x v="216"/>
    <x v="47"/>
    <s v="Dharamsala"/>
    <s v="AC Gilchrist, Mandeep Singh, Azhar Mahmood, SE Marsh, DA Miller, M Vohra, Gurkeerat Singh, PP Chawla, P Kumar, P Awana, Sandeep Sharma"/>
    <s v="GJ Maxwell, AP Tare, AT Rayudu, RG Sharma, KD Karthik, KA Pollard, R Dhawan, Harbhajan Singh, NM Coulter-Nile, SL Malinga, DS Kulkarni"/>
  </r>
  <r>
    <n v="598065"/>
    <s v="Sunrisers Hyderabad"/>
    <s v="Rajasthan Royals"/>
    <x v="12"/>
    <n v="2013"/>
    <d v="2013-05-17T00:00:00"/>
    <x v="4"/>
    <x v="1"/>
    <s v="Win"/>
    <s v="NA"/>
    <x v="4"/>
    <x v="145"/>
    <x v="33"/>
    <s v="Hyderabad"/>
    <s v="PA Patel, S Dhawan, GH Vihari, CL White, BB Samantray, DJG Sammy, NLTC Perera, DW Steyn, KV Sharma, A Mishra, I Sharma"/>
    <s v="R Dravid, AM Rahane, SR Watson, SV Samson, STR Binny, BJ Hodge, Sachin Baby, JP Faulkner, KK Cooper, PV Tambe, SK Trivedi"/>
  </r>
  <r>
    <n v="598028"/>
    <s v="Kings XI Punjab"/>
    <s v="Delhi Daredevils"/>
    <x v="12"/>
    <n v="2013"/>
    <d v="2013-05-16T00:00:00"/>
    <x v="12"/>
    <x v="0"/>
    <s v="Win"/>
    <s v="NA"/>
    <x v="12"/>
    <x v="110"/>
    <x v="47"/>
    <s v="Dharamsala"/>
    <s v="AC Gilchrist, SE Marsh, Azhar Mahmood, DA Miller, R Sathish, PP Chawla, Mandeep Singh, M Vohra, P Kumar, P Awana, Sandeep Sharma"/>
    <s v="DPMD Jayawardene, UBT Chand, IK Pathan, DA Warner, V Sehwag, BJ Rohrer, CM Gautam, M Morkel, S Kaul, UT Yadav, A Nehra"/>
  </r>
  <r>
    <n v="598061"/>
    <s v="Kolkata Knight Riders"/>
    <s v="Pune Warriors"/>
    <x v="12"/>
    <n v="2013"/>
    <d v="2013-05-15T00:00:00"/>
    <x v="8"/>
    <x v="0"/>
    <s v="Win"/>
    <s v="NA"/>
    <x v="17"/>
    <x v="153"/>
    <x v="40"/>
    <s v="Ranchi"/>
    <s v="G Gambhir, MS Bisla, JH Kallis, YK Pathan, RN ten Doeschate, MK Tiwary, DB Das, R Bhatia, SMSM Senanayake, SP Narine, L Balaji"/>
    <s v="RV Uthappa, AJ Finch, MK Pandey, Yuvraj Singh, LJ Wright, AD Mathews, RV Gomez, WD Parnell, B Kumar, AG Murtaza, IC Pandey"/>
  </r>
  <r>
    <n v="598063"/>
    <s v="Mumbai Indians"/>
    <s v="Rajasthan Royals"/>
    <x v="12"/>
    <n v="2013"/>
    <d v="2013-05-15T00:00:00"/>
    <x v="7"/>
    <x v="0"/>
    <s v="Win"/>
    <s v="NA"/>
    <x v="2"/>
    <x v="217"/>
    <x v="26"/>
    <s v="Mumbai"/>
    <s v="GJ Maxwell, AP Tare, KD Karthik, RG Sharma, KA Pollard, AT Rayudu, Harbhajan Singh, MG Johnson, SL Malinga, DS Kulkarni, PP Ojha"/>
    <s v="R Dravid, AM Rahane, JP Faulkner, SV Samson, SR Watson, STR Binny, DH Yagnik, BJ Hodge, KK Cooper, AA Chavan, PV Tambe"/>
  </r>
  <r>
    <n v="598045"/>
    <s v="Royal Challengers Bangalore"/>
    <s v="Kings XI Punjab"/>
    <x v="12"/>
    <n v="2013"/>
    <d v="2013-05-14T00:00:00"/>
    <x v="11"/>
    <x v="0"/>
    <s v="Win"/>
    <s v="NA"/>
    <x v="12"/>
    <x v="218"/>
    <x v="34"/>
    <s v="Bangalore"/>
    <s v="CA Pujara, CH Gayle, V Kohli, AB de Villiers, MC Henriques, KL Rahul, KB Arun Karthik, R Vinay Kumar, Z Khan, M Muralitharan, JD Unadkat"/>
    <s v="AC Gilchrist, SE Marsh, Azhar Mahmood, DA Miller, R Sathish, Mandeep Singh, M Vohra, PP Chawla, MS Gony, P Awana, Sandeep Sharma"/>
  </r>
  <r>
    <n v="598062"/>
    <s v="Chennai Super Kings"/>
    <s v="Delhi Daredevils"/>
    <x v="12"/>
    <n v="2013"/>
    <d v="2013-05-14T00:00:00"/>
    <x v="3"/>
    <x v="1"/>
    <s v="Win"/>
    <s v="NA"/>
    <x v="3"/>
    <x v="37"/>
    <x v="43"/>
    <s v="Chennai"/>
    <s v="MEK Hussey, M Vijay, SK Raina, MS Dhoni, RA Jadeja, DJ Bravo, S Badrinath, JA Morkel, R Ashwin, JO Holder, MM Sharma"/>
    <s v="V Sehwag, UBT Chand, J Botha, DA Warner, KM Jadhav, BJ Rohrer, RE van der Merwe, IK Pathan, UT Yadav, A Nehra, S Kaul"/>
  </r>
  <r>
    <n v="598060"/>
    <s v="Mumbai Indians"/>
    <s v="Sunrisers Hyderabad"/>
    <x v="12"/>
    <n v="2013"/>
    <d v="2013-05-13T00:00:00"/>
    <x v="4"/>
    <x v="1"/>
    <s v="Win"/>
    <s v="NA"/>
    <x v="2"/>
    <x v="135"/>
    <x v="26"/>
    <s v="Mumbai"/>
    <s v="DR Smith, SR Tendulkar, KD Karthik, RG Sharma, AT Rayudu, KA Pollard, Harbhajan Singh, MG Johnson, DS Kulkarni, SL Malinga, PP Ojha"/>
    <s v="PA Patel, S Dhawan, GH Vihari, CL White, NLTC Perera, DJG Sammy, BB Samantray, KV Sharma, A Mishra, DW Steyn, I Sharma"/>
  </r>
  <r>
    <n v="598057"/>
    <s v="Kolkata Knight Riders"/>
    <s v="Royal Challengers Bangalore"/>
    <x v="12"/>
    <n v="2013"/>
    <d v="2013-05-12T00:00:00"/>
    <x v="8"/>
    <x v="0"/>
    <s v="Win"/>
    <s v="NA"/>
    <x v="10"/>
    <x v="213"/>
    <x v="40"/>
    <s v="Ranchi"/>
    <s v="MS Bisla, G Gambhir, JH Kallis, YK Pathan, MK Tiwary, RN ten Doeschate, R Bhatia, DB Das, SMSM Senanayake, SP Narine, L Balaji"/>
    <s v="CA Pujara, CH Gayle, V Kohli, AB de Villiers, MC Henriques, SS Tiwary, R Vinay Kumar, R Rampaul, A Mithun, M Kartik, JD Unadkat"/>
  </r>
  <r>
    <n v="598058"/>
    <s v="Rajasthan Royals"/>
    <s v="Chennai Super Kings"/>
    <x v="12"/>
    <n v="2013"/>
    <d v="2013-05-12T00:00:00"/>
    <x v="7"/>
    <x v="0"/>
    <s v="Win"/>
    <s v="NA"/>
    <x v="7"/>
    <x v="154"/>
    <x v="30"/>
    <s v="Jaipur"/>
    <s v="R Dravid, AM Rahane, JP Faulkner, SV Samson, SR Watson, STR Binny, BJ Hodge, DH Yagnik, SK Trivedi, KK Cooper, VS Malik"/>
    <s v="MEK Hussey, M Vijay, SK Raina, MS Dhoni, RA Jadeja, DJ Bravo, S Badrinath, CH Morris, R Ashwin, JO Holder, MM Sharma"/>
  </r>
  <r>
    <n v="598055"/>
    <s v="Pune Warriors"/>
    <s v="Mumbai Indians"/>
    <x v="12"/>
    <n v="2013"/>
    <d v="2013-05-11T00:00:00"/>
    <x v="16"/>
    <x v="1"/>
    <s v="Win"/>
    <s v="NA"/>
    <x v="2"/>
    <x v="219"/>
    <x v="46"/>
    <s v="Pune"/>
    <s v="RV Uthappa, AJ Finch, MK Pandey, Yuvraj Singh, AD Mathews, AM Nayar, KW Richardson, Parvez Rasool, B Kumar, AB Dinda, BAW Mendis"/>
    <s v="DR Smith, SR Tendulkar, KD Karthik, RG Sharma, AT Rayudu, GJ Maxwell, Harbhajan Singh, MG Johnson, SL Malinga, PP Ojha, AN Ahmed"/>
  </r>
  <r>
    <n v="598056"/>
    <s v="Kings XI Punjab"/>
    <s v="Sunrisers Hyderabad"/>
    <x v="12"/>
    <n v="2013"/>
    <d v="2013-05-11T00:00:00"/>
    <x v="11"/>
    <x v="0"/>
    <s v="Win"/>
    <s v="NA"/>
    <x v="4"/>
    <x v="158"/>
    <x v="41"/>
    <s v="Chandigarh"/>
    <s v="AC Gilchrist, Mandeep Singh, SE Marsh, LA Pomersbach, DA Miller, R Sathish, PP Chawla, P Kumar, Harmeet Singh, P Awana, Sandeep Sharma"/>
    <s v="PA Patel, S Dhawan, GH Vihari, CL White, BB Samantray, DJG Sammy, KV Sharma, NLTC Perera, DW Steyn, A Mishra, I Sharma"/>
  </r>
  <r>
    <n v="598054"/>
    <s v="Delhi Daredevils"/>
    <s v="Royal Challengers Bangalore"/>
    <x v="12"/>
    <n v="2013"/>
    <d v="2013-05-10T00:00:00"/>
    <x v="12"/>
    <x v="0"/>
    <s v="Win"/>
    <s v="NA"/>
    <x v="11"/>
    <x v="147"/>
    <x v="35"/>
    <s v="Delhi"/>
    <s v="DPMD Jayawardene, V Sehwag, UBT Chand, DA Warner, BJ Rohrer, KM Jadhav, IK Pathan, M Morkel, UT Yadav, S Nadeem, S Kaul"/>
    <s v="CA Pujara, CH Gayle, V Kohli, MC Henriques, AB de Villiers, SS Tiwary, J Syed Mohammad, R Vinay Kumar, R Rampaul, M Kartik, JD Unadkat"/>
  </r>
  <r>
    <n v="598053"/>
    <s v="Pune Warriors"/>
    <s v="Kolkata Knight Riders"/>
    <x v="12"/>
    <n v="2013"/>
    <d v="2013-05-09T00:00:00"/>
    <x v="8"/>
    <x v="1"/>
    <s v="Win"/>
    <s v="NA"/>
    <x v="10"/>
    <x v="178"/>
    <x v="46"/>
    <s v="Pune"/>
    <s v="RV Uthappa, AJ Finch, Yuvraj Singh, UA Birla, AD Mathews, MR Marsh, M Rawat, WD Parnell, B Kumar, Parvez Rasool, K Upadhyay"/>
    <s v="MS Bisla, G Gambhir, JH Kallis, EJG Morgan, RN ten Doeschate, YK Pathan, MK Tiwary, R Bhatia, Iqbal Abdulla, SP Narine, L Balaji"/>
  </r>
  <r>
    <n v="598052"/>
    <s v="Kings XI Punjab"/>
    <s v="Rajasthan Royals"/>
    <x v="12"/>
    <n v="2013"/>
    <d v="2013-05-09T00:00:00"/>
    <x v="7"/>
    <x v="0"/>
    <s v="Win"/>
    <s v="NA"/>
    <x v="7"/>
    <x v="220"/>
    <x v="41"/>
    <s v="Chandigarh"/>
    <s v="Mandeep Singh, AC Gilchrist, SE Marsh, DJ Hussey, DA Miller, MS Gony, R Sathish, PP Chawla, Bipul Sharma, P Kumar, P Awana"/>
    <s v="R Dravid, AM Rahane, SR Watson, SV Samson, BJ Hodge, DH Yagnik, KK Cooper, JP Faulkner, A Chandila, S Sreesanth, SK Trivedi"/>
  </r>
  <r>
    <n v="598051"/>
    <s v="Sunrisers Hyderabad"/>
    <s v="Chennai Super Kings"/>
    <x v="12"/>
    <n v="2013"/>
    <d v="2013-05-08T00:00:00"/>
    <x v="4"/>
    <x v="0"/>
    <s v="Win"/>
    <s v="NA"/>
    <x v="3"/>
    <x v="183"/>
    <x v="33"/>
    <s v="Hyderabad"/>
    <s v="PA Patel, S Dhawan, KC Sangakkara, GH Vihari, DJG Sammy, NLTC Perera, KV Sharma, A Mishra, DW Steyn, I Sharma, A Ashish Reddy"/>
    <s v="MEK Hussey, M Vijay, SK Raina, MS Dhoni, RA Jadeja, S Badrinath, DJ Bravo, CH Morris, R Ashwin, JO Holder, MM Sharma"/>
  </r>
  <r>
    <n v="598049"/>
    <s v="Rajasthan Royals"/>
    <s v="Delhi Daredevils"/>
    <x v="12"/>
    <n v="2013"/>
    <d v="2013-05-07T00:00:00"/>
    <x v="12"/>
    <x v="1"/>
    <s v="Win"/>
    <s v="NA"/>
    <x v="7"/>
    <x v="100"/>
    <x v="30"/>
    <s v="Jaipur"/>
    <s v="R Dravid, AM Rahane, SR Watson, SV Samson, STR Binny, BJ Hodge, Sachin Baby, JP Faulkner, SK Trivedi, PV Tambe, SW Tait"/>
    <s v="DPMD Jayawardene, V Sehwag, CM Gautam, DA Warner, BJ Rohrer, KM Jadhav, AB Agarkar, M Morkel, UT Yadav, P Negi, S Kaul"/>
  </r>
  <r>
    <n v="598050"/>
    <s v="Mumbai Indians"/>
    <s v="Kolkata Knight Riders"/>
    <x v="12"/>
    <n v="2013"/>
    <d v="2013-05-07T00:00:00"/>
    <x v="1"/>
    <x v="1"/>
    <s v="Win"/>
    <s v="NA"/>
    <x v="2"/>
    <x v="221"/>
    <x v="26"/>
    <s v="Mumbai"/>
    <s v="DR Smith, SR Tendulkar, KD Karthik, RG Sharma, KA Pollard, AT Rayudu, Harbhajan Singh, MG Johnson, SL Malinga, PP Ojha, AN Ahmed"/>
    <s v="MS Bisla, G Gambhir, JH Kallis, YK Pathan, EJG Morgan, DB Das, R McLaren, R Bhatia, Iqbal Abdulla, SP Narine, L Balaji"/>
  </r>
  <r>
    <n v="598064"/>
    <s v="Kings XI Punjab"/>
    <s v="Royal Challengers Bangalore"/>
    <x v="12"/>
    <n v="2013"/>
    <d v="2013-05-06T00:00:00"/>
    <x v="11"/>
    <x v="0"/>
    <s v="Win"/>
    <s v="NA"/>
    <x v="12"/>
    <x v="110"/>
    <x v="41"/>
    <s v="Chandigarh"/>
    <s v="Mandeep Singh, SE Marsh, Gurkeerat Singh, DJ Hussey, DA Miller, R Sathish, MG Neser, PP Chawla, P Kumar, MS Gony, P Awana"/>
    <s v="CA Pujara, CH Gayle, V Kohli, AB de Villiers, MC Henriques, SS Tiwary, KB Arun Karthik, R Vinay Kumar, R Rampaul, M Kartik, RP Singh"/>
  </r>
  <r>
    <n v="598046"/>
    <s v="Mumbai Indians"/>
    <s v="Chennai Super Kings"/>
    <x v="12"/>
    <n v="2013"/>
    <d v="2013-05-05T00:00:00"/>
    <x v="1"/>
    <x v="1"/>
    <s v="Win"/>
    <s v="NA"/>
    <x v="2"/>
    <x v="219"/>
    <x v="26"/>
    <s v="Mumbai"/>
    <s v="DR Smith, SR Tendulkar, KD Karthik, KA Pollard, RG Sharma, AT Rayudu, Harbhajan Singh, MG Johnson, SL Malinga, PP Ojha, P Suyal"/>
    <s v="MEK Hussey, M Vijay, SK Raina, S Badrinath, DJ Bravo, R Ashwin, MS Dhoni, RA Jadeja, CH Morris, MM Sharma, B Laughlin"/>
  </r>
  <r>
    <n v="598047"/>
    <s v="Rajasthan Royals"/>
    <s v="Pune Warriors"/>
    <x v="12"/>
    <n v="2013"/>
    <d v="2013-05-05T00:00:00"/>
    <x v="16"/>
    <x v="1"/>
    <s v="Win"/>
    <s v="NA"/>
    <x v="7"/>
    <x v="100"/>
    <x v="30"/>
    <s v="Jaipur"/>
    <s v="R Dravid, AM Rahane, SR Watson, BJ Hodge, STR Binny, SV Samson, JP Faulkner, Sachin Baby, KK Cooper, A Chandila, SK Trivedi"/>
    <s v="RV Uthappa, AJ Finch, Yuvraj Singh, MR Marsh, AD Mathews, M Rawat, UA Birla, B Kumar, WD Parnell, K Upadhyay, R Sharma"/>
  </r>
  <r>
    <n v="598044"/>
    <s v="Sunrisers Hyderabad"/>
    <s v="Delhi Daredevils"/>
    <x v="12"/>
    <n v="2013"/>
    <d v="2013-05-04T00:00:00"/>
    <x v="12"/>
    <x v="1"/>
    <s v="Win"/>
    <s v="NA"/>
    <x v="4"/>
    <x v="222"/>
    <x v="33"/>
    <s v="Hyderabad"/>
    <s v="PA Patel, S Dhawan, A Ashish Reddy, DJG Sammy, KC Sangakkara, GH Vihari, NLTC Perera, KV Sharma, A Mishra, DW Steyn, I Sharma"/>
    <s v="DPMD Jayawardene, V Sehwag, UBT Chand, DA Warner, BMAJ Mendis, KM Jadhav, IK Pathan, J Botha, S Nadeem, A Nehra, UT Yadav"/>
  </r>
  <r>
    <n v="598043"/>
    <s v="Kolkata Knight Riders"/>
    <s v="Rajasthan Royals"/>
    <x v="12"/>
    <n v="2013"/>
    <d v="2013-05-03T00:00:00"/>
    <x v="7"/>
    <x v="1"/>
    <s v="Win"/>
    <s v="NA"/>
    <x v="10"/>
    <x v="189"/>
    <x v="29"/>
    <s v="Kolkata"/>
    <s v="G Gambhir, MS Bisla, JH Kallis, YK Pathan, EJG Morgan, DB Das, R Bhatia, S Narwal, SMSM Senanayake, Iqbal Abdulla, SP Narine"/>
    <s v="SR Watson, AM Rahane, JP Faulkner, SV Samson, DH Yagnik, OA Shah, STR Binny, R Dravid, AA Chavan, GB Hogg, SK Trivedi"/>
  </r>
  <r>
    <n v="598042"/>
    <s v="Pune Warriors"/>
    <s v="Royal Challengers Bangalore"/>
    <x v="12"/>
    <n v="2013"/>
    <d v="2013-05-02T00:00:00"/>
    <x v="10"/>
    <x v="1"/>
    <s v="Win"/>
    <s v="NA"/>
    <x v="11"/>
    <x v="142"/>
    <x v="46"/>
    <s v="Pune"/>
    <s v="RV Uthappa, AJ Finch, TL Suman, Yuvraj Singh, SPD Smith, AD Mathews, AM Nayar, B Kumar, BAW Mendis, AB Dinda, R Sharma"/>
    <s v="SS Tiwary, CH Gayle, V Kohli, AB de Villiers, MC Henriques, KL Rahul, KB Arun Karthik, R Vinay Kumar, M Kartik, M Muralitharan, RP Singh"/>
  </r>
  <r>
    <n v="598041"/>
    <s v="Chennai Super Kings"/>
    <s v="Kings XI Punjab"/>
    <x v="12"/>
    <n v="2013"/>
    <d v="2013-05-02T00:00:00"/>
    <x v="3"/>
    <x v="1"/>
    <s v="Win"/>
    <s v="NA"/>
    <x v="3"/>
    <x v="183"/>
    <x v="43"/>
    <s v="Chennai"/>
    <s v="WP Saha, MEK Hussey, SK Raina, MS Dhoni, JA Morkel, RA Jadeja, S Badrinath, DJ Bravo, CH Morris, R Ashwin, MM Sharma"/>
    <s v="LA Pomersbach, Mandeep Singh, SE Marsh, DJ Hussey, DA Miller, Gurkeerat Singh, R Sathish, MS Gony, PP Chawla, P Kumar, P Awana"/>
  </r>
  <r>
    <n v="598039"/>
    <s v="Sunrisers Hyderabad"/>
    <s v="Mumbai Indians"/>
    <x v="12"/>
    <n v="2013"/>
    <d v="2013-05-01T00:00:00"/>
    <x v="1"/>
    <x v="1"/>
    <s v="Win"/>
    <s v="NA"/>
    <x v="4"/>
    <x v="58"/>
    <x v="33"/>
    <s v="Hyderabad"/>
    <s v="PA Reddy, S Dhawan, KC Sangakkara, GH Vihari, DJG Sammy, NLTC Perera, A Ashish Reddy, KV Sharma, A Mishra, DW Steyn, I Sharma"/>
    <s v="DR Smith, SR Tendulkar, KD Karthik, RG Sharma, KA Pollard, AT Rayudu, Harbhajan Singh, MG Johnson, SL Malinga, DS Kulkarni, PP Ojha"/>
  </r>
  <r>
    <n v="598040"/>
    <s v="Delhi Daredevils"/>
    <s v="Kolkata Knight Riders"/>
    <x v="12"/>
    <n v="2013"/>
    <d v="2013-05-01T00:00:00"/>
    <x v="8"/>
    <x v="1"/>
    <s v="Win"/>
    <s v="NA"/>
    <x v="13"/>
    <x v="115"/>
    <x v="39"/>
    <s v="Raipur"/>
    <s v="DPMD Jayawardene, V Sehwag, UBT Chand, DA Warner, BJ Rohrer, KM Jadhav, IK Pathan, S Nadeem, M Morkel, UT Yadav, A Nehra"/>
    <s v="MS Bisla, G Gambhir, YK Pathan, JH Kallis, EJG Morgan, DB Das, R Bhatia, S Narwal, B Lee, SP Narine, L Balaji"/>
  </r>
  <r>
    <n v="598038"/>
    <s v="Pune Warriors"/>
    <s v="Chennai Super Kings"/>
    <x v="12"/>
    <n v="2013"/>
    <d v="2013-04-30T00:00:00"/>
    <x v="3"/>
    <x v="1"/>
    <s v="Win"/>
    <s v="NA"/>
    <x v="3"/>
    <x v="37"/>
    <x v="46"/>
    <s v="Pune"/>
    <s v="RV Uthappa, AJ Finch, TL Suman, Yuvraj Singh, SPD Smith, LJ Wright, AM Nayar, KW Richardson, B Kumar, R Sharma, AB Dinda"/>
    <s v="MEK Hussey, WP Saha, SK Raina, S Badrinath, MS Dhoni, RA Jadeja, DJ Bravo, JA Morkel, CH Morris, R Ashwin, MM Sharma"/>
  </r>
  <r>
    <n v="598036"/>
    <s v="Rajasthan Royals"/>
    <s v="Royal Challengers Bangalore"/>
    <x v="12"/>
    <n v="2013"/>
    <d v="2013-04-29T00:00:00"/>
    <x v="7"/>
    <x v="0"/>
    <s v="Win"/>
    <s v="NA"/>
    <x v="7"/>
    <x v="70"/>
    <x v="30"/>
    <s v="Jaipur"/>
    <s v="R Dravid, AM Rahane, SV Samson, SR Watson, BJ Hodge, STR Binny, OA Shah, JP Faulkner, A Chandila, SK Trivedi, S Sreesanth"/>
    <s v="A Mukund, CH Gayle, V Kohli, AB de Villiers, MC Henriques, SS Tiwary, R Rampaul, R Vinay Kumar, M Kartik, RP Singh, JD Unadkat"/>
  </r>
  <r>
    <n v="598037"/>
    <s v="Mumbai Indians"/>
    <s v="Kings XI Punjab"/>
    <x v="12"/>
    <n v="2013"/>
    <d v="2013-04-29T00:00:00"/>
    <x v="1"/>
    <x v="1"/>
    <s v="Win"/>
    <s v="NA"/>
    <x v="2"/>
    <x v="2"/>
    <x v="26"/>
    <s v="Mumbai"/>
    <s v="DR Smith, SR Tendulkar, KD Karthik, RG Sharma, KA Pollard, AT Rayudu, Harbhajan Singh, MG Johnson, SL Malinga, DS Kulkarni, PP Ojha"/>
    <s v="Mandeep Singh, SE Marsh, M Vohra, DJ Hussey, DA Miller, Gurkeerat Singh, Azhar Mahmood, MS Gony, PP Chawla, P Kumar, P Awana"/>
  </r>
  <r>
    <n v="598035"/>
    <s v="Delhi Daredevils"/>
    <s v="Pune Warriors"/>
    <x v="12"/>
    <n v="2013"/>
    <d v="2013-04-28T00:00:00"/>
    <x v="16"/>
    <x v="0"/>
    <s v="Win"/>
    <s v="NA"/>
    <x v="13"/>
    <x v="115"/>
    <x v="39"/>
    <s v="Raipur"/>
    <s v="DPMD Jayawardene, V Sehwag, UBT Chand, DA Warner, BJ Rohrer, KM Jadhav, IK Pathan, S Nadeem, M Morkel, A Nehra, UT Yadav"/>
    <s v="RV Uthappa, AJ Finch, Yuvraj Singh, LJ Wright, SPD Smith, M Manhas, AM Nayar, B Kumar, AB Dinda, R Sharma, KW Richardson"/>
  </r>
  <r>
    <n v="598034"/>
    <s v="Chennai Super Kings"/>
    <s v="Kolkata Knight Riders"/>
    <x v="12"/>
    <n v="2013"/>
    <d v="2013-04-28T00:00:00"/>
    <x v="8"/>
    <x v="0"/>
    <s v="Win"/>
    <s v="NA"/>
    <x v="3"/>
    <x v="209"/>
    <x v="43"/>
    <s v="Chennai"/>
    <s v="WP Saha, MEK Hussey, SK Raina, MS Dhoni, RA Jadeja, S Badrinath, DJ Bravo, CH Morris, R Ashwin, DP Nannes, MM Sharma"/>
    <s v="MS Bisla, G Gambhir, BB McCullum, JH Kallis, EJG Morgan, YK Pathan, DB Das, R Bhatia, SP Narine, Mohammed Shami, L Balaji"/>
  </r>
  <r>
    <n v="598033"/>
    <s v="Mumbai Indians"/>
    <s v="Royal Challengers Bangalore"/>
    <x v="12"/>
    <n v="2013"/>
    <d v="2013-04-27T00:00:00"/>
    <x v="1"/>
    <x v="1"/>
    <s v="Win"/>
    <s v="NA"/>
    <x v="2"/>
    <x v="176"/>
    <x v="26"/>
    <s v="Mumbai"/>
    <s v="DR Smith, SR Tendulkar, KD Karthik, RG Sharma, KA Pollard, AT Rayudu, Harbhajan Singh, MG Johnson, SL Malinga, DS Kulkarni, PP Ojha"/>
    <s v="CH Gayle, TM Dilshan, V Kohli, AB de Villiers, SS Tiwary, KB Arun Karthik, J Syed Mohammad, R Rampaul, R Vinay Kumar, RP Singh, JD Unadkat"/>
  </r>
  <r>
    <n v="598032"/>
    <s v="Rajasthan Royals"/>
    <s v="Sunrisers Hyderabad"/>
    <x v="12"/>
    <n v="2013"/>
    <d v="2013-04-27T00:00:00"/>
    <x v="4"/>
    <x v="1"/>
    <s v="Win"/>
    <s v="NA"/>
    <x v="7"/>
    <x v="206"/>
    <x v="30"/>
    <s v="Jaipur"/>
    <s v="R Dravid, AM Rahane, SR Watson, STR Binny, BJ Hodge, DH Yagnik, Sachin Baby, JP Faulkner, KK Cooper, A Chandila, SK Trivedi"/>
    <s v="PA Reddy, S Dhawan, KC Sangakkara, GH Vihari, KV Sharma, NLTC Perera, DJG Sammy, A Mishra, A Ashish Reddy, DW Steyn, I Sharma"/>
  </r>
  <r>
    <n v="598031"/>
    <s v="Kolkata Knight Riders"/>
    <s v="Kings XI Punjab"/>
    <x v="12"/>
    <n v="2013"/>
    <d v="2013-04-26T00:00:00"/>
    <x v="11"/>
    <x v="1"/>
    <s v="Win"/>
    <s v="NA"/>
    <x v="10"/>
    <x v="213"/>
    <x v="29"/>
    <s v="Kolkata"/>
    <s v="MS Bisla, G Gambhir, YK Pathan, JH Kallis, EJG Morgan, SMSM Senanayake, DB Das, R Bhatia, SP Narine, S Ladda, L Balaji"/>
    <s v="AC Gilchrist, Mandeep Singh, M Vohra, DJ Hussey, DA Miller, Gurkeerat Singh, Azhar Mahmood, PP Chawla, P Kumar, Harmeet Singh, BA Bhatt"/>
  </r>
  <r>
    <n v="598030"/>
    <s v="Chennai Super Kings"/>
    <s v="Sunrisers Hyderabad"/>
    <x v="12"/>
    <n v="2013"/>
    <d v="2013-04-25T00:00:00"/>
    <x v="4"/>
    <x v="1"/>
    <s v="Win"/>
    <s v="NA"/>
    <x v="3"/>
    <x v="37"/>
    <x v="43"/>
    <s v="Chennai"/>
    <s v="MEK Hussey, M Vijay, SK Raina, MS Dhoni, DJ Bravo, RA Jadeja, CH Morris, S Badrinath, R Ashwin, JO Holder, MM Sharma"/>
    <s v="Q de Kock, S Dhawan, GH Vihari, CL White, A Mishra, X Thalaivan Sargunam, DJG Sammy, A Ashish Reddy, KV Sharma, DW Steyn, I Sharma"/>
  </r>
  <r>
    <n v="598029"/>
    <s v="Kolkata Knight Riders"/>
    <s v="Mumbai Indians"/>
    <x v="12"/>
    <n v="2013"/>
    <d v="2013-04-24T00:00:00"/>
    <x v="8"/>
    <x v="1"/>
    <s v="Win"/>
    <s v="NA"/>
    <x v="2"/>
    <x v="176"/>
    <x v="29"/>
    <s v="Kolkata"/>
    <s v="YK Pathan, G Gambhir, JH Kallis, MK Tiwary, EJG Morgan, DB Das, R Bhatia, Iqbal Abdulla, SMSM Senanayake, SP Narine, L Balaji"/>
    <s v="DR Smith, SR Tendulkar, KD Karthik, RG Sharma, KA Pollard, AT Rayudu, Harbhajan Singh, MG Johnson, YS Chahal, PP Ojha, SL Malinga"/>
  </r>
  <r>
    <n v="598027"/>
    <s v="Royal Challengers Bangalore"/>
    <s v="Pune Warriors"/>
    <x v="12"/>
    <n v="2013"/>
    <d v="2013-04-23T00:00:00"/>
    <x v="16"/>
    <x v="0"/>
    <s v="Win"/>
    <s v="NA"/>
    <x v="11"/>
    <x v="151"/>
    <x v="34"/>
    <s v="Bangalore"/>
    <s v="CH Gayle, TM Dilshan, V Kohli, AB de Villiers, SS Tiwary, R Rampaul, KB Arun Karthik, R Vinay Kumar, M Kartik, RP Singh, JD Unadkat"/>
    <s v="RV Uthappa, AJ Finch, Yuvraj Singh, LJ Wright, SPD Smith, MR Marsh, M Manhas, B Kumar, AG Murtaza, IC Pandey, AB Dinda"/>
  </r>
  <r>
    <n v="598059"/>
    <s v="Delhi Daredevils"/>
    <s v="Kings XI Punjab"/>
    <x v="12"/>
    <n v="2013"/>
    <d v="2013-04-23T00:00:00"/>
    <x v="11"/>
    <x v="0"/>
    <s v="Win"/>
    <s v="NA"/>
    <x v="12"/>
    <x v="223"/>
    <x v="35"/>
    <s v="Delhi"/>
    <s v="DPMD Jayawardene, V Sehwag, RE van der Merwe, DA Warner, MC Juneja, KM Jadhav, J Botha, IK Pathan, AB Agarkar, A Nehra, UT Yadav"/>
    <s v="AC Gilchrist, Mandeep Singh, LA Pomersbach, DA Miller, M Vohra, DJ Hussey, PP Chawla, P Kumar, Harmeet Singh, BA Bhatt, P Awana"/>
  </r>
  <r>
    <n v="598026"/>
    <s v="Chennai Super Kings"/>
    <s v="Rajasthan Royals"/>
    <x v="12"/>
    <n v="2013"/>
    <d v="2013-04-22T00:00:00"/>
    <x v="7"/>
    <x v="1"/>
    <s v="Win"/>
    <s v="NA"/>
    <x v="3"/>
    <x v="209"/>
    <x v="43"/>
    <s v="Chennai"/>
    <s v="M Vijay, MEK Hussey, SK Raina, MS Dhoni, RA Jadeja, DJ Bravo, CH Morris, S Badrinath, R Ashwin, JO Holder, MM Sharma"/>
    <s v="SR Watson, AM Rahane, DH Yagnik, R Dravid, STR Binny, BJ Hodge, JP Faulkner, KK Cooper, R Shukla, A Chandila, SK Trivedi"/>
  </r>
  <r>
    <n v="598024"/>
    <s v="Delhi Daredevils"/>
    <s v="Mumbai Indians"/>
    <x v="12"/>
    <n v="2013"/>
    <d v="2013-04-21T00:00:00"/>
    <x v="1"/>
    <x v="1"/>
    <s v="Win"/>
    <s v="NA"/>
    <x v="13"/>
    <x v="208"/>
    <x v="35"/>
    <s v="Delhi"/>
    <s v="DPMD Jayawardene, V Sehwag, DA Warner, Y Venugopal Rao, KM Jadhav, RE van der Merwe, IK Pathan, AD Russell, AB Agarkar, S Nadeem, UT Yadav"/>
    <s v="DR Smith, SR Tendulkar, KD Karthik, RG Sharma, KA Pollard, AT Rayudu, RT Ponting, Harbhajan Singh, JJ Bumrah, MM Patel, SL Malinga"/>
  </r>
  <r>
    <n v="598025"/>
    <s v="Kings XI Punjab"/>
    <s v="Pune Warriors"/>
    <x v="12"/>
    <n v="2013"/>
    <d v="2013-04-21T00:00:00"/>
    <x v="11"/>
    <x v="0"/>
    <s v="Win"/>
    <s v="NA"/>
    <x v="12"/>
    <x v="110"/>
    <x v="41"/>
    <s v="Chandigarh"/>
    <s v="AC Gilchrist, Mandeep Singh, Azhar Mahmood, M Vohra, DA Miller, DJ Hussey, Gurkeerat Singh, PP Chawla, MS Gony, P Kumar, P Awana"/>
    <s v="RV Uthappa, AJ Finch, Yuvraj Singh, SPD Smith, LJ Wright, AM Nayar, M Manhas, B Kumar, R Sharma, AB Dinda, BAW Mendis"/>
  </r>
  <r>
    <n v="598022"/>
    <s v="Kolkata Knight Riders"/>
    <s v="Chennai Super Kings"/>
    <x v="12"/>
    <n v="2013"/>
    <d v="2013-04-20T00:00:00"/>
    <x v="8"/>
    <x v="1"/>
    <s v="Win"/>
    <s v="NA"/>
    <x v="3"/>
    <x v="64"/>
    <x v="29"/>
    <s v="Kolkata"/>
    <s v="G Gambhir, YK Pathan, JH Kallis, EJG Morgan, MK Tiwary, DB Das, R Bhatia, LR Shukla, SMSM Senanayake, SP Narine, L Balaji"/>
    <s v="MEK Hussey, R Ashwin, M Vijay, SK Raina, MS Dhoni, S Badrinath, RA Jadeja, DJ Bravo, JA Morkel, CH Morris, MM Sharma"/>
  </r>
  <r>
    <n v="598023"/>
    <s v="Royal Challengers Bangalore"/>
    <s v="Rajasthan Royals"/>
    <x v="12"/>
    <n v="2013"/>
    <d v="2013-04-20T00:00:00"/>
    <x v="10"/>
    <x v="0"/>
    <s v="Win"/>
    <s v="NA"/>
    <x v="11"/>
    <x v="224"/>
    <x v="34"/>
    <s v="Bangalore"/>
    <s v="TM Dilshan, CH Gayle, V Kohli, AB de Villiers, SS Tiwary, KB Arun Karthik, R Rampaul, R Vinay Kumar, M Kartik, RP Singh, JD Unadkat"/>
    <s v="SR Watson, AM Rahane, R Dravid, STR Binny, BJ Hodge, DH Yagnik, JP Faulkner, A Chandila, S Sreesanth, SW Tait, SK Trivedi"/>
  </r>
  <r>
    <n v="598021"/>
    <s v="Sunrisers Hyderabad"/>
    <s v="Kings XI Punjab"/>
    <x v="12"/>
    <n v="2013"/>
    <d v="2013-04-19T00:00:00"/>
    <x v="11"/>
    <x v="1"/>
    <s v="Win"/>
    <s v="NA"/>
    <x v="4"/>
    <x v="225"/>
    <x v="33"/>
    <s v="Hyderabad"/>
    <s v="Q de Kock, PA Reddy, GH Vihari, CL White, BB Samantray, NLTC Perera, A Ashish Reddy, KV Sharma, A Mishra, DW Steyn, I Sharma"/>
    <s v="Mandeep Singh, AC Gilchrist, PC Valthaty, DJ Hussey, PP Chawla, Gurkeerat Singh, Azhar Mahmood, MS Gony, M Vohra, AD Mascarenhas, P Kumar"/>
  </r>
  <r>
    <n v="598020"/>
    <s v="Delhi Daredevils"/>
    <s v="Chennai Super Kings"/>
    <x v="12"/>
    <n v="2013"/>
    <d v="2013-04-18T00:00:00"/>
    <x v="3"/>
    <x v="1"/>
    <s v="Win"/>
    <s v="NA"/>
    <x v="3"/>
    <x v="209"/>
    <x v="35"/>
    <s v="Delhi"/>
    <s v="DA Warner, V Sehwag, MC Juneja, DPMD Jayawardene, BMAJ Mendis, KM Jadhav, IK Pathan, AB Agarkar, M Morkel, S Nadeem, UT Yadav"/>
    <s v="MEK Hussey, M Vijay, SK Raina, MS Dhoni, DJ Bravo, S Badrinath, RA Jadeja, JA Morkel, CH Morris, R Ashwin, MM Sharma"/>
  </r>
  <r>
    <n v="598019"/>
    <s v="Rajasthan Royals"/>
    <s v="Mumbai Indians"/>
    <x v="12"/>
    <n v="2013"/>
    <d v="2013-04-17T00:00:00"/>
    <x v="7"/>
    <x v="1"/>
    <s v="Win"/>
    <s v="NA"/>
    <x v="7"/>
    <x v="100"/>
    <x v="30"/>
    <s v="Jaipur"/>
    <s v="SR Watson, AM Rahane, DH Yagnik, STR Binny, BJ Hodge, R Dravid, JP Faulkner, KK Cooper, AA Chavan, A Chandila, SK Trivedi"/>
    <s v="SR Tendulkar, RT Ponting, KD Karthik, RG Sharma, KA Pollard, AT Rayudu, R Dhawan, Harbhajan Singh, MG Johnson, SL Malinga, PP Ojha"/>
  </r>
  <r>
    <n v="598018"/>
    <s v="Pune Warriors"/>
    <s v="Sunrisers Hyderabad"/>
    <x v="12"/>
    <n v="2013"/>
    <d v="2013-04-17T00:00:00"/>
    <x v="16"/>
    <x v="0"/>
    <s v="Win"/>
    <s v="NA"/>
    <x v="4"/>
    <x v="145"/>
    <x v="31"/>
    <s v="Pune"/>
    <s v="RV Uthappa, AJ Finch, TL Suman, SPD Smith, AD Mathews, MR Marsh, AM Nayar, MK Pandey, B Kumar, R Sharma, AB Dinda"/>
    <s v="PA Patel, Q de Kock, GH Vihari, CL White, BB Samantray, KV Sharma, NLTC Perera, A Mishra, A Ashish Reddy, DW Steyn, I Sharma"/>
  </r>
  <r>
    <n v="598016"/>
    <s v="Kings XI Punjab"/>
    <s v="Kolkata Knight Riders"/>
    <x v="12"/>
    <n v="2013"/>
    <d v="2013-04-16T00:00:00"/>
    <x v="8"/>
    <x v="0"/>
    <s v="Win"/>
    <s v="NA"/>
    <x v="12"/>
    <x v="226"/>
    <x v="41"/>
    <s v="Chandigarh"/>
    <s v="AC Gilchrist, Mandeep Singh, M Vohra, DJ Hussey, DA Miller, Azhar Mahmood, Gurkeerat Singh, MS Gony, PP Chawla, P Kumar, P Awana"/>
    <s v="MS Bisla, G Gambhir, JH Kallis, EJG Morgan, MK Tiwary, YK Pathan, DB Das, R Bhatia, SMSM Senanayake, SP Narine, L Balaji"/>
  </r>
  <r>
    <n v="598017"/>
    <s v="Royal Challengers Bangalore"/>
    <s v="Delhi Daredevils"/>
    <x v="12"/>
    <n v="2013"/>
    <d v="2013-04-16T00:00:00"/>
    <x v="10"/>
    <x v="0"/>
    <s v="tie"/>
    <s v="Royal Challengers Bangalore"/>
    <x v="9"/>
    <x v="31"/>
    <x v="34"/>
    <s v="Bangalore"/>
    <s v="CH Gayle, KL Rahul, V Kohli, AB de Villiers, AB McDonald, KB Arun Karthik, J Syed Mohammad, R Vinay Kumar, R Rampaul, RP Singh, JD Unadkat"/>
    <s v="DA Warner, V Sehwag, MC Juneja, DPMD Jayawardene, BJ Rohrer, KM Jadhav, IK Pathan, M Morkel, S Nadeem, A Nehra, UT Yadav"/>
  </r>
  <r>
    <n v="598015"/>
    <s v="Chennai Super Kings"/>
    <s v="Pune Warriors"/>
    <x v="12"/>
    <n v="2013"/>
    <d v="2013-04-15T00:00:00"/>
    <x v="16"/>
    <x v="1"/>
    <s v="Win"/>
    <s v="NA"/>
    <x v="17"/>
    <x v="159"/>
    <x v="43"/>
    <s v="Chennai"/>
    <s v="S Anirudha, M Vijay, SK Raina, S Badrinath, RA Jadeja, MS Dhoni, DJ Bravo, JA Morkel, CH Morris, R Ashwin, DP Nannes"/>
    <s v="RV Uthappa, AJ Finch, LRPL Taylor, SPD Smith, MR Marsh, MK Pandey, AM Nayar, TL Suman, B Kumar, R Sharma, AB Dinda"/>
  </r>
  <r>
    <n v="598014"/>
    <s v="Rajasthan Royals"/>
    <s v="Kings XI Punjab"/>
    <x v="12"/>
    <n v="2013"/>
    <d v="2013-04-14T00:00:00"/>
    <x v="7"/>
    <x v="0"/>
    <s v="Win"/>
    <s v="NA"/>
    <x v="7"/>
    <x v="206"/>
    <x v="30"/>
    <s v="Jaipur"/>
    <s v="SR Watson, AM Rahane, R Dravid, STR Binny, BJ Hodge, SV Samson, JP Faulkner, KK Cooper, SK Trivedi, A Chandila, S Sreesanth"/>
    <s v="Mandeep Singh, AC Gilchrist, M Vohra, DJ Hussey, Gurkeerat Singh, R Sathish, Azhar Mahmood, PP Chawla, RJ Harris, P Kumar, P Awana"/>
  </r>
  <r>
    <n v="598013"/>
    <s v="Kolkata Knight Riders"/>
    <s v="Sunrisers Hyderabad"/>
    <x v="12"/>
    <n v="2013"/>
    <d v="2013-04-14T00:00:00"/>
    <x v="8"/>
    <x v="1"/>
    <s v="Win"/>
    <s v="NA"/>
    <x v="10"/>
    <x v="178"/>
    <x v="29"/>
    <s v="Kolkata"/>
    <s v="MS Bisla, G Gambhir, JH Kallis, EJG Morgan, YK Pathan, MK Tiwary, R Bhatia, LR Shukla, SMSM Senanayake, SP Narine, L Balaji"/>
    <s v="PA Patel, CL White, KC Sangakkara, DB Ravi Teja, NLTC Perera, A Ashish Reddy, KV Sharma, GH Vihari, A Mishra, DW Steyn, I Sharma"/>
  </r>
  <r>
    <n v="598011"/>
    <s v="Mumbai Indians"/>
    <s v="Pune Warriors"/>
    <x v="12"/>
    <n v="2013"/>
    <d v="2013-04-13T00:00:00"/>
    <x v="1"/>
    <x v="1"/>
    <s v="Win"/>
    <s v="NA"/>
    <x v="2"/>
    <x v="2"/>
    <x v="26"/>
    <s v="Mumbai"/>
    <s v="RT Ponting, SR Tendulkar, KD Karthik, RG Sharma, KA Pollard, AT Rayudu, Harbhajan Singh, R Dhawan, MG Johnson, PP Ojha, SL Malinga"/>
    <s v="AJ Finch, RV Uthappa, LRPL Taylor, Yuvraj Singh, TL Suman, AD Mathews, MR Marsh, AM Nayar, B Kumar, R Sharma, AB Dinda"/>
  </r>
  <r>
    <n v="598012"/>
    <s v="Chennai Super Kings"/>
    <s v="Royal Challengers Bangalore"/>
    <x v="12"/>
    <n v="2013"/>
    <d v="2013-04-13T00:00:00"/>
    <x v="3"/>
    <x v="0"/>
    <s v="Win"/>
    <s v="NA"/>
    <x v="3"/>
    <x v="64"/>
    <x v="43"/>
    <s v="Chennai"/>
    <s v="MEK Hussey, M Vijay, SK Raina, S Badrinath, MS Dhoni, RA Jadeja, DJ Bravo, CH Morris, R Ashwin, DP Nannes, MM Sharma"/>
    <s v="CH Gayle, MA Agarwal, V Kohli, AB de Villiers, DT Christian, R Rampaul, KB Arun Karthik, J Syed Mohammad, R Vinay Kumar, M Kartik, RP Singh"/>
  </r>
  <r>
    <n v="598010"/>
    <s v="Delhi Daredevils"/>
    <s v="Sunrisers Hyderabad"/>
    <x v="12"/>
    <n v="2013"/>
    <d v="2013-04-12T00:00:00"/>
    <x v="12"/>
    <x v="1"/>
    <s v="Win"/>
    <s v="NA"/>
    <x v="4"/>
    <x v="145"/>
    <x v="35"/>
    <s v="Delhi"/>
    <s v="DA Warner, V Sehwag, DPMD Jayawardene, MC Juneja, J Botha, IK Pathan, KM Jadhav, M Morkel, S Nadeem, UT Yadav, S Kaul"/>
    <s v="PA Reddy, PA Patel, KC Sangakkara, GH Vihari, CL White, NLTC Perera, A Ashish Reddy, A Mishra, DW Steyn, I Sharma, Anand Rajan"/>
  </r>
  <r>
    <n v="598008"/>
    <s v="Royal Challengers Bangalore"/>
    <s v="Kolkata Knight Riders"/>
    <x v="12"/>
    <n v="2013"/>
    <d v="2013-04-11T00:00:00"/>
    <x v="10"/>
    <x v="0"/>
    <s v="Win"/>
    <s v="NA"/>
    <x v="11"/>
    <x v="151"/>
    <x v="34"/>
    <s v="Bangalore"/>
    <s v="CH Gayle, MA Agarwal, V Kohli, AB de Villiers, MC Henriques, KB Arun Karthik, KL Rahul, R Vinay Kumar, RP Singh, JD Unadkat, M Muralitharan"/>
    <s v="MS Bisla, G Gambhir, JH Kallis, YK Pathan, MK Tiwary, EJG Morgan, R Bhatia, R McLaren, PJ Sangwan, SP Narine, L Balaji"/>
  </r>
  <r>
    <n v="598009"/>
    <s v="Pune Warriors"/>
    <s v="Rajasthan Royals"/>
    <x v="12"/>
    <n v="2013"/>
    <d v="2013-04-11T00:00:00"/>
    <x v="7"/>
    <x v="1"/>
    <s v="Win"/>
    <s v="NA"/>
    <x v="17"/>
    <x v="196"/>
    <x v="46"/>
    <s v="Pune"/>
    <s v="RV Uthappa, AJ Finch, LRPL Taylor, Yuvraj Singh, AD Mathews, TL Suman, AM Nayar, MR Marsh, B Kumar, R Sharma, AB Dinda"/>
    <s v="MDKJ Perera, AM Rahane, R Dravid, STR Binny, BJ Hodge, DH Yagnik, JP Faulkner, KK Cooper, S Sreesanth, Harmeet Singh, SK Trivedi"/>
  </r>
  <r>
    <n v="598007"/>
    <s v="Kings XI Punjab"/>
    <s v="Chennai Super Kings"/>
    <x v="12"/>
    <n v="2013"/>
    <d v="2013-04-10T00:00:00"/>
    <x v="3"/>
    <x v="0"/>
    <s v="Win"/>
    <s v="NA"/>
    <x v="3"/>
    <x v="209"/>
    <x v="41"/>
    <s v="Chandigarh"/>
    <s v="Mandeep Singh, AC Gilchrist, M Vohra, DJ Hussey, Gurkeerat Singh, Azhar Mahmood, R Sathish, PP Chawla, RJ Harris, P Kumar, P Awana"/>
    <s v="M Vijay, MEK Hussey, SK Raina, S Badrinath, MS Dhoni, RA Jadeja, DJ Bravo, R Ashwin, DP Nannes, CH Morris, AS Rajpoot"/>
  </r>
  <r>
    <n v="598048"/>
    <s v="Royal Challengers Bangalore"/>
    <s v="Sunrisers Hyderabad"/>
    <x v="12"/>
    <n v="2013"/>
    <d v="2013-04-09T00:00:00"/>
    <x v="4"/>
    <x v="1"/>
    <s v="Win"/>
    <s v="NA"/>
    <x v="11"/>
    <x v="31"/>
    <x v="34"/>
    <s v="Bangalore"/>
    <s v="MA Agarwal, CH Gayle, V Kohli, AB de Villiers, MC Henriques, KB Arun Karthik, R Vinay Kumar, M Kartik, JD Unadkat, RP Singh, M Muralitharan"/>
    <s v="PA Reddy, PA Patel, KC Sangakkara, CL White, NLTC Perera, A Ashish Reddy, GH Vihari, BB Samantray, A Mishra, DW Steyn, I Sharma"/>
  </r>
  <r>
    <n v="598006"/>
    <s v="Mumbai Indians"/>
    <s v="Delhi Daredevils"/>
    <x v="12"/>
    <n v="2013"/>
    <d v="2013-04-09T00:00:00"/>
    <x v="1"/>
    <x v="1"/>
    <s v="Win"/>
    <s v="NA"/>
    <x v="2"/>
    <x v="122"/>
    <x v="26"/>
    <s v="Mumbai"/>
    <s v="RT Ponting, SR Tendulkar, KD Karthik, RG Sharma, KA Pollard, AT Rayudu, Harbhajan Singh, R Dhawan, MG Johnson, PP Ojha, SL Malinga"/>
    <s v="UBT Chand, DA Warner, DPMD Jayawardene, MC Juneja, BMAJ Mendis, IK Pathan, KM Jadhav, S Nadeem, M Morkel, A Nehra, UT Yadav"/>
  </r>
  <r>
    <n v="598005"/>
    <s v="Rajasthan Royals"/>
    <s v="Kolkata Knight Riders"/>
    <x v="12"/>
    <n v="2013"/>
    <d v="2013-04-08T00:00:00"/>
    <x v="8"/>
    <x v="0"/>
    <s v="Win"/>
    <s v="NA"/>
    <x v="7"/>
    <x v="227"/>
    <x v="30"/>
    <s v="Jaipur"/>
    <s v="SR Watson, AM Rahane, R Dravid, STR Binny, BJ Hodge, KK Cooper, DH Yagnik, S Sreesanth, SK Trivedi, SW Tait, R Shukla"/>
    <s v="MS Bisla, G Gambhir, JH Kallis, MK Tiwary, EJG Morgan, YK Pathan, LR Shukla, R Bhatia, B Lee, Mohammed Shami, SP Narine"/>
  </r>
  <r>
    <n v="598003"/>
    <s v="Pune Warriors"/>
    <s v="Kings XI Punjab"/>
    <x v="12"/>
    <n v="2013"/>
    <d v="2013-04-07T00:00:00"/>
    <x v="16"/>
    <x v="1"/>
    <s v="Win"/>
    <s v="NA"/>
    <x v="12"/>
    <x v="195"/>
    <x v="46"/>
    <s v="Pune"/>
    <s v="RV Uthappa, MK Pandey, TL Suman, MN Samuels, LRPL Taylor, AD Mathews, AM Nayar, MR Marsh, B Kumar, R Sharma, AB Dinda"/>
    <s v="AC Gilchrist, Mandeep Singh, M Vohra, DJ Hussey, Azhar Mahmood, Gurkeerat Singh, R Sathish, PP Chawla, P Awana, P Kumar, RJ Harris"/>
  </r>
  <r>
    <n v="598004"/>
    <s v="Sunrisers Hyderabad"/>
    <s v="Royal Challengers Bangalore"/>
    <x v="12"/>
    <n v="2013"/>
    <d v="2013-04-07T00:00:00"/>
    <x v="10"/>
    <x v="1"/>
    <s v="tie"/>
    <s v="Sunrisers Hyderabad"/>
    <x v="9"/>
    <x v="225"/>
    <x v="33"/>
    <s v="Hyderabad"/>
    <s v="PA Reddy, PA Patel, CL White, GH Vihari, KC Sangakkara, NLTC Perera, A Mishra, A Ashish Reddy, DW Steyn, Ankit Sharma, I Sharma"/>
    <s v="CH Gayle, TM Dilshan, V Kohli, KK Nair, MC Henriques, MA Agarwal, KB Arun Karthik, R Vinay Kumar, M Kartik, JD Unadkat, M Muralitharan"/>
  </r>
  <r>
    <n v="598002"/>
    <s v="Chennai Super Kings"/>
    <s v="Mumbai Indians"/>
    <x v="12"/>
    <n v="2013"/>
    <d v="2013-04-06T00:00:00"/>
    <x v="1"/>
    <x v="1"/>
    <s v="Win"/>
    <s v="NA"/>
    <x v="2"/>
    <x v="135"/>
    <x v="43"/>
    <s v="Chennai"/>
    <s v="MEK Hussey, M Vijay, SK Raina, DJ Bravo, S Badrinath, MS Dhoni, RA Jadeja, R Ashwin, B Laughlin, AS Rajpoot, DP Nannes"/>
    <s v="RT Ponting, SR Tendulkar, KD Karthik, RG Sharma, AT Rayudu, KA Pollard, DR Smith, Harbhajan Singh, MG Johnson, MM Patel, PP Ojha"/>
  </r>
  <r>
    <n v="598001"/>
    <s v="Delhi Daredevils"/>
    <s v="Rajasthan Royals"/>
    <x v="12"/>
    <n v="2013"/>
    <d v="2013-04-06T00:00:00"/>
    <x v="7"/>
    <x v="1"/>
    <s v="Win"/>
    <s v="NA"/>
    <x v="7"/>
    <x v="228"/>
    <x v="35"/>
    <s v="Delhi"/>
    <s v="DA Warner, UBT Chand, DPMD Jayawardene, MC Juneja, AD Russell, J Botha, IK Pathan, NV Ojha, A Nehra, S Nadeem, UT Yadav"/>
    <s v="MDKJ Perera, AM Rahane, R Dravid, STR Binny, BJ Hodge, KK Cooper, AL Menaria, S Sreesanth, R Shukla, SK Trivedi, S Badree"/>
  </r>
  <r>
    <n v="598000"/>
    <s v="Sunrisers Hyderabad"/>
    <s v="Pune Warriors"/>
    <x v="12"/>
    <n v="2013"/>
    <d v="2013-04-05T00:00:00"/>
    <x v="16"/>
    <x v="0"/>
    <s v="Win"/>
    <s v="NA"/>
    <x v="4"/>
    <x v="145"/>
    <x v="33"/>
    <s v="Hyderabad"/>
    <s v="PA Reddy, PA Patel, KC Sangakkara, CL White, NLTC Perera, GH Vihari, A Ashish Reddy, DB Ravi Teja, A Mishra, DW Steyn, I Sharma"/>
    <s v="RV Uthappa, MK Pandey, MN Samuels, Yuvraj Singh, LRPL Taylor, AM Nayar, AD Mathews, MR Marsh, B Kumar, R Sharma, AB Dinda"/>
  </r>
  <r>
    <n v="597999"/>
    <s v="Royal Challengers Bangalore"/>
    <s v="Mumbai Indians"/>
    <x v="12"/>
    <n v="2013"/>
    <d v="2013-04-04T00:00:00"/>
    <x v="1"/>
    <x v="0"/>
    <s v="Win"/>
    <s v="NA"/>
    <x v="11"/>
    <x v="151"/>
    <x v="34"/>
    <s v="Bangalore"/>
    <s v="CH Gayle, TM Dilshan, V Kohli, MA Agarwal, DT Christian, KK Nair, KB Arun Karthik, R Vinay Kumar, M Kartik, JD Unadkat, M Muralitharan"/>
    <s v="RT Ponting, SR Tendulkar, KD Karthik, RG Sharma, AT Rayudu, KA Pollard, Harbhajan Singh, JJ Bumrah, MG Johnson, JDP Oram, MM Patel"/>
  </r>
  <r>
    <n v="597998"/>
    <s v="Kolkata Knight Riders"/>
    <s v="Delhi Daredevils"/>
    <x v="12"/>
    <n v="2013"/>
    <d v="2013-04-03T00:00:00"/>
    <x v="8"/>
    <x v="0"/>
    <s v="Win"/>
    <s v="NA"/>
    <x v="10"/>
    <x v="24"/>
    <x v="29"/>
    <s v="Kolkata"/>
    <s v="MS Bisla, G Gambhir, JH Kallis, MK Tiwary, EJG Morgan, YK Pathan, LR Shukla, R Bhatia, B Lee, SP Narine, L Balaji"/>
    <s v="UBT Chand, DA Warner, DPMD Jayawardene, MC Juneja, NV Ojha, J Botha, IK Pathan, AD Russell, S Nadeem, A Nehra, UT Yadav"/>
  </r>
  <r>
    <n v="548381"/>
    <s v="Kolkata Knight Riders"/>
    <s v="Chennai Super Kings"/>
    <x v="13"/>
    <n v="2012"/>
    <d v="2012-05-27T00:00:00"/>
    <x v="3"/>
    <x v="1"/>
    <s v="Win"/>
    <s v="NA"/>
    <x v="10"/>
    <x v="229"/>
    <x v="43"/>
    <s v="Chennai"/>
    <s v="MS Bisla, G Gambhir, JH Kallis, LR Shukla, YK Pathan, Shakib Al Hasan, MK Tiwary, R Bhatia, Iqbal Abdulla, SP Narine, B Lee"/>
    <s v="MEK Hussey, M Vijay, SK Raina, MS Dhoni, DJ Bravo, RA Jadeja, JA Morkel, R Ashwin, BW Hilfenhaus, SB Jakati, S Badrinath"/>
  </r>
  <r>
    <n v="548380"/>
    <s v="Delhi Daredevils"/>
    <s v="Chennai Super Kings"/>
    <x v="13"/>
    <n v="2012"/>
    <d v="2012-05-25T00:00:00"/>
    <x v="12"/>
    <x v="0"/>
    <s v="Win"/>
    <s v="NA"/>
    <x v="3"/>
    <x v="212"/>
    <x v="43"/>
    <s v="Chennai"/>
    <s v="DPMD Jayawardene, DA Warner, V Sehwag, LRPL Taylor, AD Russell, NV Ojha, Y Venugopal Rao, P Negi, Sunny Gupta, UT Yadav, VR Aaron"/>
    <s v="M Vijay, MEK Hussey, SK Raina, MS Dhoni, JA Morkel, DJ Bravo, RA Jadeja, R Ashwin, BW Hilfenhaus, SB Jakati, S Badrinath"/>
  </r>
  <r>
    <n v="548379"/>
    <s v="Chennai Super Kings"/>
    <s v="Mumbai Indians"/>
    <x v="13"/>
    <n v="2012"/>
    <d v="2012-05-23T00:00:00"/>
    <x v="1"/>
    <x v="0"/>
    <s v="Win"/>
    <s v="NA"/>
    <x v="3"/>
    <x v="37"/>
    <x v="34"/>
    <s v="Bangalore"/>
    <s v="M Vijay, MEK Hussey, SK Raina, S Badrinath, MS Dhoni, RA Jadeja, DJ Bravo, JA Morkel, R Ashwin, BW Hilfenhaus, SB Jakati"/>
    <s v="SR Tendulkar, DR Smith, RG Sharma, KD Karthik, JEC Franklin, AT Rayudu, KA Pollard, Harbhajan Singh, SL Malinga, DS Kulkarni, RP Singh"/>
  </r>
  <r>
    <n v="548378"/>
    <s v="Delhi Daredevils"/>
    <s v="Kolkata Knight Riders"/>
    <x v="13"/>
    <n v="2012"/>
    <d v="2012-05-22T00:00:00"/>
    <x v="8"/>
    <x v="1"/>
    <s v="Win"/>
    <s v="NA"/>
    <x v="10"/>
    <x v="189"/>
    <x v="46"/>
    <s v="Pune"/>
    <s v="DA Warner, V Sehwag, NV Ojha, DPMD Jayawardene, Y Venugopal Rao, P Negi, LRPL Taylor, IK Pathan, M Morkel, UT Yadav, VR Aaron"/>
    <s v="BB McCullum, G Gambhir, JH Kallis, Shakib Al Hasan, YK Pathan, LR Shukla, DB Das, R Bhatia, Iqbal Abdulla, SP Narine, L Balaji"/>
  </r>
  <r>
    <n v="548376"/>
    <s v="Deccan Chargers"/>
    <s v="Royal Challengers Bangalore"/>
    <x v="13"/>
    <n v="2012"/>
    <d v="2012-05-20T00:00:00"/>
    <x v="10"/>
    <x v="0"/>
    <s v="Win"/>
    <s v="NA"/>
    <x v="18"/>
    <x v="210"/>
    <x v="33"/>
    <s v="Hyderabad"/>
    <s v="S Dhawan, PA Reddy, KC Sangakkara, CL White, JP Duminy, PA Patel, A Ashish Reddy, DW Steyn, A Mishra, MS Gony, V Pratap Singh"/>
    <s v="CH Gayle, TM Dilshan, V Kohli, SS Tiwary, AB de Villiers, MA Agarwal, Z Khan, R Vinay Kumar, HV Patel, M Muralitharan, P Parameswaran"/>
  </r>
  <r>
    <n v="548377"/>
    <s v="Rajasthan Royals"/>
    <s v="Mumbai Indians"/>
    <x v="13"/>
    <n v="2012"/>
    <d v="2012-05-20T00:00:00"/>
    <x v="7"/>
    <x v="1"/>
    <s v="Win"/>
    <s v="NA"/>
    <x v="2"/>
    <x v="176"/>
    <x v="30"/>
    <s v="Jaipur"/>
    <s v="R Dravid, AM Rahane, SR Watson, STR Binny, OA Shah, AL Menaria, DH Yagnik, GB Hogg, SW Tait, SK Trivedi, A Chandila"/>
    <s v="SR Tendulkar, DR Smith, RG Sharma, KD Karthik, JEC Franklin, AT Rayudu, KA Pollard, Harbhajan Singh, SL Malinga, RP Singh, DS Kulkarni"/>
  </r>
  <r>
    <n v="548374"/>
    <s v="Kings XI Punjab"/>
    <s v="Delhi Daredevils"/>
    <x v="13"/>
    <n v="2012"/>
    <d v="2012-05-19T00:00:00"/>
    <x v="12"/>
    <x v="0"/>
    <s v="Win"/>
    <s v="NA"/>
    <x v="13"/>
    <x v="129"/>
    <x v="47"/>
    <s v="Dharamsala"/>
    <s v="AC Gilchrist, Mandeep Singh, PC Valthaty, DJ Hussey, SD Chitnis, Azhar Mahmood, Gurkeerat Singh, PP Chawla, RJ Harris, P Kumar, P Awana"/>
    <s v="UBT Chand, DA Warner, Y Venugopal Rao, IK Pathan, DPMD Jayawardene, NV Ojha, AD Russell, P Negi, VR Aaron, M Morkel, UT Yadav"/>
  </r>
  <r>
    <n v="548375"/>
    <s v="Pune Warriors"/>
    <s v="Kolkata Knight Riders"/>
    <x v="13"/>
    <n v="2012"/>
    <d v="2012-05-19T00:00:00"/>
    <x v="8"/>
    <x v="1"/>
    <s v="Win"/>
    <s v="NA"/>
    <x v="10"/>
    <x v="230"/>
    <x v="46"/>
    <s v="Pune"/>
    <s v="RV Uthappa, JD Ryder, MJ Clarke, SC Ganguly, AP Majumdar, CJ Ferguson, Harpreet Singh, WD Parnell, B Kumar, AG Murtaza, A Nehra"/>
    <s v="BB McCullum, G Gambhir, JH Kallis, Shakib Al Hasan, MK Tiwary, YK Pathan, DB Das, R Bhatia, Iqbal Abdulla, SP Narine, L Balaji"/>
  </r>
  <r>
    <n v="548373"/>
    <s v="Deccan Chargers"/>
    <s v="Rajasthan Royals"/>
    <x v="13"/>
    <n v="2012"/>
    <d v="2012-05-18T00:00:00"/>
    <x v="7"/>
    <x v="1"/>
    <s v="Win"/>
    <s v="NA"/>
    <x v="18"/>
    <x v="210"/>
    <x v="33"/>
    <s v="Hyderabad"/>
    <s v="PA Reddy, S Dhawan, JP Duminy, CL White, CA Lynn, PA Patel, A Ashish Reddy, A Mishra, DW Steyn, MS Gony, V Pratap Singh"/>
    <s v="R Dravid, AM Rahane, SR Watson, STR Binny, OA Shah, AL Menaria, J Botha, SP Goswami, A Chandila, SW Tait, SK Trivedi"/>
  </r>
  <r>
    <n v="548372"/>
    <s v="Delhi Daredevils"/>
    <s v="Royal Challengers Bangalore"/>
    <x v="13"/>
    <n v="2012"/>
    <d v="2012-05-17T00:00:00"/>
    <x v="12"/>
    <x v="0"/>
    <s v="Win"/>
    <s v="NA"/>
    <x v="11"/>
    <x v="151"/>
    <x v="35"/>
    <s v="Delhi"/>
    <s v="UBT Chand, DA Warner, Y Venugopal Rao, DPMD Jayawardene, LRPL Taylor, NV Ojha, AD Russell, IK Pathan, P Negi, UT Yadav, VR Aaron"/>
    <s v="CH Gayle, TM Dilshan, V Kohli, AB de Villiers, SS Tiwary, MA Agarwal, R Vinay Kumar, Z Khan, HV Patel, P Parameswaran, M Muralitharan"/>
  </r>
  <r>
    <n v="548371"/>
    <s v="Kings XI Punjab"/>
    <s v="Chennai Super Kings"/>
    <x v="13"/>
    <n v="2012"/>
    <d v="2012-05-17T00:00:00"/>
    <x v="11"/>
    <x v="0"/>
    <s v="Win"/>
    <s v="NA"/>
    <x v="12"/>
    <x v="218"/>
    <x v="47"/>
    <s v="Dharamsala"/>
    <s v="AC Gilchrist, Mandeep Singh, N Saini, DJ Hussey, SD Chitnis, Azhar Mahmood, Gurkeerat Singh, PP Chawla, RJ Harris, P Kumar, P Awana"/>
    <s v="M Vijay, MEK Hussey, SK Raina, MS Dhoni, DJ Bravo, RA Jadeja, JA Morkel, S Anirudha, R Ashwin, BW Hilfenhaus, VY Mahesh"/>
  </r>
  <r>
    <n v="548370"/>
    <s v="Mumbai Indians"/>
    <s v="Kolkata Knight Riders"/>
    <x v="13"/>
    <n v="2012"/>
    <d v="2012-05-16T00:00:00"/>
    <x v="1"/>
    <x v="0"/>
    <s v="Win"/>
    <s v="NA"/>
    <x v="10"/>
    <x v="24"/>
    <x v="26"/>
    <s v="Mumbai"/>
    <s v="HH Gibbs, SR Tendulkar, KD Karthik, RG Sharma, AT Rayudu, KA Pollard, DR Smith, Harbhajan Singh, SL Malinga, RP Singh, MM Patel"/>
    <s v="G Gambhir, BB McCullum, JH Kallis, MK Tiwary, Shakib Al Hasan, YK Pathan, DB Das, R Bhatia, SP Narine, L Balaji, Iqbal Abdulla"/>
  </r>
  <r>
    <n v="548369"/>
    <s v="Delhi Daredevils"/>
    <s v="Kings XI Punjab"/>
    <x v="13"/>
    <n v="2012"/>
    <d v="2012-05-15T00:00:00"/>
    <x v="11"/>
    <x v="1"/>
    <s v="Win"/>
    <s v="NA"/>
    <x v="13"/>
    <x v="129"/>
    <x v="35"/>
    <s v="Delhi"/>
    <s v="DA Warner, V Sehwag, Y Venugopal Rao, DPMD Jayawardene, LRPL Taylor, NV Ojha, IK Pathan, P Negi, M Morkel, VR Aaron, UT Yadav"/>
    <s v="Mandeep Singh, SE Marsh, N Saini, DJ Hussey, DA Miller, Azhar Mahmood, Gurkeerat Singh, PP Chawla, P Kumar, P Awana, Harmeet Singh"/>
  </r>
  <r>
    <n v="548368"/>
    <s v="Kolkata Knight Riders"/>
    <s v="Chennai Super Kings"/>
    <x v="13"/>
    <n v="2012"/>
    <d v="2012-05-14T00:00:00"/>
    <x v="3"/>
    <x v="0"/>
    <s v="Win"/>
    <s v="NA"/>
    <x v="3"/>
    <x v="209"/>
    <x v="29"/>
    <s v="Kolkata"/>
    <s v="G Gambhir, BB McCullum, JH Kallis, MK Tiwary, YK Pathan, DB Das, LR Shukla, R Bhatia, SP Narine, L Balaji, M de Lange"/>
    <s v="MEK Hussey, M Vijay, SK Raina, F du Plessis, MS Dhoni, DJ Bravo, RA Jadeja, S Anirudha, R Ashwin, BW Hilfenhaus, SB Jakati"/>
  </r>
  <r>
    <n v="548367"/>
    <s v="Royal Challengers Bangalore"/>
    <s v="Mumbai Indians"/>
    <x v="13"/>
    <n v="2012"/>
    <d v="2012-05-14T00:00:00"/>
    <x v="1"/>
    <x v="0"/>
    <s v="Win"/>
    <s v="NA"/>
    <x v="2"/>
    <x v="156"/>
    <x v="34"/>
    <s v="Bangalore"/>
    <s v="CH Gayle, TM Dilshan, V Kohli, SS Tiwary, AB de Villiers, MA Agarwal, R Vinay Kumar, Z Khan, HV Patel, M Muralitharan, KP Appanna"/>
    <s v="HH Gibbs, SR Tendulkar, RG Sharma, KD Karthik, AT Rayudu, DR Smith, KA Pollard, Harbhajan Singh, SL Malinga, RP Singh, MM Patel"/>
  </r>
  <r>
    <n v="548366"/>
    <s v="Kings XI Punjab"/>
    <s v="Deccan Chargers"/>
    <x v="13"/>
    <n v="2012"/>
    <d v="2012-05-13T00:00:00"/>
    <x v="17"/>
    <x v="1"/>
    <s v="Win"/>
    <s v="NA"/>
    <x v="12"/>
    <x v="231"/>
    <x v="41"/>
    <s v="Chandigarh"/>
    <s v="N Saini, Mandeep Singh, SE Marsh, Azhar Mahmood, DJ Hussey, SD Chitnis, PP Chawla, Gurkeerat Singh, P Kumar, P Awana, RJ Harris"/>
    <s v="S Dhawan, PA Patel, KC Sangakkara, CL White, DT Christian, PA Reddy, AA Jhunjhunwala, A Mishra, DW Steyn, MS Gony, TP Sudhindra"/>
  </r>
  <r>
    <n v="548365"/>
    <s v="Rajasthan Royals"/>
    <s v="Pune Warriors"/>
    <x v="13"/>
    <n v="2012"/>
    <d v="2012-05-13T00:00:00"/>
    <x v="7"/>
    <x v="1"/>
    <s v="Win"/>
    <s v="NA"/>
    <x v="7"/>
    <x v="232"/>
    <x v="30"/>
    <s v="Jaipur"/>
    <s v="R Dravid, AM Rahane, SR Watson, BJ Hodge, STR Binny, J Botha, SP Goswami, AL Menaria, SW Tait, SK Trivedi, A Chandila"/>
    <s v="SC Ganguly, JD Ryder, RV Uthappa, AP Majumdar, CJ Ferguson, SPD Smith, AD Mathews, B Kumar, M Kartik, R Sharma, A Nehra"/>
  </r>
  <r>
    <n v="548364"/>
    <s v="Chennai Super Kings"/>
    <s v="Delhi Daredevils"/>
    <x v="13"/>
    <n v="2012"/>
    <d v="2012-05-12T00:00:00"/>
    <x v="3"/>
    <x v="0"/>
    <s v="Win"/>
    <s v="NA"/>
    <x v="3"/>
    <x v="233"/>
    <x v="43"/>
    <s v="Chennai"/>
    <s v="MEK Hussey, M Vijay, SK Raina, MS Dhoni, RA Jadeja, S Anirudha, DJ Bravo, JA Morkel, R Ashwin, BW Hilfenhaus, SB Jakati"/>
    <s v="DA Warner, V Sehwag, NV Ojha, DPMD Jayawardene, Y Venugopal Rao, Y Nagar, IK Pathan, RE van der Merwe, M Morkel, VR Aaron, UT Yadav"/>
  </r>
  <r>
    <n v="548363"/>
    <s v="Kolkata Knight Riders"/>
    <s v="Mumbai Indians"/>
    <x v="13"/>
    <n v="2012"/>
    <d v="2012-05-12T00:00:00"/>
    <x v="1"/>
    <x v="1"/>
    <s v="Win"/>
    <s v="NA"/>
    <x v="2"/>
    <x v="2"/>
    <x v="29"/>
    <s v="Kolkata"/>
    <s v="MS Bisla, G Gambhir, JH Kallis, MK Tiwary, YK Pathan, DB Das, Shakib Al Hasan, LR Shukla, R Bhatia, B Lee, SP Narine"/>
    <s v="HH Gibbs, SR Tendulkar, RG Sharma, KD Karthik, AT Rayudu, DR Smith, KA Pollard, Harbhajan Singh, SL Malinga, PP Ojha, MM Patel"/>
  </r>
  <r>
    <n v="548362"/>
    <s v="Pune Warriors"/>
    <s v="Royal Challengers Bangalore"/>
    <x v="13"/>
    <n v="2012"/>
    <d v="2012-05-11T00:00:00"/>
    <x v="16"/>
    <x v="0"/>
    <s v="Win"/>
    <s v="NA"/>
    <x v="11"/>
    <x v="151"/>
    <x v="46"/>
    <s v="Pune"/>
    <s v="MD Mishra, MJ Clarke, MK Pandey, RV Uthappa, AP Majumdar, AD Mathews, SPD Smith, B Kumar, AC Thomas, R Sharma, K Upadhyay"/>
    <s v="CH Gayle, TM Dilshan, V Kohli, SS Tiwary, AB de Villiers, MA Agarwal, R Vinay Kumar, Z Khan, HV Patel, M Muralitharan, KP Appanna"/>
  </r>
  <r>
    <n v="548361"/>
    <s v="Rajasthan Royals"/>
    <s v="Chennai Super Kings"/>
    <x v="13"/>
    <n v="2012"/>
    <d v="2012-05-10T00:00:00"/>
    <x v="3"/>
    <x v="0"/>
    <s v="Win"/>
    <s v="NA"/>
    <x v="3"/>
    <x v="233"/>
    <x v="30"/>
    <s v="Jaipur"/>
    <s v="R Dravid, AM Rahane, SR Watson, STR Binny, BJ Hodge, J Botha, AL Menaria, DH Yagnik, SW Tait, SK Trivedi, Pankaj Singh"/>
    <s v="MEK Hussey, M Vijay, SK Raina, DJ Bravo, MS Dhoni, RA Jadeja, JA Morkel, S Anirudha, R Ashwin, BW Hilfenhaus, VY Mahesh"/>
  </r>
  <r>
    <n v="548329"/>
    <s v="Deccan Chargers"/>
    <s v="Delhi Daredevils"/>
    <x v="13"/>
    <n v="2012"/>
    <d v="2012-05-10T00:00:00"/>
    <x v="17"/>
    <x v="1"/>
    <s v="Win"/>
    <s v="NA"/>
    <x v="13"/>
    <x v="115"/>
    <x v="33"/>
    <s v="Hyderabad"/>
    <s v="DJ Harris, S Dhawan, KC Sangakkara, CL White, JP Duminy, PA Patel, Ankit Sharma, A Ashish Reddy, A Mishra, MS Gony, TP Sudhindra"/>
    <s v="V Sehwag, DA Warner, NV Ojha, DPMD Jayawardene, Y Nagar, AD Russell, Y Venugopal Rao, IK Pathan, M Morkel, S Nadeem, VR Aaron"/>
  </r>
  <r>
    <n v="548360"/>
    <s v="Mumbai Indians"/>
    <s v="Royal Challengers Bangalore"/>
    <x v="13"/>
    <n v="2012"/>
    <d v="2012-05-09T00:00:00"/>
    <x v="10"/>
    <x v="0"/>
    <s v="Win"/>
    <s v="NA"/>
    <x v="11"/>
    <x v="151"/>
    <x v="26"/>
    <s v="Mumbai"/>
    <s v="JEC Franklin, SR Tendulkar, RG Sharma, KD Karthik, AT Rayudu, DR Smith, KA Pollard, Harbhajan Singh, SL Malinga, PP Ojha, RP Singh"/>
    <s v="TM Dilshan, CH Gayle, V Kohli, AB de Villiers, MA Agarwal, SS Tiwary, J Syed Mohammad, R Vinay Kumar, Z Khan, HV Patel, M Muralitharan"/>
  </r>
  <r>
    <n v="548358"/>
    <s v="Pune Warriors"/>
    <s v="Rajasthan Royals"/>
    <x v="13"/>
    <n v="2012"/>
    <d v="2012-05-08T00:00:00"/>
    <x v="16"/>
    <x v="1"/>
    <s v="Win"/>
    <s v="NA"/>
    <x v="7"/>
    <x v="154"/>
    <x v="46"/>
    <s v="Pune"/>
    <s v="SC Ganguly, MJ Clarke, RV Uthappa, AP Majumdar, SPD Smith, AD Mathews, M Manhas, WD Parnell, B Kumar, M Kartik, A Nehra"/>
    <s v="R Dravid, AM Rahane, SR Watson, AL Menaria, OA Shah, AA Chavan, J Botha, STR Binny, DH Yagnik, SW Tait, SK Trivedi"/>
  </r>
  <r>
    <n v="548359"/>
    <s v="Deccan Chargers"/>
    <s v="Kings XI Punjab"/>
    <x v="13"/>
    <n v="2012"/>
    <d v="2012-05-08T00:00:00"/>
    <x v="17"/>
    <x v="0"/>
    <s v="Win"/>
    <s v="NA"/>
    <x v="12"/>
    <x v="200"/>
    <x v="33"/>
    <s v="Hyderabad"/>
    <s v="DJ Harris, S Dhawan, PA Patel, CL White, KC Sangakkara, PA Reddy, AA Jhunjhunwala, A Ashish Reddy, J Theron, A Mishra, V Pratap Singh"/>
    <s v="Mandeep Singh, SE Marsh, N Saini, DJ Hussey, Azhar Mahmood, DA Miller, SD Chitnis, PP Chawla, RR Powar, P Kumar, P Awana"/>
  </r>
  <r>
    <n v="548357"/>
    <s v="Delhi Daredevils"/>
    <s v="Kolkata Knight Riders"/>
    <x v="13"/>
    <n v="2012"/>
    <d v="2012-05-07T00:00:00"/>
    <x v="12"/>
    <x v="1"/>
    <s v="Win"/>
    <s v="NA"/>
    <x v="10"/>
    <x v="213"/>
    <x v="35"/>
    <s v="Delhi"/>
    <s v="DA Warner, V Sehwag, DPMD Jayawardene, LRPL Taylor, IK Pathan, Y Nagar, NV Ojha, M Morkel, S Nadeem, VR Aaron, UT Yadav"/>
    <s v="BB McCullum, G Gambhir, JH Kallis, MK Tiwary, YK Pathan, DB Das, LR Shukla, R Bhatia, B Lee, PJ Sangwan, SP Narine"/>
  </r>
  <r>
    <n v="548355"/>
    <s v="Mumbai Indians"/>
    <s v="Chennai Super Kings"/>
    <x v="13"/>
    <n v="2012"/>
    <d v="2012-05-06T00:00:00"/>
    <x v="1"/>
    <x v="0"/>
    <s v="Win"/>
    <s v="NA"/>
    <x v="2"/>
    <x v="176"/>
    <x v="26"/>
    <s v="Mumbai"/>
    <s v="JEC Franklin, SR Tendulkar, RG Sharma, KD Karthik, AT Rayudu, DR Smith, RJ Peterson, Harbhajan Singh, SL Malinga, RP Singh, MM Patel"/>
    <s v="M Vijay, F du Plessis, SK Raina, DJ Bravo, MS Dhoni, JA Morkel, RA Jadeja, S Badrinath, R Ashwin, SB Jakati, BW Hilfenhaus"/>
  </r>
  <r>
    <n v="548356"/>
    <s v="Royal Challengers Bangalore"/>
    <s v="Deccan Chargers"/>
    <x v="13"/>
    <n v="2012"/>
    <d v="2012-05-06T00:00:00"/>
    <x v="10"/>
    <x v="0"/>
    <s v="Win"/>
    <s v="NA"/>
    <x v="11"/>
    <x v="142"/>
    <x v="34"/>
    <s v="Bangalore"/>
    <s v="TM Dilshan, CH Gayle, V Kohli, AUK Pathan, AB de Villiers, MA Agarwal, J Syed Mohammad, Z Khan, A Mithun, P Parameswaran, M Muralitharan"/>
    <s v="DJ Harris, S Dhawan, CL White, KC Sangakkara, PA Patel, PA Reddy, A Ashish Reddy, A Mishra, DW Steyn, Anand Rajan, V Pratap Singh"/>
  </r>
  <r>
    <n v="548354"/>
    <s v="Kings XI Punjab"/>
    <s v="Rajasthan Royals"/>
    <x v="13"/>
    <n v="2012"/>
    <d v="2012-05-05T00:00:00"/>
    <x v="7"/>
    <x v="1"/>
    <s v="Win"/>
    <s v="NA"/>
    <x v="7"/>
    <x v="154"/>
    <x v="41"/>
    <s v="Chandigarh"/>
    <s v="SE Marsh, Mandeep Singh, N Saini, DJ Hussey, Azhar Mahmood, Gurkeerat Singh, AM Nayar, PP Chawla, RJ Harris, P Kumar, P Awana"/>
    <s v="R Dravid, AM Rahane, SR Watson, AL Menaria, BJ Hodge, J Botha, STR Binny, AA Chavan, DH Yagnik, SW Tait, SK Trivedi"/>
  </r>
  <r>
    <n v="548353"/>
    <s v="Kolkata Knight Riders"/>
    <s v="Pune Warriors"/>
    <x v="13"/>
    <n v="2012"/>
    <d v="2012-05-05T00:00:00"/>
    <x v="8"/>
    <x v="1"/>
    <s v="Win"/>
    <s v="NA"/>
    <x v="10"/>
    <x v="24"/>
    <x v="29"/>
    <s v="Kolkata"/>
    <s v="G Gambhir, BB McCullum, YK Pathan, JH Kallis, DB Das, LR Shukla, MK Tiwary, R Bhatia, SP Narine, M de Lange, Iqbal Abdulla"/>
    <s v="RV Uthappa, MJ Clarke, MK Pandey, SPD Smith, M Manhas, AD Mathews, SC Ganguly, WD Parnell, B Kumar, M Kartik, AB Dinda"/>
  </r>
  <r>
    <n v="548352"/>
    <s v="Chennai Super Kings"/>
    <s v="Deccan Chargers"/>
    <x v="13"/>
    <n v="2012"/>
    <d v="2012-05-04T00:00:00"/>
    <x v="3"/>
    <x v="1"/>
    <s v="Win"/>
    <s v="NA"/>
    <x v="3"/>
    <x v="183"/>
    <x v="43"/>
    <s v="Chennai"/>
    <s v="F du Plessis, M Vijay, SK Raina, MS Dhoni, JA Morkel, RA Jadeja, DJ Bravo, S Badrinath, R Ashwin, SB Jakati, BW Hilfenhaus"/>
    <s v="PA Patel, S Dhawan, CL White, KC Sangakkara, DT Christian, A Ashish Reddy, AA Jhunjhunwala, Ankit Sharma, A Mishra, DW Steyn, V Pratap Singh"/>
  </r>
  <r>
    <n v="548351"/>
    <s v="Pune Warriors"/>
    <s v="Mumbai Indians"/>
    <x v="13"/>
    <n v="2012"/>
    <d v="2012-05-03T00:00:00"/>
    <x v="1"/>
    <x v="1"/>
    <s v="Win"/>
    <s v="NA"/>
    <x v="2"/>
    <x v="160"/>
    <x v="46"/>
    <s v="Pune"/>
    <s v="RV Uthappa, JD Ryder, MJ Clarke, SC Ganguly, SPD Smith, M Manhas, WD Parnell, B Kumar, M Kartik, A Nehra, AB Dinda"/>
    <s v="JEC Franklin, SR Tendulkar, RG Sharma, RJ Peterson, KD Karthik, AT Rayudu, NLTC Perera, Harbhajan Singh, SL Malinga, PP Ojha, MM Patel"/>
  </r>
  <r>
    <n v="548350"/>
    <s v="Royal Challengers Bangalore"/>
    <s v="Kings XI Punjab"/>
    <x v="13"/>
    <n v="2012"/>
    <d v="2012-05-02T00:00:00"/>
    <x v="11"/>
    <x v="0"/>
    <s v="Win"/>
    <s v="NA"/>
    <x v="12"/>
    <x v="216"/>
    <x v="34"/>
    <s v="Bangalore"/>
    <s v="MA Agarwal, CH Gayle, V Kohli, AB de Villiers, AB McDonald, AUK Pathan, SS Tiwary, DL Vettori, R Vinay Kumar, Z Khan, KP Appanna"/>
    <s v="Mandeep Singh, SE Marsh, N Saini, DJ Hussey, Azhar Mahmood, AM Nayar, P Dogra, PP Chawla, RJ Harris, P Kumar, P Awana"/>
  </r>
  <r>
    <n v="548349"/>
    <s v="Rajasthan Royals"/>
    <s v="Delhi Daredevils"/>
    <x v="13"/>
    <n v="2012"/>
    <d v="2012-05-01T00:00:00"/>
    <x v="7"/>
    <x v="1"/>
    <s v="Win"/>
    <s v="NA"/>
    <x v="13"/>
    <x v="197"/>
    <x v="30"/>
    <s v="Jaipur"/>
    <s v="R Dravid, AM Rahane, SR Watson, OA Shah, BJ Hodge, AL Menaria, SP Goswami, AA Chavan, GB Hogg, A Singh, Pankaj Singh"/>
    <s v="DPMD Jayawardene, V Sehwag, KP Pietersen, LRPL Taylor, Y Nagar, NV Ojha, IK Pathan, P Negi, M Morkel, S Nadeem, UT Yadav"/>
  </r>
  <r>
    <n v="548348"/>
    <s v="Deccan Chargers"/>
    <s v="Pune Warriors"/>
    <x v="13"/>
    <n v="2012"/>
    <d v="2012-05-01T00:00:00"/>
    <x v="17"/>
    <x v="1"/>
    <s v="Win"/>
    <s v="NA"/>
    <x v="18"/>
    <x v="234"/>
    <x v="45"/>
    <s v="Cuttack"/>
    <s v="PA Patel, S Dhawan, CL White, KC Sangakkara, JP Duminy, BB Samantray, Ankit Sharma, A Ashish Reddy, A Mishra, DW Steyn, V Pratap Singh"/>
    <s v="MK Pandey, MJ Clarke, SC Ganguly, SPD Smith, RV Uthappa, M Manhas, MN Samuels, WD Parnell, M Kartik, B Kumar, A Nehra"/>
  </r>
  <r>
    <n v="548347"/>
    <s v="Chennai Super Kings"/>
    <s v="Kolkata Knight Riders"/>
    <x v="13"/>
    <n v="2012"/>
    <d v="2012-04-30T00:00:00"/>
    <x v="3"/>
    <x v="1"/>
    <s v="Win"/>
    <s v="NA"/>
    <x v="10"/>
    <x v="178"/>
    <x v="43"/>
    <s v="Chennai"/>
    <s v="F du Plessis, MEK Hussey, SK Raina, DJ Bravo, MS Dhoni, RA Jadeja, JA Morkel, S Badrinath, R Ashwin, SB Jakati, VY Mahesh"/>
    <s v="G Gambhir, BB McCullum, JH Kallis, MK Tiwary, YK Pathan, DB Das, LR Shukla, R Bhatia, SP Narine, B Lee, Iqbal Abdulla"/>
  </r>
  <r>
    <n v="548345"/>
    <s v="Delhi Daredevils"/>
    <s v="Rajasthan Royals"/>
    <x v="13"/>
    <n v="2012"/>
    <d v="2012-04-29T00:00:00"/>
    <x v="12"/>
    <x v="1"/>
    <s v="Win"/>
    <s v="NA"/>
    <x v="13"/>
    <x v="208"/>
    <x v="35"/>
    <s v="Delhi"/>
    <s v="DPMD Jayawardene, V Sehwag, KP Pietersen, LRPL Taylor, Y Nagar, NV Ojha, IK Pathan, AB Agarkar, M Morkel, S Nadeem, UT Yadav"/>
    <s v="R Dravid, AM Rahane, BJ Hodge, OA Shah, SP Goswami, AL Menaria, KK Cooper, GB Hogg, AA Chavan, A Singh, Pankaj Singh"/>
  </r>
  <r>
    <n v="548346"/>
    <s v="Mumbai Indians"/>
    <s v="Deccan Chargers"/>
    <x v="13"/>
    <n v="2012"/>
    <d v="2012-04-29T00:00:00"/>
    <x v="1"/>
    <x v="0"/>
    <s v="Win"/>
    <s v="NA"/>
    <x v="2"/>
    <x v="210"/>
    <x v="26"/>
    <s v="Mumbai"/>
    <s v="RE Levi, SR Tendulkar, RG Sharma, KD Karthik, JEC Franklin, AT Rayudu, RJ Peterson, Harbhajan Singh, SL Malinga, RP Singh, MM Patel"/>
    <s v="PA Patel, S Dhawan, IR Jaggi, CL White, JP Duminy, DT Christian, B Chipli, A Ashish Reddy, A Mishra, DW Steyn, V Pratap Singh"/>
  </r>
  <r>
    <n v="548343"/>
    <s v="Chennai Super Kings"/>
    <s v="Kings XI Punjab"/>
    <x v="13"/>
    <n v="2012"/>
    <d v="2012-04-28T00:00:00"/>
    <x v="11"/>
    <x v="1"/>
    <s v="Win"/>
    <s v="NA"/>
    <x v="12"/>
    <x v="200"/>
    <x v="43"/>
    <s v="Chennai"/>
    <s v="F du Plessis, S Badrinath, SK Raina, WP Saha, RA Jadeja, MS Dhoni, DJ Bravo, JA Morkel, KMDN Kulasekara, R Ashwin, SB Jakati"/>
    <s v="Mandeep Singh, SE Marsh, Azhar Mahmood, DA Miller, DJ Hussey, Bipul Sharma, PP Chawla, N Saini, P Kumar, P Awana, BA Bhatt"/>
  </r>
  <r>
    <n v="548344"/>
    <s v="Kolkata Knight Riders"/>
    <s v="Royal Challengers Bangalore"/>
    <x v="13"/>
    <n v="2012"/>
    <d v="2012-04-28T00:00:00"/>
    <x v="8"/>
    <x v="1"/>
    <s v="Win"/>
    <s v="NA"/>
    <x v="10"/>
    <x v="178"/>
    <x v="29"/>
    <s v="Kolkata"/>
    <s v="BB McCullum, G Gambhir, JH Kallis, YK Pathan, MK Tiwary, LR Shukla, R Bhatia, DB Das, SP Narine, B Lee, Iqbal Abdulla"/>
    <s v="TM Dilshan, CH Gayle, V Kohli, AB de Villiers, SS Tiwary, MA Agarwal, DL Vettori, R Vinay Kumar, Z Khan, HV Patel, KP Appanna"/>
  </r>
  <r>
    <n v="548342"/>
    <s v="Delhi Daredevils"/>
    <s v="Mumbai Indians"/>
    <x v="13"/>
    <n v="2012"/>
    <d v="2012-04-27T00:00:00"/>
    <x v="1"/>
    <x v="0"/>
    <s v="Win"/>
    <s v="NA"/>
    <x v="13"/>
    <x v="208"/>
    <x v="35"/>
    <s v="Delhi"/>
    <s v="DPMD Jayawardene, V Sehwag, KP Pietersen, IK Pathan, LRPL Taylor, Y Nagar, NV Ojha, M Morkel, S Nadeem, UT Yadav, AB Agarkar"/>
    <s v="AC Blizzard, SR Tendulkar, RG Sharma, KD Karthik, AT Rayudu, KA Pollard, RJ Peterson, Harbhajan Singh, SL Malinga, RP Singh, R Shukla"/>
  </r>
  <r>
    <n v="548341"/>
    <s v="Pune Warriors"/>
    <s v="Deccan Chargers"/>
    <x v="13"/>
    <n v="2012"/>
    <d v="2012-04-26T00:00:00"/>
    <x v="17"/>
    <x v="1"/>
    <s v="Win"/>
    <s v="NA"/>
    <x v="18"/>
    <x v="235"/>
    <x v="46"/>
    <s v="Pune"/>
    <s v="MK Pandey, JD Ryder, SC Ganguly, RV Uthappa, MN Samuels, SPD Smith, M Manhas, AC Thomas, B Kumar, R Sharma, A Nehra"/>
    <s v="PA Patel, S Dhawan, CL White, KC Sangakkara, JP Duminy, IR Jaggi, Ankit Sharma, A Ashish Reddy, A Mishra, J Theron, MS Gony"/>
  </r>
  <r>
    <n v="548339"/>
    <s v="Kings XI Punjab"/>
    <s v="Mumbai Indians"/>
    <x v="13"/>
    <n v="2012"/>
    <d v="2012-04-25T00:00:00"/>
    <x v="11"/>
    <x v="1"/>
    <s v="Win"/>
    <s v="NA"/>
    <x v="2"/>
    <x v="156"/>
    <x v="41"/>
    <s v="Chandigarh"/>
    <s v="N Saini, Mandeep Singh, SE Marsh, DJ Hussey, DA Miller, SD Chitnis, Azhar Mahmood, PP Chawla, BA Bhatt, P Kumar, P Awana"/>
    <s v="JEC Franklin, SR Tendulkar, RG Sharma, KD Karthik, KA Pollard, AT Rayudu, Harbhajan Singh, RJ Peterson, RP Singh, MM Patel, CJ McKay"/>
  </r>
  <r>
    <n v="548337"/>
    <s v="Pune Warriors"/>
    <s v="Delhi Daredevils"/>
    <x v="13"/>
    <n v="2012"/>
    <d v="2012-04-24T00:00:00"/>
    <x v="16"/>
    <x v="1"/>
    <s v="Win"/>
    <s v="NA"/>
    <x v="13"/>
    <x v="208"/>
    <x v="46"/>
    <s v="Pune"/>
    <s v="JD Ryder, MK Pandey, SC Ganguly, RV Uthappa, SPD Smith, LJ Wright, AC Thomas, M Manhas, M Kartik, R Sharma, A Nehra"/>
    <s v="DPMD Jayawardene, V Sehwag, KP Pietersen, LRPL Taylor, NV Ojha, IK Pathan, Y Nagar, M Morkel, P Negi, S Nadeem, UT Yadav"/>
  </r>
  <r>
    <n v="548336"/>
    <s v="Rajasthan Royals"/>
    <s v="Royal Challengers Bangalore"/>
    <x v="13"/>
    <n v="2012"/>
    <d v="2012-04-23T00:00:00"/>
    <x v="7"/>
    <x v="0"/>
    <s v="Win"/>
    <s v="NA"/>
    <x v="11"/>
    <x v="142"/>
    <x v="30"/>
    <s v="Jaipur"/>
    <s v="R Dravid, AM Rahane, OA Shah, SP Goswami, BJ Hodge, STR Binny, KK Cooper, GB Hogg, Pankaj Singh, SK Trivedi, A Chandila"/>
    <s v="V Kohli, TM Dilshan, MA Agarwal, CH Gayle, AB de Villiers, SS Tiwary, DL Vettori, R Vinay Kumar, Z Khan, HV Patel, KP Appanna"/>
  </r>
  <r>
    <n v="548334"/>
    <s v="Mumbai Indians"/>
    <s v="Kings XI Punjab"/>
    <x v="13"/>
    <n v="2012"/>
    <d v="2012-04-22T00:00:00"/>
    <x v="1"/>
    <x v="1"/>
    <s v="Win"/>
    <s v="NA"/>
    <x v="12"/>
    <x v="202"/>
    <x v="26"/>
    <s v="Mumbai"/>
    <s v="JEC Franklin, SR Tendulkar, RG Sharma, KD Karthik, KA Pollard, Harbhajan Singh, NLTC Perera, AT Rayudu, PP Ojha, RP Singh, MM Patel"/>
    <s v="N Saini, Mandeep Singh, SE Marsh, DJ Hussey, Azhar Mahmood, DA Miller, SD Chitnis, PP Chawla, BA Bhatt, P Kumar, P Awana"/>
  </r>
  <r>
    <n v="548335"/>
    <s v="Deccan Chargers"/>
    <s v="Kolkata Knight Riders"/>
    <x v="13"/>
    <n v="2012"/>
    <d v="2012-04-22T00:00:00"/>
    <x v="8"/>
    <x v="0"/>
    <s v="Win"/>
    <s v="NA"/>
    <x v="10"/>
    <x v="236"/>
    <x v="45"/>
    <s v="Cuttack"/>
    <s v="KC Sangakkara, S Dhawan, PA Patel, CL White, JP Duminy, IR Jaggi, Ankit Sharma, DW Steyn, A Mishra, Anand Rajan, V Pratap Singh"/>
    <s v="BB McCullum, G Gambhir, MS Bisla, JH Kallis, YK Pathan, MK Tiwary, DB Das, R Bhatia, SP Narine, L Balaji, B Lee"/>
  </r>
  <r>
    <n v="548333"/>
    <s v="Delhi Daredevils"/>
    <s v="Pune Warriors"/>
    <x v="13"/>
    <n v="2012"/>
    <d v="2012-04-21T00:00:00"/>
    <x v="12"/>
    <x v="0"/>
    <s v="Win"/>
    <s v="NA"/>
    <x v="17"/>
    <x v="237"/>
    <x v="35"/>
    <s v="Delhi"/>
    <s v="DPMD Jayawardene, V Sehwag, KP Pietersen, IK Pathan, P Negi, LRPL Taylor, Y Nagar, NV Ojha, M Morkel, S Nadeem, UT Yadav"/>
    <s v="RV Uthappa, JD Ryder, SC Ganguly, SPD Smith, AD Mathews, MK Pandey, AC Thomas, M Manhas, M Kartik, R Sharma, A Nehra"/>
  </r>
  <r>
    <n v="548332"/>
    <s v="Chennai Super Kings"/>
    <s v="Rajasthan Royals"/>
    <x v="13"/>
    <n v="2012"/>
    <d v="2012-04-21T00:00:00"/>
    <x v="7"/>
    <x v="1"/>
    <s v="Win"/>
    <s v="NA"/>
    <x v="3"/>
    <x v="56"/>
    <x v="43"/>
    <s v="Chennai"/>
    <s v="S Badrinath, F du Plessis, SK Raina, MS Dhoni, DJ Bravo, RA Jadeja, WP Saha, R Ashwin, KMDN Kulasekara, SB Jakati, DE Bollinger"/>
    <s v="R Dravid, AM Rahane, OA Shah, AL Menaria, BJ Hodge, SP Goswami, STR Binny, KK Cooper, GB Hogg, A Singh, SK Trivedi"/>
  </r>
  <r>
    <n v="548331"/>
    <s v="Kings XI Punjab"/>
    <s v="Royal Challengers Bangalore"/>
    <x v="13"/>
    <n v="2012"/>
    <d v="2012-04-20T00:00:00"/>
    <x v="10"/>
    <x v="0"/>
    <s v="Win"/>
    <s v="NA"/>
    <x v="11"/>
    <x v="151"/>
    <x v="41"/>
    <s v="Chandigarh"/>
    <s v="N Saini, PC Valthaty, SE Marsh, DJ Hussey, DA Miller, Mandeep Singh, Azhar Mahmood, PP Chawla, P Awana, P Kumar, Harmeet Singh"/>
    <s v="MA Agarwal, CH Gayle, V Kohli, SS Tiwary, AB de Villiers, AB McDonald, DL Vettori, KB Arun Karthik, R Vinay Kumar, HV Patel, Z Khan"/>
  </r>
  <r>
    <n v="548321"/>
    <s v="Delhi Daredevils"/>
    <s v="Deccan Chargers"/>
    <x v="13"/>
    <n v="2012"/>
    <d v="2012-04-19T00:00:00"/>
    <x v="17"/>
    <x v="1"/>
    <s v="Win"/>
    <s v="NA"/>
    <x v="13"/>
    <x v="238"/>
    <x v="35"/>
    <s v="Delhi"/>
    <s v="NV Ojha, V Sehwag, KP Pietersen, DPMD Jayawardene, LRPL Taylor, IK Pathan, Y Nagar, AB Agarkar, M Morkel, UT Yadav, S Nadeem"/>
    <s v="KC Sangakkara, S Dhawan, PA Patel, DT Christian, JP Duminy, B Chipli, AA Jhunjhunwala, DW Steyn, A Mishra, Ankit Sharma, V Pratap Singh"/>
  </r>
  <r>
    <n v="548330"/>
    <s v="Chennai Super Kings"/>
    <s v="Pune Warriors"/>
    <x v="13"/>
    <n v="2012"/>
    <d v="2012-04-19T00:00:00"/>
    <x v="16"/>
    <x v="0"/>
    <s v="Win"/>
    <s v="NA"/>
    <x v="3"/>
    <x v="239"/>
    <x v="43"/>
    <s v="Chennai"/>
    <s v="F du Plessis, S Badrinath, SK Raina, MS Dhoni, DJ Bravo, RA Jadeja, WP Saha, KMDN Kulasekara, R Ashwin, SB Jakati, DE Bollinger"/>
    <s v="RV Uthappa, JD Ryder, SC Ganguly, MK Pandey, MN Samuels, SPD Smith, AD Mathews, B Kumar, M Kartik, R Sharma, A Nehra"/>
  </r>
  <r>
    <n v="548328"/>
    <s v="Kings XI Punjab"/>
    <s v="Kolkata Knight Riders"/>
    <x v="13"/>
    <n v="2012"/>
    <d v="2012-04-18T00:00:00"/>
    <x v="11"/>
    <x v="1"/>
    <s v="Win"/>
    <s v="NA"/>
    <x v="10"/>
    <x v="178"/>
    <x v="41"/>
    <s v="Chandigarh"/>
    <s v="AC Gilchrist, PC Valthaty, SE Marsh, Mandeep Singh, DJ Hussey, P Dogra, AD Mascarenhas, PP Chawla, Harmeet Singh, P Kumar, BA Bhatt"/>
    <s v="BB McCullum, G Gambhir, MS Bisla, JH Kallis, MK Tiwary, YK Pathan, R Bhatia, DB Das, SP Narine, L Balaji, B Lee"/>
  </r>
  <r>
    <n v="548327"/>
    <s v="Royal Challengers Bangalore"/>
    <s v="Pune Warriors"/>
    <x v="13"/>
    <n v="2012"/>
    <d v="2012-04-17T00:00:00"/>
    <x v="16"/>
    <x v="1"/>
    <s v="Win"/>
    <s v="NA"/>
    <x v="11"/>
    <x v="151"/>
    <x v="34"/>
    <s v="Bangalore"/>
    <s v="TM Dilshan, CH Gayle, MA Agarwal, V Kohli, SS Tiwary, AB de Villiers, DL Vettori, R Vinay Kumar, Z Khan, HV Patel, KP Appanna"/>
    <s v="RV Uthappa, JD Ryder, SC Ganguly, MN Samuels, SPD Smith, AD Mathews, M Manhas, B Kumar, R Sharma, AB Dinda, A Nehra"/>
  </r>
  <r>
    <n v="548326"/>
    <s v="Rajasthan Royals"/>
    <s v="Deccan Chargers"/>
    <x v="13"/>
    <n v="2012"/>
    <d v="2012-04-17T00:00:00"/>
    <x v="17"/>
    <x v="1"/>
    <s v="Win"/>
    <s v="NA"/>
    <x v="7"/>
    <x v="214"/>
    <x v="30"/>
    <s v="Jaipur"/>
    <s v="R Dravid, AM Rahane, AL Menaria, OA Shah, BJ Hodge, J Botha, DH Yagnik, GB Hogg, A Singh, SK Trivedi, Pankaj Singh"/>
    <s v="KC Sangakkara, S Dhawan, DT Christian, JP Duminy, B Chipli, T Mishra, AA Jhunjhunwala, Ankit Sharma, A Mishra, DW Steyn, Anand Rajan"/>
  </r>
  <r>
    <n v="548325"/>
    <s v="Mumbai Indians"/>
    <s v="Delhi Daredevils"/>
    <x v="13"/>
    <n v="2012"/>
    <d v="2012-04-16T00:00:00"/>
    <x v="12"/>
    <x v="0"/>
    <s v="Win"/>
    <s v="NA"/>
    <x v="13"/>
    <x v="149"/>
    <x v="26"/>
    <s v="Mumbai"/>
    <s v="RE Levi, DJ Jacobs, RG Sharma, AT Rayudu, KA Pollard, KD Karthik, Harbhajan Singh, CJ McKay, RP Singh, PP Ojha, MM Patel"/>
    <s v="NV Ojha, V Sehwag, KP Pietersen, DPMD Jayawardene, LRPL Taylor, IK Pathan, Y Nagar, AB Agarkar, M Morkel, UT Yadav, S Nadeem"/>
  </r>
  <r>
    <n v="548323"/>
    <s v="Kolkata Knight Riders"/>
    <s v="Kings XI Punjab"/>
    <x v="13"/>
    <n v="2012"/>
    <d v="2012-04-15T00:00:00"/>
    <x v="8"/>
    <x v="0"/>
    <s v="Win"/>
    <s v="NA"/>
    <x v="12"/>
    <x v="24"/>
    <x v="29"/>
    <s v="Kolkata"/>
    <s v="JH Kallis, G Gambhir, MS Bisla, MK Tiwary, Shakib Al Hasan, YK Pathan, DB Das, RN ten Doeschate, R Bhatia, SP Narine, JD Unadkat"/>
    <s v="AC Gilchrist, Mandeep Singh, SE Marsh, DJ Hussey, P Dogra, Bipul Sharma, AD Mascarenhas, PP Chawla, P Kumar, Harmeet Singh, BA Bhatt"/>
  </r>
  <r>
    <n v="548324"/>
    <s v="Royal Challengers Bangalore"/>
    <s v="Rajasthan Royals"/>
    <x v="13"/>
    <n v="2012"/>
    <d v="2012-04-15T00:00:00"/>
    <x v="7"/>
    <x v="1"/>
    <s v="Win"/>
    <s v="NA"/>
    <x v="7"/>
    <x v="100"/>
    <x v="34"/>
    <s v="Bangalore"/>
    <s v="MA Agarwal, CH Gayle, V Kohli, AB de Villiers, SS Tiwary, M Kaif, DL Vettori, R Vinay Kumar, Z Khan, S Aravind, M Muralitharan"/>
    <s v="R Dravid, AM Rahane, OA Shah, BJ Hodge, AL Menaria, J Botha, GB Hogg, SP Goswami, A Singh, SK Trivedi, Pankaj Singh"/>
  </r>
  <r>
    <n v="548322"/>
    <s v="Pune Warriors"/>
    <s v="Chennai Super Kings"/>
    <x v="13"/>
    <n v="2012"/>
    <d v="2012-04-14T00:00:00"/>
    <x v="3"/>
    <x v="1"/>
    <s v="Win"/>
    <s v="NA"/>
    <x v="17"/>
    <x v="240"/>
    <x v="46"/>
    <s v="Pune"/>
    <s v="RV Uthappa, JD Ryder, SC Ganguly, MN Samuels, SPD Smith, AD Mathews, M Manhas, R Sharma, M Kartik, AB Dinda, A Nehra"/>
    <s v="F du Plessis, M Vijay, SK Raina, MS Dhoni, RA Jadeja, JA Morkel, DJ Bravo, S Badrinath, KMDN Kulasekara, R Ashwin, VY Mahesh"/>
  </r>
  <r>
    <n v="548320"/>
    <s v="Kolkata Knight Riders"/>
    <s v="Rajasthan Royals"/>
    <x v="13"/>
    <n v="2012"/>
    <d v="2012-04-13T00:00:00"/>
    <x v="7"/>
    <x v="1"/>
    <s v="Win"/>
    <s v="NA"/>
    <x v="10"/>
    <x v="230"/>
    <x v="29"/>
    <s v="Kolkata"/>
    <s v="JH Kallis, G Gambhir, MS Bisla, MK Tiwary, Shakib Al Hasan, YK Pathan, RN ten Doeschate, DB Das, R Bhatia, L Balaji, SP Narine"/>
    <s v="R Dravid, AM Rahane, AL Menaria, SP Goswami, OA Shah, BJ Hodge, J Botha, GB Hogg, AA Chavan, A Singh, SK Trivedi"/>
  </r>
  <r>
    <n v="548318"/>
    <s v="Chennai Super Kings"/>
    <s v="Royal Challengers Bangalore"/>
    <x v="13"/>
    <n v="2012"/>
    <d v="2012-04-12T00:00:00"/>
    <x v="10"/>
    <x v="1"/>
    <s v="Win"/>
    <s v="NA"/>
    <x v="3"/>
    <x v="56"/>
    <x v="43"/>
    <s v="Chennai"/>
    <s v="M Vijay, F du Plessis, SK Raina, MS Dhoni, DJ Bravo, JA Morkel, RA Jadeja, S Badrinath, R Ashwin, SB Jakati, DE Bollinger"/>
    <s v="MA Agarwal, CH Gayle, V Kohli, AB de Villiers, SS Tiwary, RR Bhatkal, CA Pujara, DL Vettori, R Vinay Kumar, Z Khan, M Muralitharan"/>
  </r>
  <r>
    <n v="548319"/>
    <s v="Kings XI Punjab"/>
    <s v="Pune Warriors"/>
    <x v="13"/>
    <n v="2012"/>
    <d v="2012-04-12T00:00:00"/>
    <x v="11"/>
    <x v="0"/>
    <s v="Win"/>
    <s v="NA"/>
    <x v="12"/>
    <x v="241"/>
    <x v="41"/>
    <s v="Chandigarh"/>
    <s v="PC Valthaty, AC Gilchrist, SE Marsh, Mandeep Singh, PP Chawla, DJ Hussey, AD Mascarenhas, P Awana, Bipul Sharma, Harmeet Singh, P Kumar"/>
    <s v="JD Ryder, SC Ganguly, MN Samuels, RV Uthappa, AD Mathews, M Manhas, SPD Smith, MK Pandey, R Sharma, A Nehra, AB Dinda"/>
  </r>
  <r>
    <n v="548317"/>
    <s v="Mumbai Indians"/>
    <s v="Rajasthan Royals"/>
    <x v="13"/>
    <n v="2012"/>
    <d v="2012-04-11T00:00:00"/>
    <x v="7"/>
    <x v="0"/>
    <s v="Win"/>
    <s v="NA"/>
    <x v="2"/>
    <x v="135"/>
    <x v="26"/>
    <s v="Mumbai"/>
    <s v="RE Levi, TL Suman, RG Sharma, AT Rayudu, KA Pollard, KD Karthik, JEC Franklin, Harbhajan Singh, SL Malinga, PP Ojha, MM Patel"/>
    <s v="R Dravid, AM Rahane, SP Goswami, OA Shah, AL Menaria, J Botha, KK Cooper, AA Chavan, GB Hogg, A Singh, SK Trivedi"/>
  </r>
  <r>
    <n v="548316"/>
    <s v="Delhi Daredevils"/>
    <s v="Chennai Super Kings"/>
    <x v="13"/>
    <n v="2012"/>
    <d v="2012-04-10T00:00:00"/>
    <x v="12"/>
    <x v="0"/>
    <s v="Win"/>
    <s v="NA"/>
    <x v="13"/>
    <x v="207"/>
    <x v="35"/>
    <s v="Delhi"/>
    <s v="NV Ojha, V Sehwag, KP Pietersen, DPMD Jayawardene, RE van der Merwe, Y Venugopal Rao, Y Nagar, IK Pathan, M Morkel, UT Yadav, S Nadeem"/>
    <s v="F du Plessis, M Vijay, SK Raina, S Badrinath, RA Jadeja, DJ Bravo, MS Dhoni, JA Morkel, R Ashwin, SB Jakati, DE Bollinger"/>
  </r>
  <r>
    <n v="548315"/>
    <s v="Royal Challengers Bangalore"/>
    <s v="Kolkata Knight Riders"/>
    <x v="13"/>
    <n v="2012"/>
    <d v="2012-04-10T00:00:00"/>
    <x v="10"/>
    <x v="0"/>
    <s v="Win"/>
    <s v="NA"/>
    <x v="10"/>
    <x v="242"/>
    <x v="34"/>
    <s v="Bangalore"/>
    <s v="CA Pujara, CH Gayle, V Kohli, AB de Villiers, SS Tiwary, MA Agarwal, DL Vettori, R Vinay Kumar, HV Patel, Z Khan, M Muralitharan"/>
    <s v="JH Kallis, G Gambhir, MS Bisla, YK Pathan, MK Tiwary, RN ten Doeschate, Shakib Al Hasan, LR Shukla, B Lee, R Bhatia, L Balaji"/>
  </r>
  <r>
    <n v="548314"/>
    <s v="Deccan Chargers"/>
    <s v="Mumbai Indians"/>
    <x v="13"/>
    <n v="2012"/>
    <d v="2012-04-09T00:00:00"/>
    <x v="17"/>
    <x v="1"/>
    <s v="Win"/>
    <s v="NA"/>
    <x v="2"/>
    <x v="2"/>
    <x v="23"/>
    <s v="Visakhapatnam"/>
    <s v="PA Patel, S Dhawan, B Chipli, DT Christian, KC Sangakkara, CL White, DB Ravi Teja, A Mishra, DW Steyn, Ankit Sharma, Anand Rajan"/>
    <s v="TL Suman, RE Levi, RG Sharma, AT Rayudu, KA Pollard, KD Karthik, JEC Franklin, Harbhajan Singh, SL Malinga, PP Ojha, MM Patel"/>
  </r>
  <r>
    <n v="548312"/>
    <s v="Rajasthan Royals"/>
    <s v="Kolkata Knight Riders"/>
    <x v="13"/>
    <n v="2012"/>
    <d v="2012-04-08T00:00:00"/>
    <x v="8"/>
    <x v="0"/>
    <s v="Win"/>
    <s v="NA"/>
    <x v="7"/>
    <x v="214"/>
    <x v="30"/>
    <s v="Jaipur"/>
    <s v="R Dravid, AM Rahane, SP Goswami, AL Menaria, BJ Hodge, OA Shah, KK Cooper, J Botha, AA Chavan, A Singh, SK Trivedi"/>
    <s v="JH Kallis, BB McCullum, G Gambhir, MK Tiwary, DB Das, YK Pathan, R Bhatia, LR Shukla, B Lee, SP Narine, Iqbal Abdulla"/>
  </r>
  <r>
    <n v="548313"/>
    <s v="Pune Warriors"/>
    <s v="Kings XI Punjab"/>
    <x v="13"/>
    <n v="2012"/>
    <d v="2012-04-08T00:00:00"/>
    <x v="16"/>
    <x v="1"/>
    <s v="Win"/>
    <s v="NA"/>
    <x v="17"/>
    <x v="243"/>
    <x v="46"/>
    <s v="Pune"/>
    <s v="JD Ryder, SC Ganguly, MN Samuels, RV Uthappa, CJ Ferguson, SPD Smith, MK Pandey, R Sharma, M Kartik, AB Dinda, A Nehra"/>
    <s v="AC Gilchrist, PC Valthaty, Mandeep Singh, AM Nayar, DJ Hussey, PP Chawla, AD Mascarenhas, Bipul Sharma, JP Faulkner, P Kumar, Harmeet Singh"/>
  </r>
  <r>
    <n v="548311"/>
    <s v="Deccan Chargers"/>
    <s v="Chennai Super Kings"/>
    <x v="13"/>
    <n v="2012"/>
    <d v="2012-04-07T00:00:00"/>
    <x v="17"/>
    <x v="0"/>
    <s v="Win"/>
    <s v="NA"/>
    <x v="3"/>
    <x v="64"/>
    <x v="23"/>
    <s v="Visakhapatnam"/>
    <s v="DJ Harris, S Dhawan, PA Patel, CL White, B Chipli, DT Christian, MS Gony, DB Ravi Teja, Ankit Sharma, DW Steyn, TP Sudhindra"/>
    <s v="M Vijay, F du Plessis, SK Raina, S Badrinath, RA Jadeja, MS Dhoni, DJ Bravo, JA Morkel, R Ashwin, SB Jakati, DE Bollinger"/>
  </r>
  <r>
    <n v="548310"/>
    <s v="Royal Challengers Bangalore"/>
    <s v="Delhi Daredevils"/>
    <x v="13"/>
    <n v="2012"/>
    <d v="2012-04-07T00:00:00"/>
    <x v="12"/>
    <x v="0"/>
    <s v="Win"/>
    <s v="NA"/>
    <x v="11"/>
    <x v="142"/>
    <x v="34"/>
    <s v="Bangalore"/>
    <s v="AB McDonald, CA Pujara, V Kohli, AB de Villiers, SS Tiwary, MA Agarwal, DL Vettori, R Vinay Kumar, HV Patel, Z Khan, M Muralitharan"/>
    <s v="AJ Finch, V Sehwag, NV Ojha, Y Venugopal Rao, GJ Maxwell, Y Nagar, IK Pathan, DAJ Bracewell, M Morkel, UT Yadav, S Nadeem"/>
  </r>
  <r>
    <n v="548308"/>
    <s v="Mumbai Indians"/>
    <s v="Pune Warriors"/>
    <x v="13"/>
    <n v="2012"/>
    <d v="2012-04-06T00:00:00"/>
    <x v="1"/>
    <x v="0"/>
    <s v="Win"/>
    <s v="NA"/>
    <x v="17"/>
    <x v="159"/>
    <x v="26"/>
    <s v="Mumbai"/>
    <s v="RE Levi, AT Rayudu, RG Sharma, JEC Franklin, KD Karthik, SA Yadav, KA Pollard, Harbhajan Singh, SL Malinga, PP Ojha, MM Patel"/>
    <s v="MK Pandey, SC Ganguly, WD Parnell, RV Uthappa, CJ Ferguson, SPD Smith, MN Samuels, B Kumar, M Kartik, R Sharma, AB Dinda"/>
  </r>
  <r>
    <n v="548309"/>
    <s v="Rajasthan Royals"/>
    <s v="Kings XI Punjab"/>
    <x v="13"/>
    <n v="2012"/>
    <d v="2012-04-06T00:00:00"/>
    <x v="11"/>
    <x v="0"/>
    <s v="Win"/>
    <s v="NA"/>
    <x v="7"/>
    <x v="100"/>
    <x v="30"/>
    <s v="Jaipur"/>
    <s v="R Dravid, AM Rahane, AL Menaria, BJ Hodge, OA Shah, KK Cooper, J Botha, AA Chavan, SP Goswami, A Singh, SK Trivedi"/>
    <s v="AC Gilchrist, PC Valthaty, SE Marsh, AM Nayar, DJ Hussey, Mandeep Singh, Bipul Sharma, PP Chawla, JP Faulkner, P Kumar, Harmeet Singh"/>
  </r>
  <r>
    <n v="548307"/>
    <s v="Kolkata Knight Riders"/>
    <s v="Delhi Daredevils"/>
    <x v="13"/>
    <n v="2012"/>
    <d v="2012-04-05T00:00:00"/>
    <x v="12"/>
    <x v="0"/>
    <s v="Win"/>
    <s v="NA"/>
    <x v="13"/>
    <x v="244"/>
    <x v="29"/>
    <s v="Kolkata"/>
    <s v="BB McCullum, JH Kallis, G Gambhir, MK Tiwary, YK Pathan, DB Das, LR Shukla, R Bhatia, B Lee, Iqbal Abdulla, M de Lange"/>
    <s v="AJ Finch, V Sehwag, IK Pathan, GJ Maxwell, NV Ojha, Y Venugopal Rao, M Morkel, Y Nagar, RE van der Merwe, UT Yadav, S Nadeem"/>
  </r>
  <r>
    <n v="548306"/>
    <s v="Chennai Super Kings"/>
    <s v="Mumbai Indians"/>
    <x v="13"/>
    <n v="2012"/>
    <d v="2012-04-04T00:00:00"/>
    <x v="1"/>
    <x v="0"/>
    <s v="Win"/>
    <s v="NA"/>
    <x v="2"/>
    <x v="245"/>
    <x v="43"/>
    <s v="Chennai"/>
    <s v="F du Plessis, M Vijay, SK Raina, DJ Bravo, JA Morkel, S Badrinath, MS Dhoni, RA Jadeja, R Ashwin, SB Jakati, DE Bollinger"/>
    <s v="RE Levi, SR Tendulkar, RG Sharma, AT Rayudu, JEC Franklin, KD Karthik, KA Pollard, Harbhajan Singh, SL Malinga, AN Ahmed, PP Ojha"/>
  </r>
  <r>
    <n v="501271"/>
    <s v="Chennai Super Kings"/>
    <s v="Royal Challengers Bangalore"/>
    <x v="14"/>
    <n v="2011"/>
    <d v="2011-05-28T00:00:00"/>
    <x v="3"/>
    <x v="1"/>
    <s v="Win"/>
    <s v="NA"/>
    <x v="3"/>
    <x v="212"/>
    <x v="43"/>
    <s v="Chennai"/>
    <s v="MEK Hussey, M Vijay, MS Dhoni, SK Raina, JA Morkel, S Badrinath, DJ Bravo, WP Saha, R Ashwin, DE Bollinger, SB Jakati"/>
    <s v="MA Agarwal, CH Gayle, V Kohli, AB de Villiers, LA Pomersbach, SS Tiwary, DL Vettori, A Mithun, Z Khan, J Syed Mohammad, S Aravind"/>
  </r>
  <r>
    <n v="501270"/>
    <s v="Royal Challengers Bangalore"/>
    <s v="Mumbai Indians"/>
    <x v="14"/>
    <n v="2011"/>
    <d v="2011-05-27T00:00:00"/>
    <x v="1"/>
    <x v="0"/>
    <s v="Win"/>
    <s v="NA"/>
    <x v="11"/>
    <x v="151"/>
    <x v="43"/>
    <s v="Chennai"/>
    <s v="MA Agarwal, CH Gayle, V Kohli, AB de Villiers, LA Pomersbach, SS Tiwary, DL Vettori, S Aravind, A Mithun, Z Khan, J Syed Mohammad"/>
    <s v="AC Blizzard, SR Tendulkar, Harbhajan Singh, RG Sharma, JEC Franklin, AT Rayudu, KA Pollard, R Sathish, SL Malinga, AN Ahmed, MM Patel"/>
  </r>
  <r>
    <n v="501269"/>
    <s v="Mumbai Indians"/>
    <s v="Kolkata Knight Riders"/>
    <x v="14"/>
    <n v="2011"/>
    <d v="2011-05-25T00:00:00"/>
    <x v="1"/>
    <x v="0"/>
    <s v="Win"/>
    <s v="NA"/>
    <x v="2"/>
    <x v="246"/>
    <x v="26"/>
    <s v="Mumbai"/>
    <s v="AC Blizzard, SR Tendulkar, RG Sharma, AT Rayudu, JEC Franklin, KA Pollard, TL Suman, Harbhajan Singh, DS Kulkarni, MM Patel, SL Malinga"/>
    <s v="G Gambhir, JH Kallis, SP Goswami, MK Tiwary, YK Pathan, RN ten Doeschate, Shakib Al Hasan, R Bhatia, B Lee, L Balaji, Iqbal Abdulla"/>
  </r>
  <r>
    <n v="501268"/>
    <s v="Royal Challengers Bangalore"/>
    <s v="Chennai Super Kings"/>
    <x v="14"/>
    <n v="2011"/>
    <d v="2011-05-24T00:00:00"/>
    <x v="3"/>
    <x v="0"/>
    <s v="Win"/>
    <s v="NA"/>
    <x v="3"/>
    <x v="183"/>
    <x v="26"/>
    <s v="Mumbai"/>
    <s v="MA Agarwal, CH Gayle, V Kohli, AB de Villiers, LA Pomersbach, SS Tiwary, M Kaif, DL Vettori, S Aravind, A Mithun, Z Khan"/>
    <s v="MEK Hussey, M Vijay, SK Raina, S Badrinath, MS Dhoni, JA Morkel, DJ Bravo, WP Saha, R Ashwin, DE Bollinger, SB Jakati"/>
  </r>
  <r>
    <n v="501267"/>
    <s v="Kolkata Knight Riders"/>
    <s v="Mumbai Indians"/>
    <x v="14"/>
    <n v="2011"/>
    <d v="2011-05-22T00:00:00"/>
    <x v="1"/>
    <x v="0"/>
    <s v="Win"/>
    <s v="NA"/>
    <x v="2"/>
    <x v="247"/>
    <x v="29"/>
    <s v="Kolkata"/>
    <s v="JH Kallis, SP Goswami, G Gambhir, MK Tiwary, YK Pathan, RN ten Doeschate, R Bhatia, Shakib Al Hasan, B Lee, L Balaji, Iqbal Abdulla"/>
    <s v="TL Suman, SR Tendulkar, Harbhajan Singh, RG Sharma, KA Pollard, JEC Franklin, AT Rayudu, R Sathish, AN Ahmed, RW Price, SL Malinga"/>
  </r>
  <r>
    <n v="501266"/>
    <s v="Royal Challengers Bangalore"/>
    <s v="Chennai Super Kings"/>
    <x v="14"/>
    <n v="2011"/>
    <d v="2011-05-22T00:00:00"/>
    <x v="10"/>
    <x v="0"/>
    <s v="Win"/>
    <s v="NA"/>
    <x v="11"/>
    <x v="151"/>
    <x v="34"/>
    <s v="Bangalore"/>
    <s v="AB de Villiers, CH Gayle, V Kohli, SS Tiwary, MA Agarwal, M Kaif, LA Pomersbach, DL Vettori, S Aravind, A Mithun, Z Khan"/>
    <s v="MEK Hussey, M Vijay, SK Raina, S Badrinath, WP Saha, MS Dhoni, DJ Bravo, JA Morkel, R Ashwin, SB Jakati, DE Bollinger"/>
  </r>
  <r>
    <n v="501264"/>
    <s v="Kings XI Punjab"/>
    <s v="Deccan Chargers"/>
    <x v="14"/>
    <n v="2011"/>
    <d v="2011-05-21T00:00:00"/>
    <x v="11"/>
    <x v="0"/>
    <s v="Win"/>
    <s v="NA"/>
    <x v="18"/>
    <x v="104"/>
    <x v="47"/>
    <s v="Dharamsala"/>
    <s v="PC Valthaty, AC Gilchrist, SE Marsh, KD Karthik, R McLaren, AM Nayar, Mandeep Singh, PP Chawla, RJ Harris, P Kumar, BA Bhatt"/>
    <s v="S Dhawan, DB Ravi Teja, JP Duminy, CL White, KH Devdhar, B Chipli, DT Christian, PP Ojha, A Mishra, DW Steyn, Anand Rajan"/>
  </r>
  <r>
    <n v="501265"/>
    <s v="Delhi Daredevils"/>
    <s v="Pune Warriors"/>
    <x v="14"/>
    <n v="2011"/>
    <d v="2011-05-21T00:00:00"/>
    <x v="12"/>
    <x v="1"/>
    <s v="no result"/>
    <s v="NA"/>
    <x v="9"/>
    <x v="16"/>
    <x v="35"/>
    <s v="Delhi"/>
    <s v="NV Ojha, DA Warner, MS Wade, CA Ingram, Y Venugopal Rao, JR Hopes, IK Pathan, Y Nagar, VR Aaron, UT Yadav, AB Dinda"/>
    <s v="MK Pandey, JP Faulkner, SC Ganguly, RV Uthappa, Yuvraj Singh, CJ Ferguson, S Rana, MR Marsh, SS Mundhe, R Sharma, AC Thomas"/>
  </r>
  <r>
    <n v="501263"/>
    <s v="Mumbai Indians"/>
    <s v="Rajasthan Royals"/>
    <x v="14"/>
    <n v="2011"/>
    <d v="2011-05-20T00:00:00"/>
    <x v="1"/>
    <x v="1"/>
    <s v="Win"/>
    <s v="NA"/>
    <x v="7"/>
    <x v="154"/>
    <x v="26"/>
    <s v="Mumbai"/>
    <s v="TL Suman, SR Tendulkar, AT Rayudu, RG Sharma, KA Pollard, JEC Franklin, Harbhajan Singh, A Symonds, DS Kulkarni, MM Patel, SL Malinga"/>
    <s v="SR Watson, R Dravid, J Botha, AL Menaria, AM Rahane, LRPL Taylor, PR Shah, AA Chavan, SK Warne, A Singh, SK Trivedi"/>
  </r>
  <r>
    <n v="501262"/>
    <s v="Pune Warriors"/>
    <s v="Kolkata Knight Riders"/>
    <x v="14"/>
    <n v="2011"/>
    <d v="2011-05-19T00:00:00"/>
    <x v="8"/>
    <x v="0"/>
    <s v="Win"/>
    <s v="NA"/>
    <x v="10"/>
    <x v="189"/>
    <x v="48"/>
    <s v="Mumbai"/>
    <s v="JD Ryder, MK Pandey, CJ Ferguson, SC Ganguly, RV Uthappa, Yuvraj Singh, S Rana, WD Parnell, AC Thomas, R Sharma, B Kumar"/>
    <s v="G Gambhir, SP Goswami, MK Tiwary, YK Pathan, R Bhatia, JH Kallis, RN ten Doeschate, Shakib Al Hasan, B Lee, L Balaji, Iqbal Abdulla"/>
  </r>
  <r>
    <n v="501261"/>
    <s v="Chennai Super Kings"/>
    <s v="Kochi Tuskers Kerala"/>
    <x v="14"/>
    <n v="2011"/>
    <d v="2011-05-18T00:00:00"/>
    <x v="3"/>
    <x v="1"/>
    <s v="Win"/>
    <s v="NA"/>
    <x v="3"/>
    <x v="112"/>
    <x v="43"/>
    <s v="Chennai"/>
    <s v="MEK Hussey, M Vijay, SK Raina, S Badrinath, WP Saha, MS Dhoni, JA Morkel, DJ Bravo, R Ashwin, DE Bollinger, SB Jakati"/>
    <s v="PA Patel, BB McCullum, Y Gnaneswara Rao, BJ Hodge, RA Jadeja, OA Shah, KM Jadhav, R Vinay Kumar, M Muralitharan, RP Singh, S Sreesanth"/>
  </r>
  <r>
    <n v="501260"/>
    <s v="Kings XI Punjab"/>
    <s v="Royal Challengers Bangalore"/>
    <x v="14"/>
    <n v="2011"/>
    <d v="2011-05-17T00:00:00"/>
    <x v="11"/>
    <x v="1"/>
    <s v="Win"/>
    <s v="NA"/>
    <x v="12"/>
    <x v="218"/>
    <x v="47"/>
    <s v="Dharamsala"/>
    <s v="PC Valthaty, AC Gilchrist, SE Marsh, DJ Hussey, KD Karthik, Mandeep Singh, AM Nayar, SJ Srivastava, PP Chawla, P Kumar, RJ Harris"/>
    <s v="CH Gayle, SS Tiwary, V Kohli, AB de Villiers, AUK Pathan, M Kaif, KB Arun Karthik, JJ van der Wath, A Mithun, CK Langeveldt, S Aravind"/>
  </r>
  <r>
    <n v="501259"/>
    <s v="Pune Warriors"/>
    <s v="Deccan Chargers"/>
    <x v="14"/>
    <n v="2011"/>
    <d v="2011-05-16T00:00:00"/>
    <x v="17"/>
    <x v="0"/>
    <s v="Win"/>
    <s v="NA"/>
    <x v="18"/>
    <x v="145"/>
    <x v="48"/>
    <s v="Mumbai"/>
    <s v="JD Ryder, MK Pandey, SC Ganguly, RV Uthappa, Yuvraj Singh, M Manhas, CJ Ferguson, MR Marsh, WD Parnell, B Kumar, R Sharma"/>
    <s v="S Sohal, S Dhawan, KC Sangakkara, JP Duminy, DT Christian, B Chipli, DB Ravi Teja, PP Ojha, A Mishra, I Sharma, DW Steyn"/>
  </r>
  <r>
    <n v="501258"/>
    <s v="Kochi Tuskers Kerala"/>
    <s v="Rajasthan Royals"/>
    <x v="14"/>
    <n v="2011"/>
    <d v="2011-05-15T00:00:00"/>
    <x v="18"/>
    <x v="0"/>
    <s v="Win"/>
    <s v="NA"/>
    <x v="19"/>
    <x v="214"/>
    <x v="32"/>
    <s v="Indore"/>
    <s v="BB McCullum, DPMD Jayawardene, PA Patel, BJ Hodge, OA Shah, RA Jadeja, RP Singh, P Parameswaran, P Prasanth, S Sreesanth, Y Gnaneswara Rao"/>
    <s v="FY Fazal, R Dravid, SR Watson, AM Rahane, AL Menaria, PR Shah, JDP Oram, SK Warne, AA Chavan, SW Tait, ND Doshi"/>
  </r>
  <r>
    <n v="501257"/>
    <s v="Kings XI Punjab"/>
    <s v="Delhi Daredevils"/>
    <x v="14"/>
    <n v="2011"/>
    <d v="2011-05-15T00:00:00"/>
    <x v="12"/>
    <x v="0"/>
    <s v="Win"/>
    <s v="NA"/>
    <x v="12"/>
    <x v="199"/>
    <x v="47"/>
    <s v="Dharamsala"/>
    <s v="PC Valthaty, AC Gilchrist, SE Marsh, KD Karthik, DJ Hussey, Mandeep Singh, RJ Harris, PP Chawla, SJ Srivastava, P Kumar, BA Bhatt"/>
    <s v="NV Ojha, DA Warner, Y Venugopal Rao, S Sriram, IK Pathan, JR Hopes, TR Birt, Y Nagar, M Morkel, VR Aaron, AM Salvi"/>
  </r>
  <r>
    <n v="501256"/>
    <s v="Mumbai Indians"/>
    <s v="Deccan Chargers"/>
    <x v="14"/>
    <n v="2011"/>
    <d v="2011-05-14T00:00:00"/>
    <x v="17"/>
    <x v="1"/>
    <s v="Win"/>
    <s v="NA"/>
    <x v="18"/>
    <x v="145"/>
    <x v="26"/>
    <s v="Mumbai"/>
    <s v="SR Tendulkar, AC Blizzard, AT Rayudu, RG Sharma, A Symonds, TL Suman, KA Pollard, Harbhajan Singh, SL Malinga, DS Kulkarni, MM Patel"/>
    <s v="MJ Lumb, S Sohal, KC Sangakkara, JP Duminy, B Chipli, DT Christian, S Dhawan, A Mishra, PP Ojha, I Sharma, Anand Rajan"/>
  </r>
  <r>
    <n v="501255"/>
    <s v="Royal Challengers Bangalore"/>
    <s v="Kolkata Knight Riders"/>
    <x v="14"/>
    <n v="2011"/>
    <d v="2011-05-14T00:00:00"/>
    <x v="10"/>
    <x v="0"/>
    <s v="Win"/>
    <s v="NA"/>
    <x v="11"/>
    <x v="151"/>
    <x v="34"/>
    <s v="Bangalore"/>
    <s v="CH Gayle, LA Pomersbach, V Kohli, AB de Villiers, M Kaif, KB Arun Karthik, SS Tiwary, A Mithun, Z Khan, S Aravind, CK Langeveldt"/>
    <s v="JH Kallis, EJG Morgan, G Gambhir, MK Tiwary, YK Pathan, MV Boucher, R Bhatia, Iqbal Abdulla, B Lee, L Balaji, JD Unadkat"/>
  </r>
  <r>
    <n v="501254"/>
    <s v="Kochi Tuskers Kerala"/>
    <s v="Kings XI Punjab"/>
    <x v="14"/>
    <n v="2011"/>
    <d v="2011-05-13T00:00:00"/>
    <x v="11"/>
    <x v="0"/>
    <s v="Win"/>
    <s v="NA"/>
    <x v="12"/>
    <x v="122"/>
    <x v="32"/>
    <s v="Indore"/>
    <s v="BB McCullum, DPMD Jayawardene, RA Jadeja, BJ Hodge, OA Shah, PA Patel, RV Gomez, R Vinay Kumar, RP Singh, P Parameswaran, S Sreesanth"/>
    <s v="AC Gilchrist, PC Valthaty, SE Marsh, KD Karthik, DJ Hussey, Mandeep Singh, Bipul Sharma, SJ Srivastava, PP Chawla, RJ Harris, BA Bhatt"/>
  </r>
  <r>
    <n v="501253"/>
    <s v="Chennai Super Kings"/>
    <s v="Delhi Daredevils"/>
    <x v="14"/>
    <n v="2011"/>
    <d v="2011-05-12T00:00:00"/>
    <x v="3"/>
    <x v="1"/>
    <s v="Win"/>
    <s v="NA"/>
    <x v="3"/>
    <x v="37"/>
    <x v="43"/>
    <s v="Chennai"/>
    <s v="MEK Hussey, M Vijay, SK Raina, S Badrinath, MS Dhoni, WP Saha, JA Morkel, DJ Bravo, R Ashwin, DE Bollinger, SB Jakati"/>
    <s v="NV Ojha, DA Warner, CA Ingram, IK Pathan, Y Venugopal Rao, JR Hopes, AB McDonald, Y Nagar, AB Agarkar, S Nadeem, VR Aaron"/>
  </r>
  <r>
    <n v="501252"/>
    <s v="Rajasthan Royals"/>
    <s v="Royal Challengers Bangalore"/>
    <x v="14"/>
    <n v="2011"/>
    <d v="2011-05-11T00:00:00"/>
    <x v="10"/>
    <x v="0"/>
    <s v="Win"/>
    <s v="NA"/>
    <x v="11"/>
    <x v="248"/>
    <x v="30"/>
    <s v="Jaipur"/>
    <s v="SR Watson, R Dravid, AM Rahane, J Botha, LRPL Taylor, AL Menaria, AS Raut, DH Yagnik, SK Warne, SK Trivedi, Pankaj Singh"/>
    <s v="CH Gayle, TM Dilshan, V Kohli, AB de Villiers, KB Arun Karthik, M Kaif, SS Tiwary, AA Kazi, Z Khan, S Aravind, CK Langeveldt"/>
  </r>
  <r>
    <n v="501250"/>
    <s v="Deccan Chargers"/>
    <s v="Pune Warriors"/>
    <x v="14"/>
    <n v="2011"/>
    <d v="2011-05-10T00:00:00"/>
    <x v="17"/>
    <x v="1"/>
    <s v="Win"/>
    <s v="NA"/>
    <x v="17"/>
    <x v="10"/>
    <x v="33"/>
    <s v="Hyderabad"/>
    <s v="S Dhawan, DB Ravi Teja, KC Sangakkara, JP Duminy, DT Christian, B Chipli, S Sohal, A Mishra, DW Steyn, I Sharma, PP Ojha"/>
    <s v="JD Ryder, MK Pandey, SC Ganguly, RV Uthappa, Yuvraj Singh, CJ Ferguson, MR Marsh, WD Parnell, SB Wagh, R Sharma, B Kumar"/>
  </r>
  <r>
    <n v="501251"/>
    <s v="Kings XI Punjab"/>
    <s v="Mumbai Indians"/>
    <x v="14"/>
    <n v="2011"/>
    <d v="2011-05-10T00:00:00"/>
    <x v="1"/>
    <x v="0"/>
    <s v="Win"/>
    <s v="NA"/>
    <x v="12"/>
    <x v="249"/>
    <x v="41"/>
    <s v="Chandigarh"/>
    <s v="PC Valthaty, AC Gilchrist, SE Marsh, KD Karthik, DJ Hussey, Mandeep Singh, Bipul Sharma, RJ Harris, P Kumar, SJ Srivastava, BA Bhatt"/>
    <s v="AC Blizzard, SR Tendulkar, RG Sharma, A Symonds, AT Rayudu, TL Suman, KA Pollard, Harbhajan Singh, DS Kulkarni, SL Malinga, MM Patel"/>
  </r>
  <r>
    <n v="501249"/>
    <s v="Rajasthan Royals"/>
    <s v="Chennai Super Kings"/>
    <x v="14"/>
    <n v="2011"/>
    <d v="2011-05-09T00:00:00"/>
    <x v="7"/>
    <x v="0"/>
    <s v="Win"/>
    <s v="NA"/>
    <x v="3"/>
    <x v="212"/>
    <x v="30"/>
    <s v="Jaipur"/>
    <s v="SR Watson, R Dravid, AM Rahane, LRPL Taylor, AL Menaria, J Botha, AS Raut, DH Yagnik, A Singh, SK Trivedi, SK Warne"/>
    <s v="MEK Hussey, M Vijay, SK Raina, MS Dhoni, JA Morkel, S Badrinath, DJ Bravo, WP Saha, R Ashwin, DE Bollinger, SB Jakati"/>
  </r>
  <r>
    <n v="501247"/>
    <s v="Royal Challengers Bangalore"/>
    <s v="Kochi Tuskers Kerala"/>
    <x v="14"/>
    <n v="2011"/>
    <d v="2011-05-08T00:00:00"/>
    <x v="18"/>
    <x v="1"/>
    <s v="Win"/>
    <s v="NA"/>
    <x v="11"/>
    <x v="151"/>
    <x v="34"/>
    <s v="Bangalore"/>
    <s v="CH Gayle, TM Dilshan, V Kohli, AB de Villiers, CA Pujara, M Kaif, SS Tiwary, DL Vettori, Z Khan, S Aravind, A Mithun"/>
    <s v="M Klinger, BB McCullum, PA Patel, DPMD Jayawardene, BJ Hodge, RA Jadeja, RV Gomez, R Vinay Kumar, RR Powar, RP Singh, P Parameswaran"/>
  </r>
  <r>
    <n v="501248"/>
    <s v="Kings XI Punjab"/>
    <s v="Pune Warriors"/>
    <x v="14"/>
    <n v="2011"/>
    <d v="2011-05-08T00:00:00"/>
    <x v="11"/>
    <x v="1"/>
    <s v="Win"/>
    <s v="NA"/>
    <x v="17"/>
    <x v="250"/>
    <x v="41"/>
    <s v="Chandigarh"/>
    <s v="AC Gilchrist, PC Valthaty, SE Marsh, KD Karthik, DJ Hussey, Mandeep Singh, SD Chitnis, RJ Harris, P Kumar, SJ Srivastava, BA Bhatt"/>
    <s v="JD Ryder, MK Pandey, RV Uthappa, Yuvraj Singh, CJ Ferguson, AA Jhunjhunwala, MR Marsh, SB Wagh, R Sharma, WD Parnell, B Kumar"/>
  </r>
  <r>
    <n v="501245"/>
    <s v="Kolkata Knight Riders"/>
    <s v="Chennai Super Kings"/>
    <x v="14"/>
    <n v="2011"/>
    <d v="2011-05-07T00:00:00"/>
    <x v="3"/>
    <x v="1"/>
    <s v="Win"/>
    <s v="NA"/>
    <x v="10"/>
    <x v="251"/>
    <x v="29"/>
    <s v="Kolkata"/>
    <s v="EJG Morgan, JH Kallis, G Gambhir, MK Tiwary, YK Pathan, MV Boucher, R Bhatia, Iqbal Abdulla, B Lee, L Balaji, JD Unadkat"/>
    <s v="MEK Hussey, M Vijay, SK Raina, S Badrinath, JA Morkel, MS Dhoni, WP Saha, R Ashwin, DE Bollinger, SB Jakati, S Randiv"/>
  </r>
  <r>
    <n v="501246"/>
    <s v="Mumbai Indians"/>
    <s v="Delhi Daredevils"/>
    <x v="14"/>
    <n v="2011"/>
    <d v="2011-05-07T00:00:00"/>
    <x v="12"/>
    <x v="0"/>
    <s v="Win"/>
    <s v="NA"/>
    <x v="2"/>
    <x v="156"/>
    <x v="26"/>
    <s v="Mumbai"/>
    <s v="AC Blizzard, SR Tendulkar, AT Rayudu, RG Sharma, KA Pollard, A Symonds, TL Suman, DS Kulkarni, Harbhajan Singh, MM Patel, SL Malinga"/>
    <s v="V Sehwag, DA Warner, CA Ingram, NV Ojha, Y Venugopal Rao, JR Hopes, IK Pathan, Y Nagar, AB Agarkar, M Morkel, S Nadeem"/>
  </r>
  <r>
    <n v="501244"/>
    <s v="Royal Challengers Bangalore"/>
    <s v="Kings XI Punjab"/>
    <x v="14"/>
    <n v="2011"/>
    <d v="2011-05-06T00:00:00"/>
    <x v="11"/>
    <x v="0"/>
    <s v="Win"/>
    <s v="NA"/>
    <x v="11"/>
    <x v="151"/>
    <x v="34"/>
    <s v="Bangalore"/>
    <s v="CH Gayle, TM Dilshan, V Kohli, AB de Villiers, SS Tiwary, AUK Pathan, M Kaif, A Mithun, DL Vettori, Z Khan, S Aravind"/>
    <s v="AC Gilchrist, PC Valthaty, AM Nayar, SE Marsh, KD Karthik, Sunny Singh, R McLaren, PP Chawla, RJ Harris, P Kumar, L Ablish"/>
  </r>
  <r>
    <n v="501243"/>
    <s v="Deccan Chargers"/>
    <s v="Delhi Daredevils"/>
    <x v="14"/>
    <n v="2011"/>
    <d v="2011-05-05T00:00:00"/>
    <x v="12"/>
    <x v="0"/>
    <s v="Win"/>
    <s v="NA"/>
    <x v="13"/>
    <x v="208"/>
    <x v="33"/>
    <s v="Hyderabad"/>
    <s v="S Dhawan, DB Ravi Teja, KC Sangakkara, JP Duminy, DT Christian, B Chipli, I Malhotra, S Sohal, A Mishra, DW Steyn, I Sharma"/>
    <s v="AJ Finch, V Sehwag, NV Ojha, Y Venugopal Rao, TR Birt, IK Pathan, JR Hopes, Y Nagar, M Morkel, AB Agarkar, AM Salvi"/>
  </r>
  <r>
    <n v="501242"/>
    <s v="Kochi Tuskers Kerala"/>
    <s v="Kolkata Knight Riders"/>
    <x v="14"/>
    <n v="2011"/>
    <d v="2011-05-05T00:00:00"/>
    <x v="8"/>
    <x v="0"/>
    <s v="Win"/>
    <s v="NA"/>
    <x v="19"/>
    <x v="214"/>
    <x v="49"/>
    <s v="Kochi"/>
    <s v="BB McCullum, M Klinger, PA Patel, DPMD Jayawardene, RA Jadeja, BJ Hodge, RV Gomez, R Vinay Kumar, RP Singh, S Sreesanth, P Parameswaran"/>
    <s v="JH Kallis, EJG Morgan, G Gambhir, MK Tiwary, YK Pathan, MV Boucher, B Lee, R Bhatia, Iqbal Abdulla, S Ladda, JD Unadkat"/>
  </r>
  <r>
    <n v="501240"/>
    <s v="Chennai Super Kings"/>
    <s v="Rajasthan Royals"/>
    <x v="14"/>
    <n v="2011"/>
    <d v="2011-05-04T00:00:00"/>
    <x v="7"/>
    <x v="1"/>
    <s v="Win"/>
    <s v="NA"/>
    <x v="3"/>
    <x v="209"/>
    <x v="43"/>
    <s v="Chennai"/>
    <s v="MEK Hussey, M Vijay, SK Raina, JA Morkel, MS Dhoni, S Badrinath, S Anirudha, R Ashwin, DE Bollinger, SB Jakati, S Randiv"/>
    <s v="SR Watson, R Dravid, AL Menaria, J Botha, LRPL Taylor, AM Rahane, STR Binny, DH Yagnik, SK Warne, ND Doshi, SK Trivedi"/>
  </r>
  <r>
    <n v="501241"/>
    <s v="Pune Warriors"/>
    <s v="Mumbai Indians"/>
    <x v="14"/>
    <n v="2011"/>
    <d v="2011-05-04T00:00:00"/>
    <x v="16"/>
    <x v="0"/>
    <s v="Win"/>
    <s v="NA"/>
    <x v="2"/>
    <x v="250"/>
    <x v="48"/>
    <s v="Mumbai"/>
    <s v="JD Ryder, MK Pandey, GC Smith, AA Jhunjhunwala, Yuvraj Singh, RV Uthappa, M Manhas, SB Wagh, R Sharma, JE Taylor, AC Thomas"/>
    <s v="AC Blizzard, SR Tendulkar, AT Rayudu, RG Sharma, TL Suman, KA Pollard, A Symonds, Harbhajan Singh, DS Kulkarni, MM Patel, SL Malinga"/>
  </r>
  <r>
    <n v="501239"/>
    <s v="Deccan Chargers"/>
    <s v="Kolkata Knight Riders"/>
    <x v="14"/>
    <n v="2011"/>
    <d v="2011-05-03T00:00:00"/>
    <x v="17"/>
    <x v="0"/>
    <s v="Win"/>
    <s v="NA"/>
    <x v="10"/>
    <x v="189"/>
    <x v="33"/>
    <s v="Hyderabad"/>
    <s v="S Sohal, S Dhawan, KC Sangakkara, CL White, DT Christian, DB Ravi Teja, B Chipli, A Mishra, PP Ojha, I Sharma, DW Steyn"/>
    <s v="EJG Morgan, JH Kallis, G Gambhir, YK Pathan, MK Tiwary, MV Boucher, R Bhatia, Iqbal Abdulla, L Balaji, B Lee, JD Unadkat"/>
  </r>
  <r>
    <n v="501237"/>
    <s v="Mumbai Indians"/>
    <s v="Kings XI Punjab"/>
    <x v="14"/>
    <n v="2011"/>
    <d v="2011-05-02T00:00:00"/>
    <x v="11"/>
    <x v="0"/>
    <s v="Win"/>
    <s v="NA"/>
    <x v="2"/>
    <x v="135"/>
    <x v="26"/>
    <s v="Mumbai"/>
    <s v="DJ Jacobs, SR Tendulkar, AT Rayudu, KA Pollard, RG Sharma, A Symonds, TL Suman, Harbhajan Singh, MM Patel, SL Malinga, AN Ahmed"/>
    <s v="PC Valthaty, AC Gilchrist, SE Marsh, DJ Hussey, KD Karthik, AM Nayar, Bipul Sharma, PP Chawla, RJ Harris, P Kumar, BA Bhatt"/>
  </r>
  <r>
    <n v="501238"/>
    <s v="Delhi Daredevils"/>
    <s v="Kochi Tuskers Kerala"/>
    <x v="14"/>
    <n v="2011"/>
    <d v="2011-05-02T00:00:00"/>
    <x v="18"/>
    <x v="0"/>
    <s v="Win"/>
    <s v="NA"/>
    <x v="19"/>
    <x v="252"/>
    <x v="35"/>
    <s v="Delhi"/>
    <s v="DA Warner, V Sehwag, NV Ojha, Y Nagar, Y Venugopal Rao, TR Birt, IK Pathan, RE van der Merwe, M Morkel, AB Agarkar, UT Yadav"/>
    <s v="M Klinger, BB McCullum, PA Patel, DPMD Jayawardene, BJ Hodge, RA Jadeja, RV Gomez, R Vinay Kumar, RP Singh, S Sreesanth, P Parameswaran"/>
  </r>
  <r>
    <n v="501236"/>
    <s v="Chennai Super Kings"/>
    <s v="Deccan Chargers"/>
    <x v="14"/>
    <n v="2011"/>
    <d v="2011-05-01T00:00:00"/>
    <x v="3"/>
    <x v="1"/>
    <s v="Win"/>
    <s v="NA"/>
    <x v="3"/>
    <x v="253"/>
    <x v="43"/>
    <s v="Chennai"/>
    <s v="M Vijay, MEK Hussey, SK Raina, MS Dhoni, JA Morkel, S Badrinath, S Anirudha, R Ashwin, DE Bollinger, SB Jakati, S Randiv"/>
    <s v="S Sohal, S Dhawan, B Chipli, KC Sangakkara, CL White, JP Duminy, DT Christian, A Mishra, I Sharma, PP Ojha, Harmeet Singh"/>
  </r>
  <r>
    <n v="501235"/>
    <s v="Rajasthan Royals"/>
    <s v="Pune Warriors"/>
    <x v="14"/>
    <n v="2011"/>
    <d v="2011-05-01T00:00:00"/>
    <x v="7"/>
    <x v="0"/>
    <s v="Win"/>
    <s v="NA"/>
    <x v="7"/>
    <x v="254"/>
    <x v="30"/>
    <s v="Jaipur"/>
    <s v="SR Watson, R Dravid, J Botha, AL Menaria, LRPL Taylor, AM Rahane, A Singh, SK Warne, STR Binny, DH Yagnik, SK Trivedi"/>
    <s v="JD Ryder, MK Pandey, RV Uthappa, Yuvraj Singh, Harpreet Singh, M Manhas, NL McCullum, R Sharma, M Kartik, JE Taylor, AC Thomas"/>
  </r>
  <r>
    <n v="501234"/>
    <s v="Kolkata Knight Riders"/>
    <s v="Kings XI Punjab"/>
    <x v="14"/>
    <n v="2011"/>
    <d v="2011-04-30T00:00:00"/>
    <x v="8"/>
    <x v="0"/>
    <s v="Win"/>
    <s v="NA"/>
    <x v="10"/>
    <x v="251"/>
    <x v="29"/>
    <s v="Kolkata"/>
    <s v="JH Kallis, EJG Morgan, G Gambhir, MK Tiwary, SP Goswami, YK Pathan, R Bhatia, RN ten Doeschate, Iqbal Abdulla, L Balaji, B Lee"/>
    <s v="AC Gilchrist, PC Valthaty, SE Marsh, KD Karthik, AM Nayar, DJ Hussey, Bipul Sharma, P Kumar, PP Chawla, BA Bhatt, RJ Harris"/>
  </r>
  <r>
    <n v="501233"/>
    <s v="Kochi Tuskers Kerala"/>
    <s v="Delhi Daredevils"/>
    <x v="14"/>
    <n v="2011"/>
    <d v="2011-04-30T00:00:00"/>
    <x v="12"/>
    <x v="1"/>
    <s v="Win"/>
    <s v="NA"/>
    <x v="13"/>
    <x v="208"/>
    <x v="49"/>
    <s v="Kochi"/>
    <s v="BB McCullum, M Klinger, PA Patel, DPMD Jayawardene, BJ Hodge, RA Jadeja, B Akhil, R Vinay Kumar, RR Powar, S Sreesanth, RP Singh"/>
    <s v="DA Warner, V Sehwag, NV Ojha, Y Venugopal Rao, Y Nagar, TR Birt, IK Pathan, RE van der Merwe, M Morkel, AB Agarkar, UT Yadav"/>
  </r>
  <r>
    <n v="501232"/>
    <s v="Royal Challengers Bangalore"/>
    <s v="Pune Warriors"/>
    <x v="14"/>
    <n v="2011"/>
    <d v="2011-04-29T00:00:00"/>
    <x v="16"/>
    <x v="0"/>
    <s v="Win"/>
    <s v="NA"/>
    <x v="11"/>
    <x v="31"/>
    <x v="34"/>
    <s v="Bangalore"/>
    <s v="CH Gayle, TM Dilshan, V Kohli, AB de Villiers, SS Tiwary, M Kaif, A Mithun, Z Khan, DL Vettori, S Aravind, J Syed Mohammad"/>
    <s v="JD Ryder, TD Paine, MK Pandey, Yuvraj Singh, RV Uthappa, M Manhas, Harpreet Singh, R Sharma, JE Taylor, AC Thomas, Kamran Khan"/>
  </r>
  <r>
    <n v="501231"/>
    <s v="Rajasthan Royals"/>
    <s v="Mumbai Indians"/>
    <x v="14"/>
    <n v="2011"/>
    <d v="2011-04-29T00:00:00"/>
    <x v="7"/>
    <x v="0"/>
    <s v="Win"/>
    <s v="NA"/>
    <x v="7"/>
    <x v="255"/>
    <x v="30"/>
    <s v="Jaipur"/>
    <s v="SR Watson, R Dravid, J Botha, LRPL Taylor, AL Menaria, AM Rahane, A Singh, DH Yagnik, SK Warne, STR Binny, SK Trivedi"/>
    <s v="DJ Jacobs, SR Tendulkar, AT Rayudu, RG Sharma, A Symonds, KA Pollard, R Sathish, Harbhajan Singh, SL Malinga, AG Murtaza, MM Patel"/>
  </r>
  <r>
    <n v="501230"/>
    <s v="Delhi Daredevils"/>
    <s v="Kolkata Knight Riders"/>
    <x v="14"/>
    <n v="2011"/>
    <d v="2011-04-28T00:00:00"/>
    <x v="12"/>
    <x v="0"/>
    <s v="Win"/>
    <s v="NA"/>
    <x v="10"/>
    <x v="256"/>
    <x v="35"/>
    <s v="Delhi"/>
    <s v="DA Warner, V Sehwag, JR Hopes, IK Pathan, TR Birt, Y Venugopal Rao, NV Ojha, Y Nagar, AB Agarkar, M Morkel, UT Yadav"/>
    <s v="JH Kallis, SP Goswami, G Gambhir, MK Tiwary, YK Pathan, EJG Morgan, RN ten Doeschate, B Lee, L Balaji, Iqbal Abdulla, JD Unadkat"/>
  </r>
  <r>
    <n v="501229"/>
    <s v="Kochi Tuskers Kerala"/>
    <s v="Deccan Chargers"/>
    <x v="14"/>
    <n v="2011"/>
    <d v="2011-04-27T00:00:00"/>
    <x v="18"/>
    <x v="0"/>
    <s v="Win"/>
    <s v="NA"/>
    <x v="18"/>
    <x v="58"/>
    <x v="49"/>
    <s v="Kochi"/>
    <s v="BB McCullum, DPMD Jayawardene, PA Patel, RV Gomez, BJ Hodge, KM Jadhav, RA Jadeja, NLTC Perera, R Vinay Kumar, S Sreesanth, RP Singh"/>
    <s v="S Sohal, S Dhawan, B Chipli, KC Sangakkara, CL White, DT Christian, DB Ravi Teja, A Mishra, MS Gony, DW Steyn, I Sharma"/>
  </r>
  <r>
    <n v="501228"/>
    <s v="Pune Warriors"/>
    <s v="Chennai Super Kings"/>
    <x v="14"/>
    <n v="2011"/>
    <d v="2011-04-27T00:00:00"/>
    <x v="16"/>
    <x v="1"/>
    <s v="Win"/>
    <s v="NA"/>
    <x v="3"/>
    <x v="257"/>
    <x v="48"/>
    <s v="Mumbai"/>
    <s v="JD Ryder, MD Mishra, MK Pandey, M Manhas, Yuvraj Singh, RV Uthappa, MR Marsh, JE Taylor, M Kartik, R Sharma, AC Thomas"/>
    <s v="MEK Hussey, M Vijay, S Badrinath, SK Raina, MS Dhoni, S Anirudha, R Ashwin, KMDN Kulasekara, DE Bollinger, SB Jakati, TG Southee"/>
  </r>
  <r>
    <n v="501227"/>
    <s v="Delhi Daredevils"/>
    <s v="Royal Challengers Bangalore"/>
    <x v="14"/>
    <n v="2011"/>
    <d v="2011-04-26T00:00:00"/>
    <x v="10"/>
    <x v="0"/>
    <s v="Win"/>
    <s v="NA"/>
    <x v="11"/>
    <x v="31"/>
    <x v="35"/>
    <s v="Delhi"/>
    <s v="DA Warner, V Sehwag, JR Hopes, MS Wade, Y Venugopal Rao, NV Ojha, IK Pathan, Y Nagar, M Morkel, AB Dinda, UT Yadav"/>
    <s v="CH Gayle, TM Dilshan, V Kohli, AB de Villiers, SS Tiwary, CA Pujara, DL Vettori, A Mithun, J Syed Mohammad, Z Khan, S Aravind"/>
  </r>
  <r>
    <n v="501226"/>
    <s v="Chennai Super Kings"/>
    <s v="Pune Warriors"/>
    <x v="14"/>
    <n v="2011"/>
    <d v="2011-04-25T00:00:00"/>
    <x v="16"/>
    <x v="0"/>
    <s v="Win"/>
    <s v="NA"/>
    <x v="3"/>
    <x v="209"/>
    <x v="43"/>
    <s v="Chennai"/>
    <s v="M Vijay, MEK Hussey, SK Raina, MS Dhoni, JA Morkel, S Badrinath, S Anirudha, R Ashwin, DE Bollinger, SB Jakati, S Randiv"/>
    <s v="JD Ryder, MD Mishra, MK Pandey, RV Uthappa, Yuvraj Singh, M Manhas, NL McCullum, R Sharma, JE Taylor, M Kartik, AC Thomas"/>
  </r>
  <r>
    <n v="501225"/>
    <s v="Rajasthan Royals"/>
    <s v="Kochi Tuskers Kerala"/>
    <x v="14"/>
    <n v="2011"/>
    <d v="2011-04-24T00:00:00"/>
    <x v="7"/>
    <x v="0"/>
    <s v="Win"/>
    <s v="NA"/>
    <x v="7"/>
    <x v="258"/>
    <x v="30"/>
    <s v="Jaipur"/>
    <s v="SR Watson, R Dravid, J Botha, LRPL Taylor, AL Menaria, AM Rahane, A Singh, DH Yagnik, SK Warne, STR Binny, SK Trivedi"/>
    <s v="DPMD Jayawardene, VVS Laxman, PA Patel, BJ Hodge, RA Jadeja, RV Gomez, NLTC Perera, KM Jadhav, R Vinay Kumar, M Muralitharan, RP Singh"/>
  </r>
  <r>
    <n v="501224"/>
    <s v="Deccan Chargers"/>
    <s v="Mumbai Indians"/>
    <x v="14"/>
    <n v="2011"/>
    <d v="2011-04-24T00:00:00"/>
    <x v="17"/>
    <x v="0"/>
    <s v="Win"/>
    <s v="NA"/>
    <x v="2"/>
    <x v="160"/>
    <x v="33"/>
    <s v="Hyderabad"/>
    <s v="S Sohal, S Dhawan, KC Sangakkara, CL White, B Chipli, DT Christian, DB Ravi Teja, A Mishra, DW Steyn, I Sharma, PP Ojha"/>
    <s v="DJ Jacobs, SR Tendulkar, AT Rayudu, KA Pollard, RG Sharma, A Symonds, R Sathish, Harbhajan Singh, AN Ahmed, MM Patel, SL Malinga"/>
  </r>
  <r>
    <n v="501223"/>
    <s v="Delhi Daredevils"/>
    <s v="Kings XI Punjab"/>
    <x v="14"/>
    <n v="2011"/>
    <d v="2011-04-23T00:00:00"/>
    <x v="11"/>
    <x v="0"/>
    <s v="Win"/>
    <s v="NA"/>
    <x v="13"/>
    <x v="115"/>
    <x v="35"/>
    <s v="Delhi"/>
    <s v="DA Warner, V Sehwag, Y Nagar, Y Venugopal Rao, AJ Finch, NV Ojha, IK Pathan, JR Hopes, AB Agarkar, M Morkel, VR Aaron"/>
    <s v="AC Gilchrist, PC Valthaty, SE Marsh, KD Karthik, DJ Hussey, AM Nayar, Sunny Singh, RJ Harris, PP Chawla, P Kumar, SJ Srivastava"/>
  </r>
  <r>
    <n v="501221"/>
    <s v="Mumbai Indians"/>
    <s v="Chennai Super Kings"/>
    <x v="14"/>
    <n v="2011"/>
    <d v="2011-04-22T00:00:00"/>
    <x v="3"/>
    <x v="0"/>
    <s v="Win"/>
    <s v="NA"/>
    <x v="2"/>
    <x v="164"/>
    <x v="26"/>
    <s v="Mumbai"/>
    <s v="R Sathish, SR Tendulkar, AT Rayudu, RG Sharma, A Symonds, KA Pollard, JEC Franklin, Harbhajan Singh, AN Ahmed, MM Patel, SL Malinga"/>
    <s v="MEK Hussey, M Vijay, SK Raina, S Badrinath, MS Dhoni, S Anirudha, JA Morkel, R Ashwin, Joginder Sharma, S Randiv, DE Bollinger"/>
  </r>
  <r>
    <n v="501222"/>
    <s v="Kolkata Knight Riders"/>
    <s v="Royal Challengers Bangalore"/>
    <x v="14"/>
    <n v="2011"/>
    <d v="2011-04-22T00:00:00"/>
    <x v="10"/>
    <x v="0"/>
    <s v="Win"/>
    <s v="NA"/>
    <x v="11"/>
    <x v="151"/>
    <x v="29"/>
    <s v="Kolkata"/>
    <s v="JH Kallis, BJ Haddin, G Gambhir, YK Pathan, EJG Morgan, MK Tiwary, Shakib Al Hasan, R Bhatia, Iqbal Abdulla, JD Unadkat, L Balaji"/>
    <s v="TM Dilshan, CH Gayle, V Kohli, AB de Villiers, SS Tiwary, CA Pujara, Z Khan, AUK Pathan, DL Vettori, S Aravind, J Syed Mohammad"/>
  </r>
  <r>
    <n v="501220"/>
    <s v="Kings XI Punjab"/>
    <s v="Rajasthan Royals"/>
    <x v="14"/>
    <n v="2011"/>
    <d v="2011-04-21T00:00:00"/>
    <x v="7"/>
    <x v="0"/>
    <s v="Win"/>
    <s v="NA"/>
    <x v="12"/>
    <x v="202"/>
    <x v="41"/>
    <s v="Chandigarh"/>
    <s v="AC Gilchrist, PC Valthaty, SE Marsh, KD Karthik, AM Nayar, R McLaren, Sunny Singh, PP Chawla, RJ Harris, P Kumar, BA Bhatt"/>
    <s v="SA Asnodkar, R Dravid, SR Watson, STR Binny, LRPL Taylor, AL Menaria, AS Raut, DH Yagnik, SK Warne, SW Tait, SK Trivedi"/>
  </r>
  <r>
    <n v="501219"/>
    <s v="Kolkata Knight Riders"/>
    <s v="Kochi Tuskers Kerala"/>
    <x v="14"/>
    <n v="2011"/>
    <d v="2011-04-20T00:00:00"/>
    <x v="8"/>
    <x v="0"/>
    <s v="Win"/>
    <s v="NA"/>
    <x v="19"/>
    <x v="259"/>
    <x v="29"/>
    <s v="Kolkata"/>
    <s v="MS Bisla, JH Kallis, G Gambhir, MK Tiwary, EJG Morgan, Shakib Al Hasan, YK Pathan, R Bhatia, B Lee, Iqbal Abdulla, L Balaji"/>
    <s v="BB McCullum, DPMD Jayawardene, PA Patel, BJ Hodge, RA Jadeja, KM Jadhav, RV Gomez, R Vinay Kumar, RR Powar, RP Singh, M Muralitharan"/>
  </r>
  <r>
    <n v="501218"/>
    <s v="Mumbai Indians"/>
    <s v="Pune Warriors"/>
    <x v="14"/>
    <n v="2011"/>
    <d v="2011-04-20T00:00:00"/>
    <x v="16"/>
    <x v="1"/>
    <s v="Win"/>
    <s v="NA"/>
    <x v="2"/>
    <x v="246"/>
    <x v="26"/>
    <s v="Mumbai"/>
    <s v="JEC Franklin, SR Tendulkar, AT Rayudu, RG Sharma, A Symonds, KA Pollard, R Sathish, AN Ahmed, AG Murtaza, MM Patel, SL Malinga"/>
    <s v="JD Ryder, TD Paine, M Manhas, RV Uthappa, Yuvraj Singh, MD Mishra, M Kartik, WD Parnell, R Sharma, SB Wagh, AC Thomas"/>
  </r>
  <r>
    <n v="501216"/>
    <s v="Delhi Daredevils"/>
    <s v="Deccan Chargers"/>
    <x v="14"/>
    <n v="2011"/>
    <d v="2011-04-19T00:00:00"/>
    <x v="17"/>
    <x v="1"/>
    <s v="Win"/>
    <s v="NA"/>
    <x v="18"/>
    <x v="260"/>
    <x v="35"/>
    <s v="Delhi"/>
    <s v="DA Warner, V Sehwag, NV Ojha, AJ Finch, Y Venugopal Rao, IK Pathan, JR Hopes, Y Nagar, M Morkel, S Nadeem, AB Dinda"/>
    <s v="S Sohal, S Dhawan, KC Sangakkara, CL White, DT Christian, B Chipli, DB Ravi Teja, A Mishra, DW Steyn, PP Ojha, Harmeet Singh"/>
  </r>
  <r>
    <n v="501215"/>
    <s v="Kochi Tuskers Kerala"/>
    <s v="Chennai Super Kings"/>
    <x v="14"/>
    <n v="2011"/>
    <d v="2011-04-18T00:00:00"/>
    <x v="18"/>
    <x v="0"/>
    <s v="Win"/>
    <s v="NA"/>
    <x v="19"/>
    <x v="201"/>
    <x v="49"/>
    <s v="Kochi"/>
    <s v="BB McCullum, DPMD Jayawardene, PA Patel, BJ Hodge, RA Jadeja, KM Jadhav, NLTC Perera, RV Gomez, R Vinay Kumar, RP Singh, RR Powar"/>
    <s v="MEK Hussey, M Vijay, SK Raina, S Badrinath, MS Dhoni, JA Morkel, S Anirudha, R Ashwin, SB Jakati, TG Southee, DE Bollinger"/>
  </r>
  <r>
    <n v="501213"/>
    <s v="Pune Warriors"/>
    <s v="Delhi Daredevils"/>
    <x v="14"/>
    <n v="2011"/>
    <d v="2011-04-17T00:00:00"/>
    <x v="12"/>
    <x v="0"/>
    <s v="Win"/>
    <s v="NA"/>
    <x v="13"/>
    <x v="186"/>
    <x v="48"/>
    <s v="Mumbai"/>
    <s v="JD Ryder, GC Smith, M Manhas, Yuvraj Singh, RV Uthappa, MD Mishra, WD Parnell, AA Jhunjhunwala, R Sharma, SB Wagh, AC Thomas"/>
    <s v="DA Warner, V Sehwag, IK Pathan, NV Ojha, MS Wade, Y Venugopal Rao, AJ Finch, JR Hopes, S Nadeem, AB Dinda, UT Yadav"/>
  </r>
  <r>
    <n v="501214"/>
    <s v="Kolkata Knight Riders"/>
    <s v="Rajasthan Royals"/>
    <x v="14"/>
    <n v="2011"/>
    <d v="2011-04-17T00:00:00"/>
    <x v="8"/>
    <x v="0"/>
    <s v="Win"/>
    <s v="NA"/>
    <x v="10"/>
    <x v="242"/>
    <x v="29"/>
    <s v="Kolkata"/>
    <s v="JH Kallis, MS Bisla, G Gambhir, MK Tiwary, YK Pathan, EJG Morgan, Shakib Al Hasan, Iqbal Abdulla, R Bhatia, B Lee, L Balaji"/>
    <s v="SR Watson, AG Paunikar, FY Fazal, AS Raut, AL Menaria, LRPL Taylor, AM Rahane, SK Warne, A Singh, SW Tait, SK Trivedi"/>
  </r>
  <r>
    <n v="501211"/>
    <s v="Chennai Super Kings"/>
    <s v="Royal Challengers Bangalore"/>
    <x v="14"/>
    <n v="2011"/>
    <d v="2011-04-16T00:00:00"/>
    <x v="3"/>
    <x v="1"/>
    <s v="Win"/>
    <s v="NA"/>
    <x v="3"/>
    <x v="209"/>
    <x v="43"/>
    <s v="Chennai"/>
    <s v="MEK Hussey, M Vijay, SK Raina, MS Dhoni, JA Morkel, S Badrinath, S Anirudha, R Ashwin, SB Jakati, TG Southee, S Randiv"/>
    <s v="MA Agarwal, TM Dilshan, AUK Pathan, V Kohli, AB de Villiers, SS Tiwary, CA Pujara, JJ van der Wath, DL Vettori, R Ninan, Z Khan"/>
  </r>
  <r>
    <n v="501212"/>
    <s v="Deccan Chargers"/>
    <s v="Kings XI Punjab"/>
    <x v="14"/>
    <n v="2011"/>
    <d v="2011-04-16T00:00:00"/>
    <x v="11"/>
    <x v="0"/>
    <s v="Win"/>
    <s v="NA"/>
    <x v="12"/>
    <x v="261"/>
    <x v="33"/>
    <s v="Hyderabad"/>
    <s v="S Sohal, S Dhawan, KC Sangakkara, JP Duminy, B Chipli, DT Christian, MS Gony, DB Ravi Teja, A Mishra, DW Steyn, I Sharma"/>
    <s v="AC Gilchrist, PC Valthaty, AM Nayar, KD Karthik, SE Marsh, Sunny Singh, R McLaren, P Kumar, RJ Harris, PP Chawla, VS Malik"/>
  </r>
  <r>
    <n v="501210"/>
    <s v="Mumbai Indians"/>
    <s v="Kochi Tuskers Kerala"/>
    <x v="14"/>
    <n v="2011"/>
    <d v="2011-04-15T00:00:00"/>
    <x v="18"/>
    <x v="0"/>
    <s v="Win"/>
    <s v="NA"/>
    <x v="19"/>
    <x v="201"/>
    <x v="26"/>
    <s v="Mumbai"/>
    <s v="DJ Jacobs, SR Tendulkar, AT Rayudu, KA Pollard, RG Sharma, A Symonds, R Sathish, Harbhajan Singh, AG Murtaza, MM Patel, SL Malinga"/>
    <s v="BB McCullum, DPMD Jayawardene, RA Jadeja, BJ Hodge, KM Jadhav, PA Patel, NLTC Perera, RV Gomez, R Vinay Kumar, RP Singh, RR Powar"/>
  </r>
  <r>
    <n v="501209"/>
    <s v="Rajasthan Royals"/>
    <s v="Kolkata Knight Riders"/>
    <x v="14"/>
    <n v="2011"/>
    <d v="2011-04-15T00:00:00"/>
    <x v="8"/>
    <x v="0"/>
    <s v="Win"/>
    <s v="NA"/>
    <x v="10"/>
    <x v="178"/>
    <x v="30"/>
    <s v="Jaipur"/>
    <s v="AG Paunikar, R Dravid, AL Menaria, SR Watson, LRPL Taylor, J Botha, AS Raut, SK Warne, A Singh, SK Trivedi, ND Doshi"/>
    <s v="MS Bisla, JH Kallis, G Gambhir, MK Tiwary, YK Pathan, EJG Morgan, Shakib Al Hasan, Iqbal Abdulla, R Bhatia, B Lee, L Balaji"/>
  </r>
  <r>
    <n v="501208"/>
    <s v="Deccan Chargers"/>
    <s v="Royal Challengers Bangalore"/>
    <x v="14"/>
    <n v="2011"/>
    <d v="2011-04-14T00:00:00"/>
    <x v="10"/>
    <x v="0"/>
    <s v="Win"/>
    <s v="NA"/>
    <x v="18"/>
    <x v="210"/>
    <x v="33"/>
    <s v="Hyderabad"/>
    <s v="S Sohal, S Dhawan, KC Sangakkara, B Chipli, JP Duminy, DT Christian, DB Ravi Teja, A Mishra, DW Steyn, I Sharma, MS Gony"/>
    <s v="MA Agarwal, TM Dilshan, Z Khan, V Kohli, AB de Villiers, SS Tiwary, CA Pujara, JJ van der Wath, DL Vettori, R Ninan, S Aravind"/>
  </r>
  <r>
    <n v="501207"/>
    <s v="Pune Warriors"/>
    <s v="Kochi Tuskers Kerala"/>
    <x v="14"/>
    <n v="2011"/>
    <d v="2011-04-13T00:00:00"/>
    <x v="18"/>
    <x v="1"/>
    <s v="Win"/>
    <s v="NA"/>
    <x v="17"/>
    <x v="262"/>
    <x v="48"/>
    <s v="Mumbai"/>
    <s v="JD Ryder, GC Smith, M Manhas, Yuvraj Singh, RV Uthappa, MD Mishra, WD Parnell, R Sharma, M Kartik, SB Wagh, AC Thomas"/>
    <s v="BB McCullum, VVS Laxman, PA Patel, DPMD Jayawardene, BJ Hodge, RA Jadeja, RV Gomez, R Vinay Kumar, S Sreesanth, RP Singh, M Muralitharan"/>
  </r>
  <r>
    <n v="501206"/>
    <s v="Kings XI Punjab"/>
    <s v="Chennai Super Kings"/>
    <x v="14"/>
    <n v="2011"/>
    <d v="2011-04-13T00:00:00"/>
    <x v="11"/>
    <x v="0"/>
    <s v="Win"/>
    <s v="NA"/>
    <x v="12"/>
    <x v="261"/>
    <x v="41"/>
    <s v="Chandigarh"/>
    <s v="PC Valthaty, AC Gilchrist, SE Marsh, Sunny Singh, AM Nayar, KD Karthik, R McLaren, P Kumar, RJ Harris, PP Chawla, BA Bhatt"/>
    <s v="S Anirudha, M Vijay, SK Raina, S Badrinath, MS Dhoni, SB Styris, JA Morkel, R Ashwin, SB Jakati, TG Southee, S Randiv"/>
  </r>
  <r>
    <n v="501205"/>
    <s v="Royal Challengers Bangalore"/>
    <s v="Mumbai Indians"/>
    <x v="14"/>
    <n v="2011"/>
    <d v="2011-04-12T00:00:00"/>
    <x v="1"/>
    <x v="0"/>
    <s v="Win"/>
    <s v="NA"/>
    <x v="2"/>
    <x v="221"/>
    <x v="34"/>
    <s v="Bangalore"/>
    <s v="MA Agarwal, TM Dilshan, V Kohli, AB de Villiers, AUK Pathan, SS Tiwary, CA Pujara, Z Khan, DL Vettori, DP Nannes, A Mithun"/>
    <s v="DJ Jacobs, SR Tendulkar, AT Rayudu, RG Sharma, KA Pollard, JEC Franklin, R Sathish, Harbhajan Singh, AG Murtaza, MM Patel, SL Malinga"/>
  </r>
  <r>
    <n v="501204"/>
    <s v="Rajasthan Royals"/>
    <s v="Delhi Daredevils"/>
    <x v="14"/>
    <n v="2011"/>
    <d v="2011-04-12T00:00:00"/>
    <x v="12"/>
    <x v="1"/>
    <s v="Win"/>
    <s v="NA"/>
    <x v="7"/>
    <x v="258"/>
    <x v="30"/>
    <s v="Jaipur"/>
    <s v="AG Paunikar, R Dravid, J Botha, AL Menaria, AM Rahane, LRPL Taylor, AS Raut, SK Warne, A Singh, SK Trivedi, SW Tait"/>
    <s v="DA Warner, V Sehwag, AJ Finch, UBT Chand, NV Ojha, Y Venugopal Rao, IK Pathan, RE van der Merwe, M Morkel, S Nadeem, AB Dinda"/>
  </r>
  <r>
    <n v="501203"/>
    <s v="Kolkata Knight Riders"/>
    <s v="Deccan Chargers"/>
    <x v="14"/>
    <n v="2011"/>
    <d v="2011-04-11T00:00:00"/>
    <x v="8"/>
    <x v="1"/>
    <s v="Win"/>
    <s v="NA"/>
    <x v="10"/>
    <x v="213"/>
    <x v="29"/>
    <s v="Kolkata"/>
    <s v="JH Kallis, MS Bisla, G Gambhir, MK Tiwary, YK Pathan, EJG Morgan, RN ten Doeschate, Iqbal Abdulla, R Bhatia, L Balaji, JD Unadkat"/>
    <s v="S Dhawan, IR Jaggi, B Chipli, KC Sangakkara, JP Duminy, DT Christian, DB Ravi Teja, DW Steyn, A Mishra, I Sharma, PP Ojha"/>
  </r>
  <r>
    <n v="501202"/>
    <s v="Pune Warriors"/>
    <s v="Kings XI Punjab"/>
    <x v="14"/>
    <n v="2011"/>
    <d v="2011-04-10T00:00:00"/>
    <x v="11"/>
    <x v="1"/>
    <s v="Win"/>
    <s v="NA"/>
    <x v="17"/>
    <x v="263"/>
    <x v="48"/>
    <s v="Mumbai"/>
    <s v="GC Smith, JD Ryder, M Manhas, RV Uthappa, Yuvraj Singh, MD Mishra, R Sharma, M Kartik, SB Wagh, WD Parnell, AC Thomas"/>
    <s v="AC Gilchrist, SE Marsh, PC Valthaty, KD Karthik, AM Nayar, Sunny Singh, R McLaren, PP Chawla, P Kumar, NJ Rimmington, BA Bhatt"/>
  </r>
  <r>
    <n v="501201"/>
    <s v="Delhi Daredevils"/>
    <s v="Mumbai Indians"/>
    <x v="14"/>
    <n v="2011"/>
    <d v="2011-04-10T00:00:00"/>
    <x v="12"/>
    <x v="1"/>
    <s v="Win"/>
    <s v="NA"/>
    <x v="2"/>
    <x v="160"/>
    <x v="35"/>
    <s v="Delhi"/>
    <s v="DA Warner, V Sehwag, UBT Chand, AJ Finch, NV Ojha, Y Venugopal Rao, IK Pathan, RE van der Merwe, M Morkel, UT Yadav, AB Dinda"/>
    <s v="DJ Jacobs, SR Tendulkar, AT Rayudu, RG Sharma, KA Pollard, JEC Franklin, R Sathish, Harbhajan Singh, AG Murtaza, MM Patel, SL Malinga"/>
  </r>
  <r>
    <n v="501200"/>
    <s v="Kochi Tuskers Kerala"/>
    <s v="Royal Challengers Bangalore"/>
    <x v="14"/>
    <n v="2011"/>
    <d v="2011-04-09T00:00:00"/>
    <x v="18"/>
    <x v="1"/>
    <s v="Win"/>
    <s v="NA"/>
    <x v="11"/>
    <x v="142"/>
    <x v="49"/>
    <s v="Kochi"/>
    <s v="BB McCullum, VVS Laxman, DPMD Jayawardene, BJ Hodge, RA Jadeja, RV Gomez, PA Patel, M Muralitharan, R Vinay Kumar, RP Singh, S Sreesanth"/>
    <s v="MA Agarwal, TM Dilshan, V Kohli, AB de Villiers, SS Tiwary, AUK Pathan, CA Pujara, Z Khan, DL Vettori, DP Nannes, A Mithun"/>
  </r>
  <r>
    <n v="501199"/>
    <s v="Deccan Chargers"/>
    <s v="Rajasthan Royals"/>
    <x v="14"/>
    <n v="2011"/>
    <d v="2011-04-09T00:00:00"/>
    <x v="7"/>
    <x v="0"/>
    <s v="Win"/>
    <s v="NA"/>
    <x v="7"/>
    <x v="227"/>
    <x v="33"/>
    <s v="Hyderabad"/>
    <s v="S Dhawan, IR Jaggi, KC Sangakkara, B Chipli, JP Duminy, DT Christian, DB Ravi Teja, DW Steyn, A Mishra, I Sharma, PP Ojha"/>
    <s v="AG Paunikar, R Dravid, J Botha, LRPL Taylor, AS Raut, AL Menaria, A Singh, JDP Oram, SK Warne, SK Trivedi, STR Binny"/>
  </r>
  <r>
    <n v="501198"/>
    <s v="Chennai Super Kings"/>
    <s v="Kolkata Knight Riders"/>
    <x v="14"/>
    <n v="2011"/>
    <d v="2011-04-08T00:00:00"/>
    <x v="3"/>
    <x v="1"/>
    <s v="Win"/>
    <s v="NA"/>
    <x v="3"/>
    <x v="264"/>
    <x v="43"/>
    <s v="Chennai"/>
    <s v="S Anirudha, M Vijay, SK Raina, MS Dhoni, JA Morkel, SB Styris, S Badrinath, R Ashwin, SB Jakati, TG Southee, S Randiv"/>
    <s v="MS Bisla, JH Kallis, YK Pathan, MK Tiwary, EJG Morgan, G Gambhir, LR Shukla, R Bhatia, Iqbal Abdulla, L Balaji, S Ladda"/>
  </r>
  <r>
    <n v="419165"/>
    <s v="Chennai Super Kings"/>
    <s v="Mumbai Indians"/>
    <x v="15"/>
    <n v="2010"/>
    <d v="2010-04-25T00:00:00"/>
    <x v="3"/>
    <x v="1"/>
    <s v="Win"/>
    <s v="NA"/>
    <x v="3"/>
    <x v="183"/>
    <x v="48"/>
    <s v="Mumbai"/>
    <s v="M Vijay, ML Hayden, SK Raina, S Badrinath, MS Dhoni, JA Morkel, S Anirudha, R Ashwin, SB Jakati, DE Bollinger, M Muralitharan"/>
    <s v="S Dhawan, SR Tendulkar, AM Nayar, Harbhajan Singh, AT Rayudu, SS Tiwary, JP Duminy, KA Pollard, Z Khan, SL Malinga, CRD Fernando"/>
  </r>
  <r>
    <n v="419164"/>
    <s v="Royal Challengers Bangalore"/>
    <s v="Deccan Chargers"/>
    <x v="15"/>
    <n v="2010"/>
    <d v="2010-04-24T00:00:00"/>
    <x v="17"/>
    <x v="1"/>
    <s v="Win"/>
    <s v="NA"/>
    <x v="11"/>
    <x v="265"/>
    <x v="48"/>
    <s v="Mumbai"/>
    <s v="JH Kallis, R Dravid, KP Pietersen, RV Uthappa, V Kohli, CL White, B Akhil, P Kumar, A Kumble, ND Doshi, DW Steyn"/>
    <s v="AC Gilchrist, MD Mishra, Anirudh Singh, RG Sharma, A Symonds, DR Smith, Y Venugopal Rao, RJ Harris, R Sharma, Harmeet Singh, PP Ojha"/>
  </r>
  <r>
    <n v="419163"/>
    <s v="Chennai Super Kings"/>
    <s v="Deccan Chargers"/>
    <x v="15"/>
    <n v="2010"/>
    <d v="2010-04-22T00:00:00"/>
    <x v="3"/>
    <x v="1"/>
    <s v="Win"/>
    <s v="NA"/>
    <x v="3"/>
    <x v="257"/>
    <x v="48"/>
    <s v="Mumbai"/>
    <s v="M Vijay, ML Hayden, SK Raina, S Badrinath, MS Dhoni, JA Morkel, S Anirudha, R Ashwin, SB Jakati, DE Bollinger, M Muralitharan"/>
    <s v="AC Gilchrist, HH Gibbs, TL Suman, RG Sharma, A Symonds, MD Mishra, B Sumanth, RJ Harris, Harmeet Singh, RP Singh, PP Ojha"/>
  </r>
  <r>
    <n v="419162"/>
    <s v="Royal Challengers Bangalore"/>
    <s v="Mumbai Indians"/>
    <x v="15"/>
    <n v="2010"/>
    <d v="2010-04-21T00:00:00"/>
    <x v="1"/>
    <x v="1"/>
    <s v="Win"/>
    <s v="NA"/>
    <x v="2"/>
    <x v="135"/>
    <x v="48"/>
    <s v="Mumbai"/>
    <s v="JH Kallis, R Dravid, KP Pietersen, RV Uthappa, LRPL Taylor, V Kohli, MK Pandey, P Kumar, R Vinay Kumar, DW Steyn, A Kumble"/>
    <s v="S Dhawan, SR Tendulkar, AM Nayar, AT Rayudu, JP Duminy, SS Tiwary, KA Pollard, Harbhajan Singh, Z Khan, CRD Fernando, SL Malinga"/>
  </r>
  <r>
    <n v="419161"/>
    <s v="Kolkata Knight Riders"/>
    <s v="Mumbai Indians"/>
    <x v="15"/>
    <n v="2010"/>
    <d v="2010-04-19T00:00:00"/>
    <x v="1"/>
    <x v="1"/>
    <s v="Win"/>
    <s v="NA"/>
    <x v="10"/>
    <x v="266"/>
    <x v="29"/>
    <s v="Kolkata"/>
    <s v="SC Ganguly, BB McCullum, DJ Hussey, MK Tiwary, AD Mathews, CA Pujara, WP Saha, JD Unadkat, M Kartik, AB Dinda, SE Bond"/>
    <s v="AP Tare, S Dhawan, SS Tiwary, JP Duminy, R Sathish, DJ Bravo, AT Rayudu, STR Binny, R McLaren, AG Murtaza, CRD Fernando"/>
  </r>
  <r>
    <n v="419160"/>
    <s v="Delhi Daredevils"/>
    <s v="Deccan Chargers"/>
    <x v="15"/>
    <n v="2010"/>
    <d v="2010-04-18T00:00:00"/>
    <x v="17"/>
    <x v="1"/>
    <s v="Win"/>
    <s v="NA"/>
    <x v="18"/>
    <x v="267"/>
    <x v="35"/>
    <s v="Delhi"/>
    <s v="DA Warner, V Sehwag, TM Dilshan, G Gambhir, M Manhas, PD Collingwood, KD Karthik, A Mishra, A Nehra, DP Nannes, UT Yadav"/>
    <s v="AC Gilchrist, MD Mishra, TL Suman, RG Sharma, A Symonds, MR Marsh, B Sumanth, WPUJC Vaas, R Sharma, PP Ojha, Harmeet Singh"/>
  </r>
  <r>
    <n v="419159"/>
    <s v="Kings XI Punjab"/>
    <s v="Chennai Super Kings"/>
    <x v="15"/>
    <n v="2010"/>
    <d v="2010-04-18T00:00:00"/>
    <x v="3"/>
    <x v="0"/>
    <s v="Win"/>
    <s v="NA"/>
    <x v="3"/>
    <x v="37"/>
    <x v="47"/>
    <s v="Dharamsala"/>
    <s v="DPMD Jayawardene, SE Marsh, KC Sangakkara, Yuvraj Singh, IK Pathan, K Goel, J Theron, RR Powar, PP Chawla, S Sohal, VRV Singh"/>
    <s v="M Vijay, ML Hayden, SK Raina, S Badrinath, MS Dhoni, JA Morkel, JM Kemp, R Ashwin, SB Jakati, DE Bollinger, S Tyagi"/>
  </r>
  <r>
    <n v="419157"/>
    <s v="Royal Challengers Bangalore"/>
    <s v="Mumbai Indians"/>
    <x v="15"/>
    <n v="2010"/>
    <d v="2010-04-17T00:00:00"/>
    <x v="10"/>
    <x v="0"/>
    <s v="Win"/>
    <s v="NA"/>
    <x v="2"/>
    <x v="268"/>
    <x v="34"/>
    <s v="Bangalore"/>
    <s v="MK Pandey, JH Kallis, KP Pietersen, R Dravid, RV Uthappa, LRPL Taylor, V Kohli, DW Steyn, R Vinay Kumar, Pankaj Singh, A Kumble"/>
    <s v="R McLaren, SR Tendulkar, AT Rayudu, KA Pollard, JP Duminy, AM Nayar, SS Tiwary, AP Tare, Harbhajan Singh, Z Khan, CRD Fernando"/>
  </r>
  <r>
    <n v="419158"/>
    <s v="Kolkata Knight Riders"/>
    <s v="Rajasthan Royals"/>
    <x v="15"/>
    <n v="2010"/>
    <d v="2010-04-17T00:00:00"/>
    <x v="7"/>
    <x v="1"/>
    <s v="Win"/>
    <s v="NA"/>
    <x v="10"/>
    <x v="147"/>
    <x v="29"/>
    <s v="Kolkata"/>
    <s v="SC Ganguly, BB McCullum, CH Gayle, CA Pujara, MK Tiwary, AD Mathews, LR Shukla, JD Unadkat, M Kartik, AB Dinda, SE Bond"/>
    <s v="SR Watson, NV Ojha, YK Pathan, AJ Finch, AC Voges, AS Raut, P Dogra, FY Fazal, SK Warne, SK Trivedi, Kamran Khan"/>
  </r>
  <r>
    <n v="419156"/>
    <s v="Kings XI Punjab"/>
    <s v="Deccan Chargers"/>
    <x v="15"/>
    <n v="2010"/>
    <d v="2010-04-16T00:00:00"/>
    <x v="17"/>
    <x v="0"/>
    <s v="Win"/>
    <s v="NA"/>
    <x v="18"/>
    <x v="2"/>
    <x v="47"/>
    <s v="Dharamsala"/>
    <s v="DPMD Jayawardene, SE Marsh, KC Sangakkara, Yuvraj Singh, IK Pathan, K Goel, J Theron, RS Sodhi, PP Chawla, SJ Srivastava, VS Malik"/>
    <s v="AC Gilchrist, MD Mishra, TL Suman, RG Sharma, A Symonds, MR Marsh, B Sumanth, RP Singh, PP Ojha, RJ Harris, R Sharma"/>
  </r>
  <r>
    <n v="419155"/>
    <s v="Chennai Super Kings"/>
    <s v="Delhi Daredevils"/>
    <x v="15"/>
    <n v="2010"/>
    <d v="2010-04-15T00:00:00"/>
    <x v="3"/>
    <x v="1"/>
    <s v="Win"/>
    <s v="NA"/>
    <x v="13"/>
    <x v="178"/>
    <x v="43"/>
    <s v="Chennai"/>
    <s v="M Vijay, ML Hayden, MS Dhoni, SK Raina, MEK Hussey, S Badrinath, JA Morkel, R Ashwin, L Balaji, DE Bollinger, SB Jakati"/>
    <s v="V Sehwag, DA Warner, TM Dilshan, G Gambhir, KD Karthik, M Manhas, PD Collingwood, A Mishra, A Nehra, DP Nannes, UT Yadav"/>
  </r>
  <r>
    <n v="419154"/>
    <s v="Rajasthan Royals"/>
    <s v="Royal Challengers Bangalore"/>
    <x v="15"/>
    <n v="2010"/>
    <d v="2010-04-14T00:00:00"/>
    <x v="7"/>
    <x v="1"/>
    <s v="Win"/>
    <s v="NA"/>
    <x v="11"/>
    <x v="238"/>
    <x v="30"/>
    <s v="Jaipur"/>
    <s v="MJ Lumb, NV Ojha, AG Paunikar, SR Watson, AA Jhunjhunwala, YK Pathan, AC Voges, AS Raut, Kamran Khan, SK Warne, SK Trivedi"/>
    <s v="MK Pandey, JH Kallis, KP Pietersen, RV Uthappa, V Kohli, LRPL Taylor, R Dravid, R Vinay Kumar, Pankaj Singh, A Kumble, DW Steyn"/>
  </r>
  <r>
    <n v="419152"/>
    <s v="Mumbai Indians"/>
    <s v="Delhi Daredevils"/>
    <x v="15"/>
    <n v="2010"/>
    <d v="2010-04-13T00:00:00"/>
    <x v="1"/>
    <x v="1"/>
    <s v="Win"/>
    <s v="NA"/>
    <x v="2"/>
    <x v="135"/>
    <x v="42"/>
    <s v="Mumbai"/>
    <s v="C Madan, SR Tendulkar, SS Tiwary, AT Rayudu, JP Duminy, KA Pollard, DJ Bravo, Harbhajan Singh, AG Murtaza, Z Khan, CRD Fernando"/>
    <s v="DA Warner, V Sehwag, G Gambhir, KD Karthik, AB de Villiers, PD Collingwood, AB McDonald, A Mishra, PJ Sangwan, A Nehra, S Ladda"/>
  </r>
  <r>
    <n v="419153"/>
    <s v="Chennai Super Kings"/>
    <s v="Kolkata Knight Riders"/>
    <x v="15"/>
    <n v="2010"/>
    <d v="2010-04-13T00:00:00"/>
    <x v="8"/>
    <x v="1"/>
    <s v="Win"/>
    <s v="NA"/>
    <x v="3"/>
    <x v="55"/>
    <x v="43"/>
    <s v="Chennai"/>
    <s v="M Vijay, ML Hayden, SK Raina, S Anirudha, MS Dhoni, S Badrinath, JA Morkel, R Ashwin, SB Jakati, M Muralitharan, DE Bollinger"/>
    <s v="SC Ganguly, CH Gayle, BB McCullum, MK Tiwary, DJ Hussey, AD Mathews, WP Saha, LR Shukla, AB Agarkar, Iqbal Abdulla, AB Dinda"/>
  </r>
  <r>
    <n v="419151"/>
    <s v="Deccan Chargers"/>
    <s v="Royal Challengers Bangalore"/>
    <x v="15"/>
    <n v="2010"/>
    <d v="2010-04-12T00:00:00"/>
    <x v="10"/>
    <x v="0"/>
    <s v="Win"/>
    <s v="NA"/>
    <x v="18"/>
    <x v="223"/>
    <x v="50"/>
    <s v="Nagpur"/>
    <s v="HH Gibbs, AC Gilchrist, TL Suman, RG Sharma, MD Mishra, A Symonds, RJ Harris, B Sumanth, RP Singh, PP Ojha, Harmeet Singh"/>
    <s v="MK Pandey, JH Kallis, R Dravid, RV Uthappa, LRPL Taylor, V Kohli, CL White, R Vinay Kumar, DW Steyn, A Kumble, KP Appanna"/>
  </r>
  <r>
    <n v="419149"/>
    <s v="Delhi Daredevils"/>
    <s v="Kings XI Punjab"/>
    <x v="15"/>
    <n v="2010"/>
    <d v="2010-04-11T00:00:00"/>
    <x v="12"/>
    <x v="1"/>
    <s v="Win"/>
    <s v="NA"/>
    <x v="12"/>
    <x v="199"/>
    <x v="35"/>
    <s v="Delhi"/>
    <s v="DA Warner, V Sehwag, G Gambhir, PD Collingwood, KD Karthik, DL Vettori, M Manhas, R Bhatia, MF Maharoof, A Mishra, A Nehra"/>
    <s v="DPMD Jayawardene, IK Pathan, KC Sangakkara, Yuvraj Singh, AB Barath, J Theron, K Goel, RS Sodhi, PP Chawla, RR Powar, L Ablish"/>
  </r>
  <r>
    <n v="419150"/>
    <s v="Rajasthan Royals"/>
    <s v="Mumbai Indians"/>
    <x v="15"/>
    <n v="2010"/>
    <d v="2010-04-11T00:00:00"/>
    <x v="7"/>
    <x v="0"/>
    <s v="Win"/>
    <s v="NA"/>
    <x v="2"/>
    <x v="221"/>
    <x v="30"/>
    <s v="Jaipur"/>
    <s v="MJ Lumb, NV Ojha, FY Fazal, SR Watson, AA Jhunjhunwala, AC Voges, YK Pathan, AS Raut, AP Dole, SK Warne, SK Trivedi"/>
    <s v="ST Jayasuriya, SR Tendulkar, AT Rayudu, SS Tiwary, JP Duminy, KA Pollard, R Sathish, DS Kulkarni, Harbhajan Singh, SL Malinga, Z Khan"/>
  </r>
  <r>
    <n v="419147"/>
    <s v="Deccan Chargers"/>
    <s v="Chennai Super Kings"/>
    <x v="15"/>
    <n v="2010"/>
    <d v="2010-04-10T00:00:00"/>
    <x v="3"/>
    <x v="1"/>
    <s v="Win"/>
    <s v="NA"/>
    <x v="18"/>
    <x v="269"/>
    <x v="50"/>
    <s v="Nagpur"/>
    <s v="MD Mishra, AC Gilchrist, TL Suman, RG Sharma, A Symonds, DR Smith, B Sumanth, RP Singh, PP Ojha, RJ Harris, Harmeet Singh"/>
    <s v="M Vijay, ML Hayden, SK Raina, MS Dhoni, MEK Hussey, S Badrinath, R Ashwin, T Thushara, SB Jakati, DE Bollinger, S Tyagi"/>
  </r>
  <r>
    <n v="419148"/>
    <s v="Royal Challengers Bangalore"/>
    <s v="Kolkata Knight Riders"/>
    <x v="15"/>
    <n v="2010"/>
    <d v="2010-04-10T00:00:00"/>
    <x v="10"/>
    <x v="0"/>
    <s v="Win"/>
    <s v="NA"/>
    <x v="11"/>
    <x v="224"/>
    <x v="34"/>
    <s v="Bangalore"/>
    <s v="S Sriram, JH Kallis, R Dravid, RV Uthappa, LRPL Taylor, CL White, V Kohli, R Vinay Kumar, P Kumar, A Kumble, DW Steyn"/>
    <s v="SC Ganguly, CH Gayle, BB McCullum, MK Tiwary, AD Mathews, WP Saha, CA Pujara, AB Agarkar, AB Dinda, I Sharma, BAW Mendis"/>
  </r>
  <r>
    <n v="419146"/>
    <s v="Kings XI Punjab"/>
    <s v="Mumbai Indians"/>
    <x v="15"/>
    <n v="2010"/>
    <d v="2010-04-09T00:00:00"/>
    <x v="1"/>
    <x v="1"/>
    <s v="Win"/>
    <s v="NA"/>
    <x v="12"/>
    <x v="234"/>
    <x v="41"/>
    <s v="Chandigarh"/>
    <s v="AB Barath, DPMD Jayawardene, KC Sangakkara, Yuvraj Singh, IK Pathan, RS Sodhi, K Goel, PP Chawla, RR Powar, B Lee, L Ablish"/>
    <s v="S Dhawan, SR Tendulkar, AT Rayudu, SS Tiwary, JP Duminy, R Sathish, KA Pollard, Harbhajan Singh, R McLaren, Z Khan, SL Malinga"/>
  </r>
  <r>
    <n v="419145"/>
    <s v="Royal Challengers Bangalore"/>
    <s v="Deccan Chargers"/>
    <x v="15"/>
    <n v="2010"/>
    <d v="2010-04-08T00:00:00"/>
    <x v="17"/>
    <x v="0"/>
    <s v="Win"/>
    <s v="NA"/>
    <x v="18"/>
    <x v="270"/>
    <x v="34"/>
    <s v="Bangalore"/>
    <s v="MK Pandey, JH Kallis, R Dravid, RV Uthappa, LRPL Taylor, V Kohli, CL White, P Kumar, R Vinay Kumar, A Kumble, DW Steyn"/>
    <s v="AC Gilchrist, MD Mishra, TL Suman, RG Sharma, A Symonds, Y Venugopal Rao, MR Marsh, RP Singh, PP Ojha, RJ Harris, Harmeet Singh"/>
  </r>
  <r>
    <n v="419143"/>
    <s v="Rajasthan Royals"/>
    <s v="Kings XI Punjab"/>
    <x v="15"/>
    <n v="2010"/>
    <d v="2010-04-07T00:00:00"/>
    <x v="11"/>
    <x v="1"/>
    <s v="Win"/>
    <s v="NA"/>
    <x v="7"/>
    <x v="271"/>
    <x v="30"/>
    <s v="Jaipur"/>
    <s v="MJ Lumb, NV Ojha, YK Pathan, SR Watson, FY Fazal, AA Jhunjhunwala, AC Voges, AS Raut, SK Warne, SK Trivedi, AP Dole"/>
    <s v="MS Bisla, DPMD Jayawardene, KC Sangakkara, Yuvraj Singh, IK Pathan, RS Bopara, PP Chawla, Bipul Sharma, J Theron, S Sreesanth, RR Powar"/>
  </r>
  <r>
    <n v="419144"/>
    <s v="Kolkata Knight Riders"/>
    <s v="Delhi Daredevils"/>
    <x v="15"/>
    <n v="2010"/>
    <d v="2010-04-07T00:00:00"/>
    <x v="8"/>
    <x v="1"/>
    <s v="Win"/>
    <s v="NA"/>
    <x v="10"/>
    <x v="237"/>
    <x v="29"/>
    <s v="Kolkata"/>
    <s v="SC Ganguly, CH Gayle, BB McCullum, MK Tiwary, AD Mathews, CA Pujara, WP Saha, AB Agarkar, Iqbal Abdulla, AB Dinda, BAW Mendis"/>
    <s v="DA Warner, V Sehwag, G Gambhir, PD Collingwood, KD Karthik, KM Jadhav, MF Maharoof, R Bhatia, DL Vettori, A Mishra, PJ Sangwan"/>
  </r>
  <r>
    <n v="419142"/>
    <s v="Chennai Super Kings"/>
    <s v="Mumbai Indians"/>
    <x v="15"/>
    <n v="2010"/>
    <d v="2010-04-06T00:00:00"/>
    <x v="3"/>
    <x v="1"/>
    <s v="Win"/>
    <s v="NA"/>
    <x v="3"/>
    <x v="183"/>
    <x v="43"/>
    <s v="Chennai"/>
    <s v="M Vijay, ML Hayden, SK Raina, MS Dhoni, MEK Hussey, S Badrinath, R Ashwin, SB Jakati, DE Bollinger, S Tyagi, T Thushara"/>
    <s v="S Dhawan, SR Tendulkar, SS Tiwary, AT Rayudu, DJ Bravo, KA Pollard, R Sathish, R McLaren, Harbhajan Singh, AN Ahmed, SL Malinga"/>
  </r>
  <r>
    <n v="419141"/>
    <s v="Deccan Chargers"/>
    <s v="Rajasthan Royals"/>
    <x v="15"/>
    <n v="2010"/>
    <d v="2010-04-05T00:00:00"/>
    <x v="7"/>
    <x v="1"/>
    <s v="Win"/>
    <s v="NA"/>
    <x v="7"/>
    <x v="258"/>
    <x v="50"/>
    <s v="Nagpur"/>
    <s v="VVS Laxman, AC Gilchrist, RG Sharma, A Symonds, Anirudh Singh, DR Smith, AA Bilakhia, RJ Harris, RP Singh, Harmeet Singh, PP Ojha"/>
    <s v="MJ Lumb, NV Ojha, FY Fazal, SR Watson, YK Pathan, AA Jhunjhunwala, AS Raut, SK Warne, M Morkel, AP Dole, SK Trivedi"/>
  </r>
  <r>
    <n v="419140"/>
    <s v="Delhi Daredevils"/>
    <s v="Royal Challengers Bangalore"/>
    <x v="15"/>
    <n v="2010"/>
    <d v="2010-04-04T00:00:00"/>
    <x v="12"/>
    <x v="1"/>
    <s v="Win"/>
    <s v="NA"/>
    <x v="13"/>
    <x v="272"/>
    <x v="35"/>
    <s v="Delhi"/>
    <s v="DA Warner, V Sehwag, G Gambhir, PD Collingwood, KD Karthik, KM Jadhav, DL Vettori, R Bhatia, A Mishra, MF Maharoof, PJ Sangwan"/>
    <s v="JH Kallis, CL White, KP Pietersen, RV Uthappa, LRPL Taylor, V Kohli, R Dravid, R Vinay Kumar, A Mithun, A Kumble, KP Appanna"/>
  </r>
  <r>
    <n v="419139"/>
    <s v="Kolkata Knight Riders"/>
    <s v="Kings XI Punjab"/>
    <x v="15"/>
    <n v="2010"/>
    <d v="2010-04-04T00:00:00"/>
    <x v="8"/>
    <x v="1"/>
    <s v="Win"/>
    <s v="NA"/>
    <x v="12"/>
    <x v="259"/>
    <x v="29"/>
    <s v="Kolkata"/>
    <s v="SC Ganguly, CH Gayle, MK Tiwary, AD Mathews, DJ Hussey, CA Pujara, WP Saha, AB Agarkar, M Kartik, SE Bond, JD Unadkat"/>
    <s v="MS Bisla, DPMD Jayawardene, KC Sangakkara, Yuvraj Singh, RS Bopara, IK Pathan, J Theron, PP Chawla, SJ Srivastava, Bipul Sharma, RR Powar"/>
  </r>
  <r>
    <n v="419138"/>
    <s v="Mumbai Indians"/>
    <s v="Deccan Chargers"/>
    <x v="15"/>
    <n v="2010"/>
    <d v="2010-04-03T00:00:00"/>
    <x v="1"/>
    <x v="1"/>
    <s v="Win"/>
    <s v="NA"/>
    <x v="2"/>
    <x v="156"/>
    <x v="42"/>
    <s v="Mumbai"/>
    <s v="S Dhawan, SR Tendulkar, SS Tiwary, DJ Bravo, AT Rayudu, KA Pollard, R Sathish, R McLaren, Harbhajan Singh, Z Khan, SL Malinga"/>
    <s v="HH Gibbs, AC Gilchrist, VVS Laxman, A Symonds, RG Sharma, MD Mishra, TL Suman, RJ Harris, R Sharma, Jaskaran Singh, PP Ojha"/>
  </r>
  <r>
    <n v="419137"/>
    <s v="Chennai Super Kings"/>
    <s v="Rajasthan Royals"/>
    <x v="15"/>
    <n v="2010"/>
    <d v="2010-04-03T00:00:00"/>
    <x v="3"/>
    <x v="1"/>
    <s v="Win"/>
    <s v="NA"/>
    <x v="3"/>
    <x v="212"/>
    <x v="43"/>
    <s v="Chennai"/>
    <s v="M Vijay, ML Hayden, SK Raina, JA Morkel, MS Dhoni, S Badrinath, S Anirudha, M Muralitharan, SB Jakati, DE Bollinger, S Tyagi"/>
    <s v="MJ Lumb, NV Ojha, YK Pathan, SR Watson, FY Fazal, AA Jhunjhunwala, AS Raut, S Narwal, SB Wagh, SK Warne, SW Tait"/>
  </r>
  <r>
    <n v="419136"/>
    <s v="Kings XI Punjab"/>
    <s v="Royal Challengers Bangalore"/>
    <x v="15"/>
    <n v="2010"/>
    <d v="2010-04-02T00:00:00"/>
    <x v="11"/>
    <x v="1"/>
    <s v="Win"/>
    <s v="NA"/>
    <x v="11"/>
    <x v="238"/>
    <x v="41"/>
    <s v="Chandigarh"/>
    <s v="SE Marsh, MS Bisla, KC Sangakkara, RS Bopara, Yuvraj Singh, IK Pathan, B Lee, PP Chawla, SJ Srivastava, Bipul Sharma, S Sreesanth"/>
    <s v="MK Pandey, JH Kallis, KP Pietersen, V Kohli, RV Uthappa, CL White, R Dravid, P Kumar, A Kumble, R Vinay Kumar, DW Steyn"/>
  </r>
  <r>
    <n v="419135"/>
    <s v="Kolkata Knight Riders"/>
    <s v="Deccan Chargers"/>
    <x v="15"/>
    <n v="2010"/>
    <d v="2010-04-01T00:00:00"/>
    <x v="8"/>
    <x v="1"/>
    <s v="Win"/>
    <s v="NA"/>
    <x v="10"/>
    <x v="237"/>
    <x v="29"/>
    <s v="Kolkata"/>
    <s v="SC Ganguly, CH Gayle, CA Pujara, MK Tiwary, DJ Hussey, AD Mathews, WP Saha, AB Agarkar, M Kartik, SE Bond, MB Parmar"/>
    <s v="HH Gibbs, AC Gilchrist, MD Mishra, A Symonds, RG Sharma, TL Suman, Y Venugopal Rao, Jaskaran Singh, KAJ Roach, Harmeet Singh, PP Ojha"/>
  </r>
  <r>
    <n v="419133"/>
    <s v="Chennai Super Kings"/>
    <s v="Royal Challengers Bangalore"/>
    <x v="15"/>
    <n v="2010"/>
    <d v="2010-03-31T00:00:00"/>
    <x v="10"/>
    <x v="1"/>
    <s v="Win"/>
    <s v="NA"/>
    <x v="3"/>
    <x v="212"/>
    <x v="43"/>
    <s v="Chennai"/>
    <s v="M Vijay, ML Hayden, SK Raina, MS Dhoni, JA Morkel, S Badrinath, C Ganapathy, MS Gony, M Muralitharan, T Thushara, SB Jakati"/>
    <s v="MK Pandey, JH Kallis, RV Uthappa, V Kohli, KP Pietersen, CL White, R Dravid, P Kumar, A Kumble, DW Steyn, R Vinay Kumar"/>
  </r>
  <r>
    <n v="419134"/>
    <s v="Delhi Daredevils"/>
    <s v="Rajasthan Royals"/>
    <x v="15"/>
    <n v="2010"/>
    <d v="2010-03-31T00:00:00"/>
    <x v="12"/>
    <x v="1"/>
    <s v="Win"/>
    <s v="NA"/>
    <x v="13"/>
    <x v="122"/>
    <x v="35"/>
    <s v="Delhi"/>
    <s v="DA Warner, V Sehwag, G Gambhir, PD Collingwood, KM Jadhav, KD Karthik, AB McDonald, A Mishra, MF Maharoof, S Ladda, UT Yadav"/>
    <s v="MJ Lumb, NV Ojha, FY Fazal, AA Jhunjhunwala, AC Voges, YK Pathan, P Dogra, SK Warne, S Narwal, SW Tait, SK Trivedi"/>
  </r>
  <r>
    <n v="419132"/>
    <s v="Mumbai Indians"/>
    <s v="Kings XI Punjab"/>
    <x v="15"/>
    <n v="2010"/>
    <d v="2010-03-30T00:00:00"/>
    <x v="1"/>
    <x v="0"/>
    <s v="Win"/>
    <s v="NA"/>
    <x v="2"/>
    <x v="160"/>
    <x v="42"/>
    <s v="Mumbai"/>
    <s v="S Dhawan, SR Tendulkar, KA Pollard, SS Tiwary, AT Rayudu, DJ Bravo, R Sathish, Harbhajan Singh, R McLaren, Z Khan, SL Malinga"/>
    <s v="RS Bopara, SE Marsh, MS Bisla, DPMD Jayawardene, Yuvraj Singh, IK Pathan, B Lee, K Goel, PP Chawla, VS Malik, SJ Srivastava"/>
  </r>
  <r>
    <n v="419131"/>
    <s v="Delhi Daredevils"/>
    <s v="Kolkata Knight Riders"/>
    <x v="15"/>
    <n v="2010"/>
    <d v="2010-03-29T00:00:00"/>
    <x v="12"/>
    <x v="1"/>
    <s v="Win"/>
    <s v="NA"/>
    <x v="13"/>
    <x v="115"/>
    <x v="35"/>
    <s v="Delhi"/>
    <s v="DA Warner, V Sehwag, G Gambhir, KD Karthik, PD Collingwood, KM Jadhav, AB McDonald, A Mishra, DP Nannes, UT Yadav, R Bhatia"/>
    <s v="CH Gayle, SC Ganguly, Mandeep Singh, MK Tiwary, DJ Hussey, AD Mathews, WP Saha, AB Agarkar, M Kartik, CK Langeveldt, I Sharma"/>
  </r>
  <r>
    <n v="419130"/>
    <s v="Deccan Chargers"/>
    <s v="Mumbai Indians"/>
    <x v="15"/>
    <n v="2010"/>
    <d v="2010-03-28T00:00:00"/>
    <x v="17"/>
    <x v="0"/>
    <s v="Win"/>
    <s v="NA"/>
    <x v="2"/>
    <x v="164"/>
    <x v="48"/>
    <s v="Mumbai"/>
    <s v="AC Gilchrist, MD Mishra, HH Gibbs, A Symonds, RG Sharma, TL Suman, Y Venugopal Rao, Jaskaran Singh, KAJ Roach, RP Singh, PP Ojha"/>
    <s v="S Dhawan, SR Tendulkar, DJ Bravo, SS Tiwary, AT Rayudu, R Sathish, KA Pollard, R McLaren, Harbhajan Singh, Z Khan, SL Malinga"/>
  </r>
  <r>
    <n v="419129"/>
    <s v="Rajasthan Royals"/>
    <s v="Chennai Super Kings"/>
    <x v="15"/>
    <n v="2010"/>
    <d v="2010-03-28T00:00:00"/>
    <x v="7"/>
    <x v="1"/>
    <s v="Win"/>
    <s v="NA"/>
    <x v="7"/>
    <x v="273"/>
    <x v="44"/>
    <s v="Ahmedabad"/>
    <s v="MJ Lumb, NV Ojha, FY Fazal, YK Pathan, AC Voges, AA Jhunjhunwala, P Dogra, S Narwal, SK Warne, SW Tait, SK Trivedi"/>
    <s v="M Vijay, ML Hayden, SK Raina, MS Dhoni, S Badrinath, JA Morkel, KB Arun Karthik, T Thushara, Joginder Sharma, M Muralitharan, SB Jakati"/>
  </r>
  <r>
    <n v="419127"/>
    <s v="Kings XI Punjab"/>
    <s v="Kolkata Knight Riders"/>
    <x v="15"/>
    <n v="2010"/>
    <d v="2010-03-27T00:00:00"/>
    <x v="8"/>
    <x v="1"/>
    <s v="Win"/>
    <s v="NA"/>
    <x v="10"/>
    <x v="256"/>
    <x v="41"/>
    <s v="Chandigarh"/>
    <s v="RS Bopara, Yuvraj Singh, MS Bisla, KC Sangakkara, DPMD Jayawardene, IK Pathan, K Goel, B Lee, PP Chawla, SJ Srivastava, VS Malik"/>
    <s v="CH Gayle, SC Ganguly, Mandeep Singh, MK Tiwary, DJ Hussey, AD Mathews, WP Saha, SE Bond, AB Agarkar, AB Dinda, Iqbal Abdulla"/>
  </r>
  <r>
    <n v="419126"/>
    <s v="Rajasthan Royals"/>
    <s v="Deccan Chargers"/>
    <x v="15"/>
    <n v="2010"/>
    <d v="2010-03-26T00:00:00"/>
    <x v="17"/>
    <x v="1"/>
    <s v="Win"/>
    <s v="NA"/>
    <x v="7"/>
    <x v="189"/>
    <x v="44"/>
    <s v="Ahmedabad"/>
    <s v="MJ Lumb, NV Ojha, YK Pathan, FY Fazal, AC Voges, AA Jhunjhunwala, P Dogra, SK Warne, S Narwal, SK Trivedi, SW Tait"/>
    <s v="AC Gilchrist, VVS Laxman, HH Gibbs, A Symonds, RG Sharma, TL Suman, Y Venugopal Rao, WPUJC Vaas, R Sharma, RP Singh, PP Ojha"/>
  </r>
  <r>
    <n v="419125"/>
    <s v="Chennai Super Kings"/>
    <s v="Mumbai Indians"/>
    <x v="15"/>
    <n v="2010"/>
    <d v="2010-03-25T00:00:00"/>
    <x v="1"/>
    <x v="0"/>
    <s v="Win"/>
    <s v="NA"/>
    <x v="2"/>
    <x v="221"/>
    <x v="15"/>
    <s v="Mumbai"/>
    <s v="PA Patel, ML Hayden, SK Raina, S Badrinath, MS Dhoni, JA Morkel, NLTC Perera, Joginder Sharma, L Balaji, M Muralitharan, SB Jakati"/>
    <s v="S Dhawan, SR Tendulkar, SS Tiwary, R Sathish, KA Pollard, DJ Bravo, R McLaren, AP Tare, Harbhajan Singh, Z Khan, SL Malinga"/>
  </r>
  <r>
    <n v="419128"/>
    <s v="Royal Challengers Bangalore"/>
    <s v="Delhi Daredevils"/>
    <x v="15"/>
    <n v="2010"/>
    <d v="2010-03-25T00:00:00"/>
    <x v="10"/>
    <x v="0"/>
    <s v="Win"/>
    <s v="NA"/>
    <x v="13"/>
    <x v="185"/>
    <x v="34"/>
    <s v="Bangalore"/>
    <s v="MK Pandey, JH Kallis, RV Uthappa, R Dravid, EJG Morgan, V Kohli, MV Boucher, R Vinay Kumar, P Kumar, DW Steyn, A Kumble"/>
    <s v="DA Warner, V Sehwag, AB de Villiers, KD Karthik, KM Jadhav, AB McDonald, M Manhas, A Mishra, DP Nannes, UT Yadav, PJ Sangwan"/>
  </r>
  <r>
    <n v="419124"/>
    <s v="Kings XI Punjab"/>
    <s v="Rajasthan Royals"/>
    <x v="15"/>
    <n v="2010"/>
    <d v="2010-03-24T00:00:00"/>
    <x v="11"/>
    <x v="0"/>
    <s v="Win"/>
    <s v="NA"/>
    <x v="7"/>
    <x v="274"/>
    <x v="41"/>
    <s v="Chandigarh"/>
    <s v="RS Bopara, KC Sangakkara, MS Bisla, Yuvraj Singh, DPMD Jayawardene, IK Pathan, M Kaif, PP Chawla, J Theron, S Sreesanth, SJ Srivastava"/>
    <s v="MJ Lumb, NV Ojha, FY Fazal, YK Pathan, AC Voges, P Dogra, AA Jhunjhunwala, SK Warne, MM Patel, SK Trivedi, SW Tait"/>
  </r>
  <r>
    <n v="419123"/>
    <s v="Royal Challengers Bangalore"/>
    <s v="Chennai Super Kings"/>
    <x v="15"/>
    <n v="2010"/>
    <d v="2010-03-23T00:00:00"/>
    <x v="3"/>
    <x v="0"/>
    <s v="Win"/>
    <s v="NA"/>
    <x v="11"/>
    <x v="180"/>
    <x v="34"/>
    <s v="Bangalore"/>
    <s v="MK Pandey, JH Kallis, R Dravid, RV Uthappa, V Kohli, EJG Morgan, MV Boucher, P Kumar, A Kumble, DW Steyn, R Vinay Kumar"/>
    <s v="PA Patel, ML Hayden, GJ Bailey, SK Raina, M Vijay, S Badrinath, JA Morkel, R Ashwin, L Balaji, M Muralitharan, S Tyagi"/>
  </r>
  <r>
    <n v="419122"/>
    <s v="Mumbai Indians"/>
    <s v="Kolkata Knight Riders"/>
    <x v="15"/>
    <n v="2010"/>
    <d v="2010-03-22T00:00:00"/>
    <x v="8"/>
    <x v="1"/>
    <s v="Win"/>
    <s v="NA"/>
    <x v="2"/>
    <x v="221"/>
    <x v="42"/>
    <s v="Mumbai"/>
    <s v="S Dhawan, SR Tendulkar, SS Tiwary, KA Pollard, R Sathish, AP Tare, DJ Bravo, R McLaren, Harbhajan Singh, Z Khan, SL Malinga"/>
    <s v="CH Gayle, SC Ganguly, OA Shah, AD Mathews, CA Pujara, Mandeep Singh, WP Saha, M Kartik, Harpreet Singh, SE Bond, I Sharma"/>
  </r>
  <r>
    <n v="419120"/>
    <s v="Deccan Chargers"/>
    <s v="Delhi Daredevils"/>
    <x v="15"/>
    <n v="2010"/>
    <d v="2010-03-21T00:00:00"/>
    <x v="17"/>
    <x v="1"/>
    <s v="Win"/>
    <s v="NA"/>
    <x v="18"/>
    <x v="267"/>
    <x v="45"/>
    <s v="Cuttack"/>
    <s v="MD Mishra, AC Gilchrist, HH Gibbs, A Symonds, RG Sharma, TL Suman, Y Venugopal Rao, WPUJC Vaas, R Sharma, PP Ojha, RP Singh"/>
    <s v="DA Warner, V Sehwag, AB de Villiers, KD Karthik, M Manhas, MC Henriques, Y Nagar, A Mishra, UT Yadav, S Ladda, DP Nannes"/>
  </r>
  <r>
    <n v="419121"/>
    <s v="Chennai Super Kings"/>
    <s v="Kings XI Punjab"/>
    <x v="15"/>
    <n v="2010"/>
    <d v="2010-03-21T00:00:00"/>
    <x v="3"/>
    <x v="0"/>
    <s v="tie"/>
    <s v="Kings XI Punjab"/>
    <x v="9"/>
    <x v="275"/>
    <x v="43"/>
    <s v="Chennai"/>
    <s v="PA Patel, ML Hayden, SK Raina, M Vijay, S Badrinath, JA Morkel, MS Gony, R Ashwin, JM Kemp, L Balaji, M Muralitharan"/>
    <s v="RS Bopara, IK Pathan, KC Sangakkara, DPMD Jayawardene, Yuvraj Singh, M Kaif, MS Bisla, PP Chawla, J Theron, RR Powar, SJ Srivastava"/>
  </r>
  <r>
    <n v="419118"/>
    <s v="Rajasthan Royals"/>
    <s v="Kolkata Knight Riders"/>
    <x v="15"/>
    <n v="2010"/>
    <d v="2010-03-20T00:00:00"/>
    <x v="7"/>
    <x v="1"/>
    <s v="Win"/>
    <s v="NA"/>
    <x v="7"/>
    <x v="276"/>
    <x v="44"/>
    <s v="Ahmedabad"/>
    <s v="MJ Lumb, NV Ojha, FY Fazal, AA Jhunjhunwala, YK Pathan, AC Voges, P Dogra, SK Warne, MM Patel, SK Trivedi, SW Tait"/>
    <s v="MK Tiwary, BJ Hodge, CA Pujara, SC Ganguly, OA Shah, AD Mathews, WP Saha, M Kartik, AB Dinda, SE Bond, I Sharma"/>
  </r>
  <r>
    <n v="419119"/>
    <s v="Mumbai Indians"/>
    <s v="Royal Challengers Bangalore"/>
    <x v="15"/>
    <n v="2010"/>
    <d v="2010-03-20T00:00:00"/>
    <x v="1"/>
    <x v="1"/>
    <s v="Win"/>
    <s v="NA"/>
    <x v="11"/>
    <x v="213"/>
    <x v="42"/>
    <s v="Mumbai"/>
    <s v="ST Jayasuriya, SR Tendulkar, AP Tare, SS Tiwary, AT Rayudu, DJ Bravo, R Sathish, KA Pollard, Harbhajan Singh, Z Khan, SL Malinga"/>
    <s v="MK Pandey, JH Kallis, RV Uthappa, V Kohli, EJG Morgan, R Dravid, MV Boucher, P Kumar, A Kumble, DW Steyn, R Vinay Kumar"/>
  </r>
  <r>
    <n v="419116"/>
    <s v="Delhi Daredevils"/>
    <s v="Chennai Super Kings"/>
    <x v="15"/>
    <n v="2010"/>
    <d v="2010-03-19T00:00:00"/>
    <x v="12"/>
    <x v="1"/>
    <s v="Win"/>
    <s v="NA"/>
    <x v="3"/>
    <x v="277"/>
    <x v="35"/>
    <s v="Delhi"/>
    <s v="DA Warner, V Sehwag, TM Dilshan, KD Karthik, AB de Villiers, M Manhas, R Bhatia, A Mishra, PJ Sangwan, DP Nannes, UT Yadav"/>
    <s v="PA Patel, ML Hayden, S Badrinath, SK Raina, JA Morkel, JM Kemp, M Vijay, R Ashwin, L Balaji, M Muralitharan, Joginder Sharma"/>
  </r>
  <r>
    <n v="419117"/>
    <s v="Deccan Chargers"/>
    <s v="Kings XI Punjab"/>
    <x v="15"/>
    <n v="2010"/>
    <d v="2010-03-19T00:00:00"/>
    <x v="11"/>
    <x v="0"/>
    <s v="Win"/>
    <s v="NA"/>
    <x v="18"/>
    <x v="267"/>
    <x v="45"/>
    <s v="Cuttack"/>
    <s v="AC Gilchrist, VVS Laxman, HH Gibbs, A Symonds, RG Sharma, Anirudh Singh, TL Suman, WPUJC Vaas, Jaskaran Singh, RP Singh, PP Ojha"/>
    <s v="RS Bopara, MS Bisla, KC Sangakkara, Yuvraj Singh, DPMD Jayawardene, AB Barath, IK Pathan, PP Chawla, Bipul Sharma, S Sreesanth, SJ Srivastava"/>
  </r>
  <r>
    <n v="419115"/>
    <s v="Royal Challengers Bangalore"/>
    <s v="Rajasthan Royals"/>
    <x v="15"/>
    <n v="2010"/>
    <d v="2010-03-18T00:00:00"/>
    <x v="10"/>
    <x v="0"/>
    <s v="Win"/>
    <s v="NA"/>
    <x v="11"/>
    <x v="213"/>
    <x v="34"/>
    <s v="Bangalore"/>
    <s v="MK Pandey, JH Kallis, RV Uthappa, V Kohli, R Dravid, EJG Morgan, MV Boucher, P Kumar, A Kumble, DW Steyn, R Vinay Kumar"/>
    <s v="NV Ojha, MJ Lumb, DR Martyn, AA Jhunjhunwala, YK Pathan, P Dogra, S Narwal, SK Warne, M Morkel, MM Patel, SK Trivedi"/>
  </r>
  <r>
    <n v="419114"/>
    <s v="Delhi Daredevils"/>
    <s v="Mumbai Indians"/>
    <x v="15"/>
    <n v="2010"/>
    <d v="2010-03-17T00:00:00"/>
    <x v="12"/>
    <x v="0"/>
    <s v="Win"/>
    <s v="NA"/>
    <x v="2"/>
    <x v="221"/>
    <x v="35"/>
    <s v="Delhi"/>
    <s v="TM Dilshan, V Sehwag, AB de Villiers, MF Maharoof, KD Karthik, M Manhas, A Mishra, PJ Sangwan, S Ladda, DP Nannes, G Gambhir"/>
    <s v="ST Jayasuriya, SR Tendulkar, AP Tare, SS Tiwary, AT Rayudu, KA Pollard, DJ Bravo, R Sathish, Harbhajan Singh, Z Khan, SL Malinga"/>
  </r>
  <r>
    <n v="419112"/>
    <s v="Royal Challengers Bangalore"/>
    <s v="Kings XI Punjab"/>
    <x v="15"/>
    <n v="2010"/>
    <d v="2010-03-16T00:00:00"/>
    <x v="11"/>
    <x v="1"/>
    <s v="Win"/>
    <s v="NA"/>
    <x v="11"/>
    <x v="213"/>
    <x v="34"/>
    <s v="Bangalore"/>
    <s v="MK Pandey, JH Kallis, RV Uthappa, V Kohli, R Dravid, EJG Morgan, MV Boucher, P Kumar, A Kumble, DW Steyn, R Vinay Kumar"/>
    <s v="RS Bopara, MS Bisla, Yuvraj Singh, DPMD Jayawardene, IK Pathan, KC Sangakkara, M Kaif, PP Chawla, Bipul Sharma, YA Abdulla, S Sreesanth"/>
  </r>
  <r>
    <n v="419113"/>
    <s v="Kolkata Knight Riders"/>
    <s v="Chennai Super Kings"/>
    <x v="15"/>
    <n v="2010"/>
    <d v="2010-03-16T00:00:00"/>
    <x v="3"/>
    <x v="1"/>
    <s v="Win"/>
    <s v="NA"/>
    <x v="3"/>
    <x v="37"/>
    <x v="29"/>
    <s v="Kolkata"/>
    <s v="BJ Hodge, MK Tiwary, SC Ganguly, WP Saha, OA Shah, AD Mathews, LR Shukla, RS Gavaskar, SE Bond, M Kartik, I Sharma"/>
    <s v="M Vijay, ML Hayden, SK Raina, S Badrinath, MS Dhoni, JM Kemp, JA Morkel, R Ashwin, L Balaji, M Muralitharan, MS Gony"/>
  </r>
  <r>
    <n v="419111"/>
    <s v="Rajasthan Royals"/>
    <s v="Delhi Daredevils"/>
    <x v="15"/>
    <n v="2010"/>
    <d v="2010-03-15T00:00:00"/>
    <x v="12"/>
    <x v="0"/>
    <s v="Win"/>
    <s v="NA"/>
    <x v="13"/>
    <x v="208"/>
    <x v="44"/>
    <s v="Ahmedabad"/>
    <s v="SA Asnodkar, GC Smith, NV Ojha, YK Pathan, AA Jhunjhunwala, P Dogra, AD Mascarenhas, A Uniyal, SK Warne, SW Tait, MM Patel"/>
    <s v="G Gambhir, V Sehwag, TM Dilshan, AB de Villiers, KD Karthik, M Manhas, MF Maharoof, A Mishra, S Ladda, PJ Sangwan, DP Nannes"/>
  </r>
  <r>
    <n v="419109"/>
    <s v="Kolkata Knight Riders"/>
    <s v="Royal Challengers Bangalore"/>
    <x v="15"/>
    <n v="2010"/>
    <d v="2010-03-14T00:00:00"/>
    <x v="8"/>
    <x v="0"/>
    <s v="Win"/>
    <s v="NA"/>
    <x v="10"/>
    <x v="256"/>
    <x v="29"/>
    <s v="Kolkata"/>
    <s v="BJ Hodge, MK Tiwary, SC Ganguly, CA Pujara, OA Shah, RS Gavaskar, AD Mathews, WP Saha, M Kartik, CK Langeveldt, I Sharma"/>
    <s v="JH Kallis, SP Goswami, MK Pandey, V Kohli, EJG Morgan, R Dravid, RV Uthappa, RE van der Merwe, P Kumar, A Kumble, DW Steyn"/>
  </r>
  <r>
    <n v="419110"/>
    <s v="Chennai Super Kings"/>
    <s v="Deccan Chargers"/>
    <x v="15"/>
    <n v="2010"/>
    <d v="2010-03-14T00:00:00"/>
    <x v="17"/>
    <x v="1"/>
    <s v="Win"/>
    <s v="NA"/>
    <x v="18"/>
    <x v="278"/>
    <x v="43"/>
    <s v="Chennai"/>
    <s v="M Vijay, ML Hayden, SK Raina, S Badrinath, JM Kemp, MS Dhoni, JA Morkel, R Ashwin, L Balaji, M Muralitharan, S Tyagi"/>
    <s v="AC Gilchrist, VVS Laxman, HH Gibbs, A Symonds, RG Sharma, TL Suman, Anirudh Singh, WPUJC Vaas, Jaskaran Singh, RP Singh, PP Ojha"/>
  </r>
  <r>
    <n v="419107"/>
    <s v="Mumbai Indians"/>
    <s v="Rajasthan Royals"/>
    <x v="15"/>
    <n v="2010"/>
    <d v="2010-03-13T00:00:00"/>
    <x v="1"/>
    <x v="1"/>
    <s v="Win"/>
    <s v="NA"/>
    <x v="2"/>
    <x v="189"/>
    <x v="42"/>
    <s v="Mumbai"/>
    <s v="ST Jayasuriya, SR Tendulkar, AP Tare, SS Tiwary, AT Rayudu, R Sathish, Harbhajan Singh, R McLaren, Z Khan, SL Malinga, AG Murtaza"/>
    <s v="GC Smith, SA Asnodkar, NV Ojha, AA Jhunjhunwala, YK Pathan, P Dogra, AD Mascarenhas, A Uniyal, SK Warne, Kamran Khan, SW Tait"/>
  </r>
  <r>
    <n v="419108"/>
    <s v="Kings XI Punjab"/>
    <s v="Delhi Daredevils"/>
    <x v="15"/>
    <n v="2010"/>
    <d v="2010-03-13T00:00:00"/>
    <x v="12"/>
    <x v="0"/>
    <s v="Win"/>
    <s v="NA"/>
    <x v="13"/>
    <x v="178"/>
    <x v="41"/>
    <s v="Chandigarh"/>
    <s v="RS Bopara, MS Bisla, KC Sangakkara, Yuvraj Singh, DPMD Jayawardene, IK Pathan, M Kaif, PP Chawla, RR Powar, S Sreesanth, YA Abdulla"/>
    <s v="G Gambhir, V Sehwag, TM Dilshan, AB de Villiers, KD Karthik, M Manhas, MF Maharoof, A Mishra, PJ Sangwan, VY Mahesh, DP Nannes"/>
  </r>
  <r>
    <n v="419106"/>
    <s v="Deccan Chargers"/>
    <s v="Kolkata Knight Riders"/>
    <x v="15"/>
    <n v="2010"/>
    <d v="2010-03-12T00:00:00"/>
    <x v="17"/>
    <x v="0"/>
    <s v="Win"/>
    <s v="NA"/>
    <x v="10"/>
    <x v="279"/>
    <x v="48"/>
    <s v="Mumbai"/>
    <s v="AC Gilchrist, VVS Laxman, HH Gibbs, A Symonds, RG Sharma, Anirudh Singh, TL Suman, WPUJC Vaas, Jaskaran Singh, RP Singh, PP Ojha"/>
    <s v="MK Tiwary, BJ Hodge, SC Ganguly, CA Pujara, OA Shah, AD Mathews, WP Saha, LR Shukla, M Kartik, CK Langeveldt, I Sharma"/>
  </r>
  <r>
    <n v="392239"/>
    <s v="Royal Challengers Bangalore"/>
    <s v="Deccan Chargers"/>
    <x v="16"/>
    <n v="2009"/>
    <d v="2009-05-24T00:00:00"/>
    <x v="10"/>
    <x v="0"/>
    <s v="Win"/>
    <s v="NA"/>
    <x v="18"/>
    <x v="265"/>
    <x v="51"/>
    <s v="Johannesburg"/>
    <s v="JH Kallis, MK Pandey, RE van der Merwe, R Dravid, LRPL Taylor, V Kohli, MV Boucher, RV Uthappa, P Kumar, R Vinay Kumar, A Kumble"/>
    <s v="AC Gilchrist, HH Gibbs, TL Suman, A Symonds, RG Sharma, Y Venugopal Rao, AA Bilakhia, RJ Harris, PP Ojha, Harmeet Singh, RP Singh"/>
  </r>
  <r>
    <n v="392238"/>
    <s v="Royal Challengers Bangalore"/>
    <s v="Chennai Super Kings"/>
    <x v="16"/>
    <n v="2009"/>
    <d v="2009-05-23T00:00:00"/>
    <x v="10"/>
    <x v="0"/>
    <s v="Win"/>
    <s v="NA"/>
    <x v="11"/>
    <x v="153"/>
    <x v="51"/>
    <s v="Johannesburg"/>
    <s v="JH Kallis, MK Pandey, RE van der Merwe, R Dravid, V Kohli, LRPL Taylor, RV Uthappa, MV Boucher, P Kumar, R Vinay Kumar, A Kumble"/>
    <s v="PA Patel, ML Hayden, MS Dhoni, SK Raina, JA Morkel, JDP Oram, S Badrinath, SB Jakati, L Balaji, M Muralitharan, MS Gony"/>
  </r>
  <r>
    <n v="392237"/>
    <s v="Delhi Daredevils"/>
    <s v="Deccan Chargers"/>
    <x v="16"/>
    <n v="2009"/>
    <d v="2009-05-22T00:00:00"/>
    <x v="17"/>
    <x v="0"/>
    <s v="Win"/>
    <s v="NA"/>
    <x v="18"/>
    <x v="218"/>
    <x v="52"/>
    <s v="Centurion"/>
    <s v="G Gambhir, DA Warner, V Sehwag, TM Dilshan, AB de Villiers, KD Karthik, R Bhatia, A Mishra, PJ Sangwan, DP Nannes, A Nehra"/>
    <s v="AC Gilchrist, HH Gibbs, AA Bilakhia, TL Suman, A Symonds, RG Sharma, Y Venugopal Rao, RJ Harris, PP Ojha, Harmeet Singh, RP Singh"/>
  </r>
  <r>
    <n v="392235"/>
    <s v="Delhi Daredevils"/>
    <s v="Mumbai Indians"/>
    <x v="16"/>
    <n v="2009"/>
    <d v="2009-05-21T00:00:00"/>
    <x v="12"/>
    <x v="0"/>
    <s v="Win"/>
    <s v="NA"/>
    <x v="13"/>
    <x v="208"/>
    <x v="52"/>
    <s v="Centurion"/>
    <s v="G Gambhir, DA Warner, V Sehwag, TM Dilshan, R Bhatia, AB de Villiers, KD Karthik, A Mishra, AM Salvi, DP Nannes, PJ Sangwan"/>
    <s v="ST Jayasuriya, SR Tendulkar, JP Duminy, Mohammad Ashraful, AM Rahane, AM Nayar, PR Shah, Harbhajan Singh, SL Malinga, DS Kulkarni, RA Shaikh"/>
  </r>
  <r>
    <n v="392236"/>
    <s v="Royal Challengers Bangalore"/>
    <s v="Deccan Chargers"/>
    <x v="16"/>
    <n v="2009"/>
    <d v="2009-05-21T00:00:00"/>
    <x v="10"/>
    <x v="1"/>
    <s v="Win"/>
    <s v="NA"/>
    <x v="11"/>
    <x v="153"/>
    <x v="52"/>
    <s v="Centurion"/>
    <s v="JH Kallis, MK Pandey, RE van der Merwe, R Dravid, LRPL Taylor, V Kohli, RV Uthappa, MV Boucher, P Kumar, B Akhil, A Kumble"/>
    <s v="AC Gilchrist, HH Gibbs, TL Suman, A Symonds, RG Sharma, Y Venugopal Rao, AA Bilakhia, RJ Harris, Jaskaran Singh, RP Singh, PP Ojha"/>
  </r>
  <r>
    <n v="392233"/>
    <s v="Kolkata Knight Riders"/>
    <s v="Rajasthan Royals"/>
    <x v="16"/>
    <n v="2009"/>
    <d v="2009-05-20T00:00:00"/>
    <x v="8"/>
    <x v="0"/>
    <s v="Win"/>
    <s v="NA"/>
    <x v="10"/>
    <x v="280"/>
    <x v="53"/>
    <s v="Durban"/>
    <s v="BB McCullum, SC Ganguly, BJ Hodge, Yashpal Singh, DJ Hussey, LR Shukla, SS Shaikh, AB Agarkar, CK Langeveldt, AB Dinda, SS Sarkar"/>
    <s v="NV Ojha, RJ Quiney, SA Asnodkar, NK Patel, J Botha, YK Pathan, RA Jadeja, T Henderson, SK Warne, MM Patel, A Singh"/>
  </r>
  <r>
    <n v="392234"/>
    <s v="Chennai Super Kings"/>
    <s v="Kings XI Punjab"/>
    <x v="16"/>
    <n v="2009"/>
    <d v="2009-05-20T00:00:00"/>
    <x v="3"/>
    <x v="1"/>
    <s v="Win"/>
    <s v="NA"/>
    <x v="3"/>
    <x v="281"/>
    <x v="53"/>
    <s v="Durban"/>
    <s v="GJ Bailey, PA Patel, SK Raina, S Badrinath, MS Dhoni, JDP Oram, MS Gony, R Ashwin, T Thushara, L Balaji, M Muralitharan"/>
    <s v="S Sohal, SM Katich, LA Pomersbach, Yuvraj Singh, KC Sangakkara, WA Mota, IK Pathan, B Lee, PP Chawla, RR Powar, S Sreesanth"/>
  </r>
  <r>
    <n v="392232"/>
    <s v="Royal Challengers Bangalore"/>
    <s v="Delhi Daredevils"/>
    <x v="16"/>
    <n v="2009"/>
    <d v="2009-05-19T00:00:00"/>
    <x v="12"/>
    <x v="1"/>
    <s v="Win"/>
    <s v="NA"/>
    <x v="11"/>
    <x v="213"/>
    <x v="51"/>
    <s v="Johannesburg"/>
    <s v="RV Uthappa, JH Kallis, R Dravid, LRPL Taylor, MV Boucher, V Kohli, RE van der Merwe, P Kumar, B Akhil, A Kumble, MK Pandey"/>
    <s v="G Gambhir, V Sehwag, M Manhas, AB de Villiers, KD Karthik, AB McDonald, Y Nagar, MF Maharoof, DL Vettori, AM Salvi, A Nehra"/>
  </r>
  <r>
    <n v="392231"/>
    <s v="Chennai Super Kings"/>
    <s v="Kolkata Knight Riders"/>
    <x v="16"/>
    <n v="2009"/>
    <d v="2009-05-18T00:00:00"/>
    <x v="3"/>
    <x v="1"/>
    <s v="Win"/>
    <s v="NA"/>
    <x v="10"/>
    <x v="214"/>
    <x v="52"/>
    <s v="Centurion"/>
    <s v="PA Patel, GJ Bailey, SK Raina, MS Dhoni, JA Morkel, S Badrinath, JDP Oram, SB Jakati, L Balaji, M Muralitharan, S Tyagi"/>
    <s v="BB McCullum, SC Ganguly, BJ Hodge, DJ Hussey, WP Saha, LR Shukla, AB Agarkar, Anureet Singh, M Kartik, AB Dinda, BAW Mendis"/>
  </r>
  <r>
    <n v="392229"/>
    <s v="Deccan Chargers"/>
    <s v="Kings XI Punjab"/>
    <x v="16"/>
    <n v="2009"/>
    <d v="2009-05-17T00:00:00"/>
    <x v="17"/>
    <x v="0"/>
    <s v="Win"/>
    <s v="NA"/>
    <x v="12"/>
    <x v="186"/>
    <x v="51"/>
    <s v="Johannesburg"/>
    <s v="AC Gilchrist, HH Gibbs, TL Suman, A Symonds, RG Sharma, Y Venugopal Rao, DB Ravi Teja, RJ Harris, RP Singh, Jaskaran Singh, PP Ojha"/>
    <s v="S Sohal, SM Katich, LA Pomersbach, Yuvraj Singh, KC Sangakkara, WA Mota, IK Pathan, B Lee, PP Chawla, RR Powar, S Sreesanth"/>
  </r>
  <r>
    <n v="392230"/>
    <s v="Delhi Daredevils"/>
    <s v="Rajasthan Royals"/>
    <x v="16"/>
    <n v="2009"/>
    <d v="2009-05-17T00:00:00"/>
    <x v="12"/>
    <x v="1"/>
    <s v="Win"/>
    <s v="NA"/>
    <x v="13"/>
    <x v="142"/>
    <x v="54"/>
    <s v="Bloemfontein"/>
    <s v="G Gambhir, V Sehwag, AB de Villiers, TM Dilshan, KD Karthik, A Mishra, M Manhas, MF Maharoof, AM Salvi, A Nehra, DP Nannes"/>
    <s v="RJ Quiney, GC Smith, NV Ojha, J Botha, RA Jadeja, YK Pathan, AS Raut, SK Warne, A Singh, SK Trivedi, MM Patel"/>
  </r>
  <r>
    <n v="392227"/>
    <s v="Chennai Super Kings"/>
    <s v="Mumbai Indians"/>
    <x v="16"/>
    <n v="2009"/>
    <d v="2009-05-16T00:00:00"/>
    <x v="1"/>
    <x v="1"/>
    <s v="Win"/>
    <s v="NA"/>
    <x v="3"/>
    <x v="277"/>
    <x v="55"/>
    <s v="Port Elizabeth"/>
    <s v="PA Patel, ML Hayden, SK Raina, S Badrinath, MS Dhoni, JDP Oram, JA Morkel, SB Jakati, L Balaji, M Muralitharan, S Tyagi"/>
    <s v="ST Jayasuriya, DJ Bravo, JP Duminy, SR Tendulkar, AM Nayar, Harbhajan Singh, YV Takawale, AM Rahane, DS Kulkarni, SL Malinga, C Nanda"/>
  </r>
  <r>
    <n v="392228"/>
    <s v="Deccan Chargers"/>
    <s v="Kolkata Knight Riders"/>
    <x v="16"/>
    <n v="2009"/>
    <d v="2009-05-16T00:00:00"/>
    <x v="17"/>
    <x v="0"/>
    <s v="Win"/>
    <s v="NA"/>
    <x v="18"/>
    <x v="2"/>
    <x v="51"/>
    <s v="Johannesburg"/>
    <s v="AC Gilchrist, HH Gibbs, TL Suman, A Symonds, RG Sharma, Y Venugopal Rao, DB Ravi Teja, RJ Harris, Harmeet Singh, RP Singh, PP Ojha"/>
    <s v="BB McCullum, SC Ganguly, BJ Hodge, DJ Hussey, WP Saha, Mashrafe Mortaza, AB Agarkar, Yashpal Singh, M Kartik, I Sharma, SS Shaikh"/>
  </r>
  <r>
    <n v="392226"/>
    <s v="Delhi Daredevils"/>
    <s v="Kings XI Punjab"/>
    <x v="16"/>
    <n v="2009"/>
    <d v="2009-05-15T00:00:00"/>
    <x v="11"/>
    <x v="0"/>
    <s v="Win"/>
    <s v="NA"/>
    <x v="12"/>
    <x v="236"/>
    <x v="54"/>
    <s v="Bloemfontein"/>
    <s v="G Gambhir, V Sehwag, TM Dilshan, AB de Villiers, M Manhas, KD Karthik, MF Maharoof, DL Vettori, R Bhatia, PJ Sangwan, A Nehra"/>
    <s v="S Sohal, SM Katich, LA Pomersbach, Yuvraj Singh, KC Sangakkara, IK Pathan, B Lee, PP Chawla, RR Powar, WA Mota, S Sreesanth"/>
  </r>
  <r>
    <n v="392224"/>
    <s v="Royal Challengers Bangalore"/>
    <s v="Chennai Super Kings"/>
    <x v="16"/>
    <n v="2009"/>
    <d v="2009-05-14T00:00:00"/>
    <x v="3"/>
    <x v="1"/>
    <s v="Win"/>
    <s v="NA"/>
    <x v="11"/>
    <x v="254"/>
    <x v="53"/>
    <s v="Durban"/>
    <s v="RV Uthappa, JH Kallis, R Dravid, LRPL Taylor, V Kohli, MV Boucher, RE van der Merwe, B Akhil, P Kumar, R Vinay Kumar, A Kumble"/>
    <s v="M Vijay, ML Hayden, SK Raina, MS Dhoni, JDP Oram, S Badrinath, JA Morkel, SB Jakati, L Balaji, M Muralitharan, S Tyagi"/>
  </r>
  <r>
    <n v="392225"/>
    <s v="Mumbai Indians"/>
    <s v="Rajasthan Royals"/>
    <x v="16"/>
    <n v="2009"/>
    <d v="2009-05-14T00:00:00"/>
    <x v="7"/>
    <x v="1"/>
    <s v="Win"/>
    <s v="NA"/>
    <x v="7"/>
    <x v="258"/>
    <x v="53"/>
    <s v="Durban"/>
    <s v="DJ Bravo, YV Takawale, AM Rahane, ST Jayasuriya, SR Tendulkar, JP Duminy, AM Nayar, Harbhajan Singh, DS Kulkarni, C Nanda, SL Malinga"/>
    <s v="RJ Quiney, GC Smith, YK Pathan, RA Jadeja, SD Chitnis, NV Ojha, J Botha, SK Warne, AS Raut, MM Patel, SK Trivedi"/>
  </r>
  <r>
    <n v="392223"/>
    <s v="Deccan Chargers"/>
    <s v="Delhi Daredevils"/>
    <x v="16"/>
    <n v="2009"/>
    <d v="2009-05-13T00:00:00"/>
    <x v="17"/>
    <x v="0"/>
    <s v="Win"/>
    <s v="NA"/>
    <x v="13"/>
    <x v="282"/>
    <x v="53"/>
    <s v="Durban"/>
    <s v="TL Suman, AC Gilchrist, RG Sharma, DB Ravi Teja, A Symonds, DR Smith, Y Venugopal Rao, WPUJC Vaas, RP Singh, PP Ojha, Shoaib Ahmed"/>
    <s v="G Gambhir, DA Warner, TM Dilshan, AB de Villiers, V Sehwag, KD Karthik, R Bhatia, A Mishra, PJ Sangwan, A Nehra, DP Nannes"/>
  </r>
  <r>
    <n v="392221"/>
    <s v="Royal Challengers Bangalore"/>
    <s v="Kolkata Knight Riders"/>
    <x v="16"/>
    <n v="2009"/>
    <d v="2009-05-12T00:00:00"/>
    <x v="10"/>
    <x v="0"/>
    <s v="Win"/>
    <s v="NA"/>
    <x v="11"/>
    <x v="254"/>
    <x v="52"/>
    <s v="Centurion"/>
    <s v="JD Ryder, JH Kallis, RV Uthappa, LRPL Taylor, R Dravid, MV Boucher, V Kohli, B Akhil, KP Appanna, R Vinay Kumar, A Kumble"/>
    <s v="BB McCullum, SC Ganguly, AN Ghosh, DJ Hussey, AD Mathews, WP Saha, Yashpal Singh, AB Agarkar, M Kartik, I Sharma, BAW Mendis"/>
  </r>
  <r>
    <n v="392222"/>
    <s v="Kings XI Punjab"/>
    <s v="Mumbai Indians"/>
    <x v="16"/>
    <n v="2009"/>
    <d v="2009-05-12T00:00:00"/>
    <x v="11"/>
    <x v="1"/>
    <s v="Win"/>
    <s v="NA"/>
    <x v="2"/>
    <x v="164"/>
    <x v="52"/>
    <s v="Centurion"/>
    <s v="S Sohal, SM Katich, IK Pathan, KC Sangakkara, Yuvraj Singh, WA Mota, LA Pomersbach, K Goel, B Lee, PP Chawla, S Sreesanth"/>
    <s v="ST Jayasuriya, DJ Bravo, AM Rahane, SR Tendulkar, JP Duminy, AM Nayar, Harbhajan Singh, RR Raje, YV Takawale, DS Kulkarni, SL Malinga"/>
  </r>
  <r>
    <n v="392220"/>
    <s v="Deccan Chargers"/>
    <s v="Rajasthan Royals"/>
    <x v="16"/>
    <n v="2009"/>
    <d v="2009-05-11T00:00:00"/>
    <x v="17"/>
    <x v="1"/>
    <s v="Win"/>
    <s v="NA"/>
    <x v="18"/>
    <x v="176"/>
    <x v="56"/>
    <s v="Kimberley"/>
    <s v="TL Suman, AC Gilchrist, RG Sharma, A Symonds, DR Smith, WPUJC Vaas, Y Venugopal Rao, DB Ravi Teja, RP Singh, PP Ojha, Shoaib Ahmed"/>
    <s v="GC Smith, SA Asnodkar, LA Carseldine, NV Ojha, YK Pathan, RA Jadeja, AS Raut, M Morkel, SK Warne, SK Trivedi, MM Patel"/>
  </r>
  <r>
    <n v="392218"/>
    <s v="Royal Challengers Bangalore"/>
    <s v="Mumbai Indians"/>
    <x v="16"/>
    <n v="2009"/>
    <d v="2009-05-10T00:00:00"/>
    <x v="1"/>
    <x v="1"/>
    <s v="Win"/>
    <s v="NA"/>
    <x v="2"/>
    <x v="203"/>
    <x v="55"/>
    <s v="Port Elizabeth"/>
    <s v="JH Kallis, V Kohli, RV Uthappa, LRPL Taylor, R Dravid, MV Boucher, RE van der Merwe, R Vinay Kumar, A Kumble, KP Appanna, A Mithun"/>
    <s v="ST Jayasuriya, SR Tendulkar, AM Rahane, JP Duminy, AM Nayar, DJ Bravo, Harbhajan Singh, YV Takawale, C Nanda, DS Kulkarni, SL Malinga"/>
  </r>
  <r>
    <n v="392219"/>
    <s v="Delhi Daredevils"/>
    <s v="Kolkata Knight Riders"/>
    <x v="16"/>
    <n v="2009"/>
    <d v="2009-05-10T00:00:00"/>
    <x v="12"/>
    <x v="0"/>
    <s v="Win"/>
    <s v="NA"/>
    <x v="13"/>
    <x v="145"/>
    <x v="51"/>
    <s v="Johannesburg"/>
    <s v="G Gambhir, DA Warner, AB de Villiers, TM Dilshan, KD Karthik, M Manhas, R Bhatia, A Mishra, PJ Sangwan, A Nehra, DP Nannes"/>
    <s v="BB McCullum, SC Ganguly, BJ Hodge, MN van Wyk, Yashpal Singh, WP Saha, MC Henriques, AB Agarkar, M Kartik, I Sharma, SS Sarkar"/>
  </r>
  <r>
    <n v="392217"/>
    <s v="Chennai Super Kings"/>
    <s v="Rajasthan Royals"/>
    <x v="16"/>
    <n v="2009"/>
    <d v="2009-05-09T00:00:00"/>
    <x v="7"/>
    <x v="1"/>
    <s v="Win"/>
    <s v="NA"/>
    <x v="3"/>
    <x v="283"/>
    <x v="56"/>
    <s v="Kimberley"/>
    <s v="M Vijay, ML Hayden, SK Raina, S Badrinath, JDP Oram, MS Dhoni, JA Morkel, S Tyagi, SB Jakati, L Balaji, M Muralitharan"/>
    <s v="GC Smith, NV Ojha, SA Asnodkar, RA Jadeja, YK Pathan, LA Carseldine, AS Raut, SK Warne, SM Harwood, A Singh, SK Trivedi"/>
  </r>
  <r>
    <n v="392216"/>
    <s v="Deccan Chargers"/>
    <s v="Kings XI Punjab"/>
    <x v="16"/>
    <n v="2009"/>
    <d v="2009-05-09T00:00:00"/>
    <x v="11"/>
    <x v="0"/>
    <s v="Win"/>
    <s v="NA"/>
    <x v="12"/>
    <x v="259"/>
    <x v="56"/>
    <s v="Kimberley"/>
    <s v="AC Gilchrist, HH Gibbs, TL Suman, RG Sharma, A Symonds, Y Venugopal Rao, DB Ravi Teja, PP Ojha, Shoaib Ahmed, RP Singh, RJ Harris"/>
    <s v="S Sohal, SM Katich, KC Sangakkara, Yuvraj Singh, DPMD Jayawardene, IK Pathan, WA Mota, B Lee, PP Chawla, RR Powar, S Sreesanth"/>
  </r>
  <r>
    <n v="392215"/>
    <s v="Delhi Daredevils"/>
    <s v="Mumbai Indians"/>
    <x v="16"/>
    <n v="2009"/>
    <d v="2009-05-08T00:00:00"/>
    <x v="1"/>
    <x v="1"/>
    <s v="Win"/>
    <s v="NA"/>
    <x v="13"/>
    <x v="192"/>
    <x v="57"/>
    <s v="East London"/>
    <s v="G Gambhir, DA Warner, TM Dilshan, AB de Villiers, KD Karthik, M Manhas, R Bhatia, A Mishra, PJ Sangwan, A Nehra, DP Nannes"/>
    <s v="L Ronchi, JP Duminy, PR Shah, SR Tendulkar, AM Nayar, DJ Bravo, Harbhajan Singh, AM Rahane, RR Raje, DS Kulkarni, SL Malinga"/>
  </r>
  <r>
    <n v="392214"/>
    <s v="Chennai Super Kings"/>
    <s v="Kings XI Punjab"/>
    <x v="16"/>
    <n v="2009"/>
    <d v="2009-05-07T00:00:00"/>
    <x v="3"/>
    <x v="1"/>
    <s v="Win"/>
    <s v="NA"/>
    <x v="3"/>
    <x v="277"/>
    <x v="52"/>
    <s v="Centurion"/>
    <s v="S Badrinath, ML Hayden, SK Raina, MS Dhoni, JA Morkel, GJ Bailey, S Tyagi, SB Jakati, L Balaji, M Muralitharan, MS Gony"/>
    <s v="S Sohal, SM Katich, K Goel, Yuvraj Singh, DPMD Jayawardene, KC Sangakkara, IK Pathan, S Sreesanth, PP Chawla, YA Abdulla, VRV Singh"/>
  </r>
  <r>
    <n v="392213"/>
    <s v="Royal Challengers Bangalore"/>
    <s v="Rajasthan Royals"/>
    <x v="16"/>
    <n v="2009"/>
    <d v="2009-05-07T00:00:00"/>
    <x v="7"/>
    <x v="0"/>
    <s v="Win"/>
    <s v="NA"/>
    <x v="7"/>
    <x v="284"/>
    <x v="52"/>
    <s v="Centurion"/>
    <s v="JH Kallis, W Jaffer, RV Uthappa, R Dravid, V Kohli, MV Boucher, RE van der Merwe, D du Preez, P Kumar, R Vinay Kumar, A Kumble"/>
    <s v="GC Smith, NV Ojha, LA Carseldine, YK Pathan, RA Jadeja, AS Raut, NK Patel, SK Warne, M Morkel, MM Patel, A Singh"/>
  </r>
  <r>
    <n v="392212"/>
    <s v="Deccan Chargers"/>
    <s v="Mumbai Indians"/>
    <x v="16"/>
    <n v="2009"/>
    <d v="2009-05-06T00:00:00"/>
    <x v="17"/>
    <x v="1"/>
    <s v="Win"/>
    <s v="NA"/>
    <x v="18"/>
    <x v="2"/>
    <x v="52"/>
    <s v="Centurion"/>
    <s v="AC Gilchrist, HH Gibbs, TL Suman, RG Sharma, DR Smith, Y Venugopal Rao, DB Ravi Teja, RJ Harris, Shoaib Ahmed, RP Singh, Harmeet Singh"/>
    <s v="ST Jayasuriya, SR Tendulkar, PR Shah, JP Duminy, DJ Bravo, AM Nayar, Harbhajan Singh, SS Tiwary, RR Raje, DS Kulkarni, SL Malinga"/>
  </r>
  <r>
    <n v="392211"/>
    <s v="Delhi Daredevils"/>
    <s v="Kolkata Knight Riders"/>
    <x v="16"/>
    <n v="2009"/>
    <d v="2009-05-05T00:00:00"/>
    <x v="8"/>
    <x v="1"/>
    <s v="Win"/>
    <s v="NA"/>
    <x v="13"/>
    <x v="178"/>
    <x v="53"/>
    <s v="Durban"/>
    <s v="G Gambhir, DA Warner, TM Dilshan, AB de Villiers, KD Karthik, M Manhas, R Bhatia, A Mishra, PJ Sangwan, A Nehra, DP Nannes"/>
    <s v="MN van Wyk, BB McCullum, BJ Hodge, MC Henriques, WP Saha, SC Ganguly, Yashpal Singh, AB Agarkar, M Kartik, I Sharma, AB Dinda"/>
  </r>
  <r>
    <n v="392210"/>
    <s v="Kings XI Punjab"/>
    <s v="Rajasthan Royals"/>
    <x v="16"/>
    <n v="2009"/>
    <d v="2009-05-05T00:00:00"/>
    <x v="11"/>
    <x v="0"/>
    <s v="Win"/>
    <s v="NA"/>
    <x v="7"/>
    <x v="285"/>
    <x v="53"/>
    <s v="Durban"/>
    <s v="S Sohal, KC Sangakkara, K Goel, SM Katich, DPMD Jayawardene, Yuvraj Singh, IK Pathan, PP Chawla, RR Powar, S Sreesanth, YA Abdulla"/>
    <s v="NV Ojha, GC Smith, YK Pathan, RA Jadeja, LA Carseldine, AS Raut, NK Patel, SK Warne, SM Harwood, SK Trivedi, A Singh"/>
  </r>
  <r>
    <n v="392209"/>
    <s v="Chennai Super Kings"/>
    <s v="Deccan Chargers"/>
    <x v="16"/>
    <n v="2009"/>
    <d v="2009-05-04T00:00:00"/>
    <x v="3"/>
    <x v="1"/>
    <s v="Win"/>
    <s v="NA"/>
    <x v="3"/>
    <x v="37"/>
    <x v="57"/>
    <s v="East London"/>
    <s v="M Vijay, ML Hayden, MS Dhoni, SK Raina, JA Morkel, JDP Oram, S Badrinath, S Tyagi, SB Jakati, L Balaji, M Muralitharan"/>
    <s v="AC Gilchrist, HH Gibbs, VVS Laxman, RG Sharma, DR Smith, TL Suman, Y Venugopal Rao, RJ Harris, RP Singh, Shoaib Ahmed, PP Ojha"/>
  </r>
  <r>
    <n v="392207"/>
    <s v="Kings XI Punjab"/>
    <s v="Kolkata Knight Riders"/>
    <x v="16"/>
    <n v="2009"/>
    <d v="2009-05-03T00:00:00"/>
    <x v="8"/>
    <x v="1"/>
    <s v="Win"/>
    <s v="NA"/>
    <x v="12"/>
    <x v="259"/>
    <x v="55"/>
    <s v="Port Elizabeth"/>
    <s v="S Sohal, KC Sangakkara, SM Katich, DPMD Jayawardene, Yuvraj Singh, IK Pathan, RR Powar, TM Srivastava, VS Malik, PP Chawla, YA Abdulla"/>
    <s v="BB McCullum, CH Gayle, BJ Hodge, SC Ganguly, MN van Wyk, WP Saha, LR Shukla, AB Agarkar, M Kartik, I Sharma, AB Dinda"/>
  </r>
  <r>
    <n v="392208"/>
    <s v="Royal Challengers Bangalore"/>
    <s v="Mumbai Indians"/>
    <x v="16"/>
    <n v="2009"/>
    <d v="2009-05-03T00:00:00"/>
    <x v="1"/>
    <x v="1"/>
    <s v="Win"/>
    <s v="NA"/>
    <x v="11"/>
    <x v="213"/>
    <x v="51"/>
    <s v="Johannesburg"/>
    <s v="JH Kallis, W Jaffer, RV Uthappa, R Dravid, V Kohli, MV Boucher, RE van der Merwe, D du Preez, P Kumar, R Vinay Kumar, A Kumble"/>
    <s v="ST Jayasuriya, SR Tendulkar, AM Rahane, JP Duminy, DJ Bravo, AM Nayar, S Dhawan, PR Shah, Harbhajan Singh, Z Khan, SL Malinga"/>
  </r>
  <r>
    <n v="392206"/>
    <s v="Chennai Super Kings"/>
    <s v="Delhi Daredevils"/>
    <x v="16"/>
    <n v="2009"/>
    <d v="2009-05-02T00:00:00"/>
    <x v="12"/>
    <x v="0"/>
    <s v="Win"/>
    <s v="NA"/>
    <x v="3"/>
    <x v="286"/>
    <x v="51"/>
    <s v="Johannesburg"/>
    <s v="M Vijay, ML Hayden, SK Raina, S Badrinath, JA Morkel, MS Dhoni, JDP Oram, SB Jakati, L Balaji, M Muralitharan, S Tyagi"/>
    <s v="G Gambhir, DA Warner, AB de Villiers, TM Dilshan, KD Karthik, M Manhas, R Bhatia, PJ Sangwan, A Mishra, A Nehra, DP Nannes"/>
  </r>
  <r>
    <n v="392205"/>
    <s v="Deccan Chargers"/>
    <s v="Rajasthan Royals"/>
    <x v="16"/>
    <n v="2009"/>
    <d v="2009-05-02T00:00:00"/>
    <x v="17"/>
    <x v="1"/>
    <s v="Win"/>
    <s v="NA"/>
    <x v="7"/>
    <x v="189"/>
    <x v="55"/>
    <s v="Port Elizabeth"/>
    <s v="HH Gibbs, AC Gilchrist, AA Bilakhia, RG Sharma, TL Suman, DR Smith, Y Venugopal Rao, Shoaib Ahmed, PP Ojha, RP Singh, FH Edwards"/>
    <s v="GC Smith, SA Asnodkar, LA Carseldine, NV Ojha, RA Jadeja, SK Warne, AS Raut, YK Pathan, SM Harwood, SK Trivedi, MM Patel"/>
  </r>
  <r>
    <n v="392203"/>
    <s v="Kolkata Knight Riders"/>
    <s v="Mumbai Indians"/>
    <x v="16"/>
    <n v="2009"/>
    <d v="2009-05-01T00:00:00"/>
    <x v="1"/>
    <x v="1"/>
    <s v="Win"/>
    <s v="NA"/>
    <x v="2"/>
    <x v="203"/>
    <x v="57"/>
    <s v="East London"/>
    <s v="CH Gayle, SC Ganguly, BJ Hodge, MN van Wyk, LR Shukla, BB McCullum, WP Saha, AB Agarkar, M Kartik, I Sharma, AB Dinda"/>
    <s v="ST Jayasuriya, SR Tendulkar, Harbhajan Singh, AM Nayar, JP Duminy, GR Napier, AM Rahane, Z Khan, SS Tiwary, PR Shah, SL Malinga"/>
  </r>
  <r>
    <n v="392204"/>
    <s v="Royal Challengers Bangalore"/>
    <s v="Kings XI Punjab"/>
    <x v="16"/>
    <n v="2009"/>
    <d v="2009-05-01T00:00:00"/>
    <x v="10"/>
    <x v="1"/>
    <s v="Win"/>
    <s v="NA"/>
    <x v="11"/>
    <x v="186"/>
    <x v="53"/>
    <s v="Durban"/>
    <s v="JD Ryder, SP Goswami, R Bishnoi, JH Kallis, RV Uthappa, V Kohli, MV Boucher, RE van der Merwe, P Kumar, A Kumble, KP Appanna"/>
    <s v="Yuvraj Singh, K Goel, SM Katich, KC Sangakkara, DPMD Jayawardene, IK Pathan, PP Chawla, RR Powar, TM Srivastava, VS Malik, YA Abdulla"/>
  </r>
  <r>
    <n v="392202"/>
    <s v="Chennai Super Kings"/>
    <s v="Rajasthan Royals"/>
    <x v="16"/>
    <n v="2009"/>
    <d v="2009-04-30T00:00:00"/>
    <x v="7"/>
    <x v="0"/>
    <s v="Win"/>
    <s v="NA"/>
    <x v="3"/>
    <x v="183"/>
    <x v="52"/>
    <s v="Centurion"/>
    <s v="PA Patel, ML Hayden, SK Raina, S Badrinath, JDP Oram, MS Dhoni, JA Morkel, S Tyagi, SB Jakati, L Balaji, M Muralitharan"/>
    <s v="RJ Quiney, GC Smith, SA Asnodkar, RA Jadeja, YK Pathan, AD Mascarenhas, SK Warne, M Rawat, MM Patel, SK Trivedi, Kamran Khan"/>
  </r>
  <r>
    <n v="392201"/>
    <s v="Deccan Chargers"/>
    <s v="Delhi Daredevils"/>
    <x v="16"/>
    <n v="2009"/>
    <d v="2009-04-30T00:00:00"/>
    <x v="12"/>
    <x v="0"/>
    <s v="Win"/>
    <s v="NA"/>
    <x v="13"/>
    <x v="287"/>
    <x v="52"/>
    <s v="Centurion"/>
    <s v="AC Gilchrist, HH Gibbs, AA Bilakhia, RG Sharma, TL Suman, DR Smith, Y Venugopal Rao, Shoaib Ahmed, RP Singh, PP Ojha, FH Edwards"/>
    <s v="G Gambhir, V Sehwag, AB de Villiers, TM Dilshan, KD Karthik, M Manhas, DL Vettori, A Mishra, PJ Sangwan, A Nehra, DP Nannes"/>
  </r>
  <r>
    <n v="392200"/>
    <s v="Kings XI Punjab"/>
    <s v="Mumbai Indians"/>
    <x v="16"/>
    <n v="2009"/>
    <d v="2009-04-29T00:00:00"/>
    <x v="11"/>
    <x v="1"/>
    <s v="Win"/>
    <s v="NA"/>
    <x v="12"/>
    <x v="234"/>
    <x v="53"/>
    <s v="Durban"/>
    <s v="RS Bopara, K Goel, KC Sangakkara, Yuvraj Singh, DPMD Jayawardene, IK Pathan, WA Mota, PP Chawla, RR Powar, VS Malik, YA Abdulla"/>
    <s v="ST Jayasuriya, SR Tendulkar, S Dhawan, JP Duminy, DJ Bravo, AM Nayar, Harbhajan Singh, SS Tiwary, Z Khan, PR Shah, SL Malinga"/>
  </r>
  <r>
    <n v="392199"/>
    <s v="Royal Challengers Bangalore"/>
    <s v="Kolkata Knight Riders"/>
    <x v="16"/>
    <n v="2009"/>
    <d v="2009-04-29T00:00:00"/>
    <x v="8"/>
    <x v="1"/>
    <s v="Win"/>
    <s v="NA"/>
    <x v="11"/>
    <x v="288"/>
    <x v="53"/>
    <s v="Durban"/>
    <s v="JH Kallis, SP Goswami, KP Pietersen, V Kohli, MV Boucher, RE van der Merwe, MK Pandey, P Kumar, Pankaj Singh, A Kumble, KP Appanna"/>
    <s v="BB McCullum, CH Gayle, BJ Hodge, SC Ganguly, MN van Wyk, WP Saha, LR Shukla, AB Agarkar, M Kartik, I Sharma, AB Dinda"/>
  </r>
  <r>
    <n v="392198"/>
    <s v="Delhi Daredevils"/>
    <s v="Rajasthan Royals"/>
    <x v="16"/>
    <n v="2009"/>
    <d v="2009-04-28T00:00:00"/>
    <x v="12"/>
    <x v="1"/>
    <s v="Win"/>
    <s v="NA"/>
    <x v="7"/>
    <x v="189"/>
    <x v="52"/>
    <s v="Centurion"/>
    <s v="G Gambhir, V Sehwag, AB de Villiers, TM Dilshan, KD Karthik, DL Vettori, M Manhas, A Mishra, PJ Sangwan, A Nehra, DP Nannes"/>
    <s v="RJ Quiney, GC Smith, SA Asnodkar, PC Valthaty, RA Jadeja, SK Warne, YK Pathan, AD Mascarenhas, M Rawat, MM Patel, Kamran Khan"/>
  </r>
  <r>
    <n v="392197"/>
    <s v="Kolkata Knight Riders"/>
    <s v="Mumbai Indians"/>
    <x v="16"/>
    <n v="2009"/>
    <d v="2009-04-27T00:00:00"/>
    <x v="1"/>
    <x v="1"/>
    <s v="Win"/>
    <s v="NA"/>
    <x v="2"/>
    <x v="221"/>
    <x v="55"/>
    <s v="Port Elizabeth"/>
    <s v="BB McCullum, CH Gayle, BJ Hodge, SC Ganguly, Yashpal Singh, AN Ghosh, LR Shukla, I Sharma, BAW Mendis, AB Dinda, Anureet Singh"/>
    <s v="ST Jayasuriya, SR Tendulkar, Harbhajan Singh, JP Duminy, AM Nayar, DJ Bravo, S Dhawan, SS Tiwary, PR Shah, Z Khan, SL Malinga"/>
  </r>
  <r>
    <n v="392196"/>
    <s v="Chennai Super Kings"/>
    <s v="Deccan Chargers"/>
    <x v="16"/>
    <n v="2009"/>
    <d v="2009-04-27T00:00:00"/>
    <x v="17"/>
    <x v="0"/>
    <s v="Win"/>
    <s v="NA"/>
    <x v="18"/>
    <x v="289"/>
    <x v="53"/>
    <s v="Durban"/>
    <s v="PA Patel, ML Hayden, SK Raina, MS Dhoni, JDP Oram, JA Morkel, S Badrinath, MS Gony, Joginder Sharma, L Balaji, M Muralitharan"/>
    <s v="AC Gilchrist, HH Gibbs, VVS Laxman, RG Sharma, DR Smith, AA Bilakhia, Y Venugopal Rao, PP Ojha, RP Singh, FH Edwards, Shoaib Ahmed"/>
  </r>
  <r>
    <n v="392195"/>
    <s v="Kings XI Punjab"/>
    <s v="Rajasthan Royals"/>
    <x v="16"/>
    <n v="2009"/>
    <d v="2009-04-26T00:00:00"/>
    <x v="11"/>
    <x v="1"/>
    <s v="Win"/>
    <s v="NA"/>
    <x v="12"/>
    <x v="234"/>
    <x v="58"/>
    <s v="Cape Town"/>
    <s v="RS Bopara, K Goel, KC Sangakkara, Yuvraj Singh, DPMD Jayawardene, IK Pathan, PP Chawla, WA Mota, RR Powar, VRV Singh, YA Abdulla"/>
    <s v="SA Asnodkar, GC Smith, RJ Quiney, YK Pathan, AD Mascarenhas, RA Jadeja, AS Raut, SK Warne, M Rawat, MM Patel, Kamran Khan"/>
  </r>
  <r>
    <n v="392194"/>
    <s v="Royal Challengers Bangalore"/>
    <s v="Delhi Daredevils"/>
    <x v="16"/>
    <n v="2009"/>
    <d v="2009-04-26T00:00:00"/>
    <x v="10"/>
    <x v="1"/>
    <s v="Win"/>
    <s v="NA"/>
    <x v="13"/>
    <x v="290"/>
    <x v="55"/>
    <s v="Port Elizabeth"/>
    <s v="JH Kallis, RV Uthappa, KP Pietersen, LRPL Taylor, V Kohli, MV Boucher, B Akhil, R Vinay Kumar, Pankaj Singh, A Kumble, KP Appanna"/>
    <s v="G Gambhir, V Sehwag, TM Dilshan, AB de Villiers, KD Karthik, M Manhas, A Mishra, DL Vettori, DP Nannes, PJ Sangwan, A Nehra"/>
  </r>
  <r>
    <n v="392192"/>
    <s v="Deccan Chargers"/>
    <s v="Mumbai Indians"/>
    <x v="16"/>
    <n v="2009"/>
    <d v="2009-04-25T00:00:00"/>
    <x v="17"/>
    <x v="1"/>
    <s v="Win"/>
    <s v="NA"/>
    <x v="18"/>
    <x v="291"/>
    <x v="53"/>
    <s v="Durban"/>
    <s v="AC Gilchrist, HH Gibbs, DR Smith, RG Sharma, VVS Laxman, Y Venugopal Rao, DB Ravi Teja, RP Singh, FH Edwards, PP Ojha, Harmeet Singh"/>
    <s v="ST Jayasuriya, SR Tendulkar, JP Duminy, S Dhawan, DJ Bravo, AM Nayar, Harbhajan Singh, Z Khan, PR Shah, SL Malinga, DS Kulkarni"/>
  </r>
  <r>
    <n v="392191"/>
    <s v="Royal Challengers Bangalore"/>
    <s v="Kings XI Punjab"/>
    <x v="16"/>
    <n v="2009"/>
    <d v="2009-04-24T00:00:00"/>
    <x v="10"/>
    <x v="1"/>
    <s v="Win"/>
    <s v="NA"/>
    <x v="12"/>
    <x v="292"/>
    <x v="53"/>
    <s v="Durban"/>
    <s v="JD Ryder, RV Uthappa, JH Kallis, KP Pietersen, R Dravid, LRPL Taylor, V Kohli, P Kumar, R Vinay Kumar, Pankaj Singh, A Kumble"/>
    <s v="RS Bopara, K Goel, KC Sangakkara, Yuvraj Singh, DPMD Jayawardene, IK Pathan, WA Mota, PP Chawla, VRV Singh, RR Bose, YA Abdulla"/>
  </r>
  <r>
    <n v="392189"/>
    <s v="Chennai Super Kings"/>
    <s v="Delhi Daredevils"/>
    <x v="16"/>
    <n v="2009"/>
    <d v="2009-04-23T00:00:00"/>
    <x v="12"/>
    <x v="1"/>
    <s v="Win"/>
    <s v="NA"/>
    <x v="13"/>
    <x v="142"/>
    <x v="53"/>
    <s v="Durban"/>
    <s v="PA Patel, ML Hayden, SK Raina, MS Dhoni, A Flintoff, JA Morkel, S Badrinath, MS Gony, Joginder Sharma, L Balaji, M Muralitharan"/>
    <s v="G Gambhir, V Sehwag, AB de Villiers, TM Dilshan, KD Karthik, MK Tiwary, DL Vettori, DP Nannes, AM Salvi, PJ Sangwan, A Nehra"/>
  </r>
  <r>
    <n v="392190"/>
    <s v="Kolkata Knight Riders"/>
    <s v="Rajasthan Royals"/>
    <x v="16"/>
    <n v="2009"/>
    <d v="2009-04-23T00:00:00"/>
    <x v="8"/>
    <x v="0"/>
    <s v="tie"/>
    <s v="Rajasthan Royals"/>
    <x v="9"/>
    <x v="189"/>
    <x v="58"/>
    <s v="Cape Town"/>
    <s v="CH Gayle, BB McCullum, LR Shukla, BJ Hodge, SC Ganguly, SB Bangar, Yashpal Singh, AB Agarkar, I Sharma, BAW Mendis, Anureet Singh"/>
    <s v="GC Smith, PC Valthaty, RJ Quiney, YK Pathan, RA Jadeja, AD Mascarenhas, AS Raut, SK Warne, M Rawat, MM Patel, Kamran Khan"/>
  </r>
  <r>
    <n v="392188"/>
    <s v="Royal Challengers Bangalore"/>
    <s v="Deccan Chargers"/>
    <x v="16"/>
    <n v="2009"/>
    <d v="2009-04-22T00:00:00"/>
    <x v="17"/>
    <x v="1"/>
    <s v="Win"/>
    <s v="NA"/>
    <x v="18"/>
    <x v="218"/>
    <x v="58"/>
    <s v="Cape Town"/>
    <s v="JD Ryder, RV Uthappa, JH Kallis, KP Pietersen, R Dravid, V Kohli, R Bishnoi, KV Sharma, P Kumar, A Kumble, DW Steyn"/>
    <s v="AC Gilchrist, HH Gibbs, VVS Laxman, RG Sharma, SB Styris, Y Venugopal Rao, DB Ravi Teja, FH Edwards, Harmeet Singh, PP Ojha, RP Singh"/>
  </r>
  <r>
    <n v="392186"/>
    <s v="Kings XI Punjab"/>
    <s v="Kolkata Knight Riders"/>
    <x v="16"/>
    <n v="2009"/>
    <d v="2009-04-21T00:00:00"/>
    <x v="8"/>
    <x v="0"/>
    <s v="Win"/>
    <s v="NA"/>
    <x v="10"/>
    <x v="151"/>
    <x v="53"/>
    <s v="Durban"/>
    <s v="RS Bopara, K Goel, IK Pathan, KC Sangakkara, Yuvraj Singh, DPMD Jayawardene, T Kohli, PP Chawla, VS Malik, VRV Singh, YA Abdulla"/>
    <s v="BB McCullum, CH Gayle, BJ Hodge, SC Ganguly, Yashpal Singh, A Chopra, MC Henriques, LR Shukla, I Sharma, M Kartik, AB Dinda"/>
  </r>
  <r>
    <n v="392185"/>
    <s v="Royal Challengers Bangalore"/>
    <s v="Chennai Super Kings"/>
    <x v="16"/>
    <n v="2009"/>
    <d v="2009-04-20T00:00:00"/>
    <x v="3"/>
    <x v="1"/>
    <s v="Win"/>
    <s v="NA"/>
    <x v="3"/>
    <x v="281"/>
    <x v="55"/>
    <s v="Port Elizabeth"/>
    <s v="P Kumar, RV Uthappa, JH Kallis, LRPL Taylor, KP Pietersen, R Dravid, V Kohli, R Bishnoi, R Vinay Kumar, DW Steyn, A Kumble"/>
    <s v="PA Patel, ML Hayden, SK Raina, MS Dhoni, A Flintoff, JA Morkel, S Badrinath, Joginder Sharma, L Balaji, MS Gony, M Muralitharan"/>
  </r>
  <r>
    <n v="392183"/>
    <s v="Delhi Daredevils"/>
    <s v="Kings XI Punjab"/>
    <x v="16"/>
    <n v="2009"/>
    <d v="2009-04-19T00:00:00"/>
    <x v="12"/>
    <x v="0"/>
    <s v="Win"/>
    <s v="NA"/>
    <x v="13"/>
    <x v="293"/>
    <x v="58"/>
    <s v="Cape Town"/>
    <s v="G Gambhir, V Sehwag, TM Dilshan, AB de Villiers, MK Tiwary, KD Karthik, DP Nannes, DL Vettori, VY Mahesh, AM Salvi, PJ Sangwan"/>
    <s v="RS Bopara, K Goel, Yuvraj Singh, KC Sangakkara, DPMD Jayawardene, IK Pathan, PP Chawla, T Kohli, VS Malik, VRV Singh, YA Abdulla"/>
  </r>
  <r>
    <n v="392184"/>
    <s v="Deccan Chargers"/>
    <s v="Kolkata Knight Riders"/>
    <x v="16"/>
    <n v="2009"/>
    <d v="2009-04-19T00:00:00"/>
    <x v="8"/>
    <x v="1"/>
    <s v="Win"/>
    <s v="NA"/>
    <x v="18"/>
    <x v="294"/>
    <x v="58"/>
    <s v="Cape Town"/>
    <s v="AC Gilchrist, HH Gibbs, VVS Laxman, RG Sharma, SB Styris, Y Venugopal Rao, Harmeet Singh, PP Ojha, RP Singh, DB Ravi Teja, FH Edwards"/>
    <s v="BB McCullum, CH Gayle, SC Ganguly, BJ Hodge, A Chopra, LR Shukla, MC Henriques, AB Agarkar, M Kartik, I Sharma, AB Dinda"/>
  </r>
  <r>
    <n v="392181"/>
    <s v="Chennai Super Kings"/>
    <s v="Mumbai Indians"/>
    <x v="16"/>
    <n v="2009"/>
    <d v="2009-04-18T00:00:00"/>
    <x v="3"/>
    <x v="0"/>
    <s v="Win"/>
    <s v="NA"/>
    <x v="2"/>
    <x v="221"/>
    <x v="58"/>
    <s v="Cape Town"/>
    <s v="PA Patel, ML Hayden, SK Raina, A Flintoff, MS Dhoni, JDP Oram, S Badrinath, Joginder Sharma, T Thushara, MS Gony, R Ashwin"/>
    <s v="ST Jayasuriya, SR Tendulkar, S Dhawan, JP Duminy, DJ Bravo, AM Nayar, Harbhajan Singh, Z Khan, PR Shah, SL Malinga, RR Raje"/>
  </r>
  <r>
    <n v="392182"/>
    <s v="Royal Challengers Bangalore"/>
    <s v="Rajasthan Royals"/>
    <x v="16"/>
    <n v="2009"/>
    <d v="2009-04-18T00:00:00"/>
    <x v="10"/>
    <x v="1"/>
    <s v="Win"/>
    <s v="NA"/>
    <x v="11"/>
    <x v="228"/>
    <x v="58"/>
    <s v="Cape Town"/>
    <s v="JD Ryder, RV Uthappa, LRPL Taylor, KP Pietersen, R Dravid, V Kohli, B Akhil, P Kumar, R Vinay Kumar, DW Steyn, A Kumble"/>
    <s v="GC Smith, SA Asnodkar, NK Patel, T Henderson, YK Pathan, AD Mascarenhas, RA Jadeja, SK Warne, M Rawat, MM Patel, Kamran Khan"/>
  </r>
  <r>
    <n v="336040"/>
    <s v="Chennai Super Kings"/>
    <s v="Rajasthan Royals"/>
    <x v="17"/>
    <n v="2008"/>
    <d v="2008-06-01T00:00:00"/>
    <x v="7"/>
    <x v="0"/>
    <s v="Win"/>
    <s v="NA"/>
    <x v="7"/>
    <x v="189"/>
    <x v="48"/>
    <s v="Mumbai"/>
    <s v="PA Patel, S Vidyut, SK Raina, JA Morkel, MS Dhoni, CK Kapugedera, S Badrinath, MS Gony, L Balaji, M Muralitharan, M Ntini"/>
    <s v="NK Patel, SA Asnodkar, Kamran Akmal, SR Watson, YK Pathan, M Kaif, RA Jadeja, SK Warne, Sohail Tanvir, SK Trivedi, MM Patel"/>
  </r>
  <r>
    <n v="336039"/>
    <s v="Chennai Super Kings"/>
    <s v="Kings XI Punjab"/>
    <x v="17"/>
    <n v="2008"/>
    <d v="2008-05-31T00:00:00"/>
    <x v="11"/>
    <x v="1"/>
    <s v="Win"/>
    <s v="NA"/>
    <x v="3"/>
    <x v="295"/>
    <x v="26"/>
    <s v="Mumbai"/>
    <s v="PA Patel, S Vidyut, SK Raina, MS Dhoni, CK Kapugedera, S Badrinath, JA Morkel, MS Gony, L Balaji, M Muralitharan, M Ntini"/>
    <s v="SE Marsh, JR Hopes, KC Sangakkara, Yuvraj Singh, DPMD Jayawardene, IK Pathan, WA Mota, PP Chawla, RR Powar, S Sreesanth, VRV Singh"/>
  </r>
  <r>
    <n v="336038"/>
    <s v="Delhi Daredevils"/>
    <s v="Rajasthan Royals"/>
    <x v="17"/>
    <n v="2008"/>
    <d v="2008-05-30T00:00:00"/>
    <x v="12"/>
    <x v="0"/>
    <s v="Win"/>
    <s v="NA"/>
    <x v="7"/>
    <x v="154"/>
    <x v="26"/>
    <s v="Mumbai"/>
    <s v="G Gambhir, V Sehwag, S Dhawan, MK Tiwary, TM Dilshan, KD Karthik, MF Maharoof, A Mishra, VY Mahesh, Mohammad Asif, GD McGrath"/>
    <s v="GC Smith, SA Asnodkar, Sohail Tanvir, SR Watson, M Kaif, YK Pathan, RA Jadeja, SK Warne, M Rawat, MM Patel, SK Trivedi"/>
  </r>
  <r>
    <n v="336012"/>
    <s v="Royal Challengers Bangalore"/>
    <s v="Mumbai Indians"/>
    <x v="17"/>
    <n v="2008"/>
    <d v="2008-05-28T00:00:00"/>
    <x v="1"/>
    <x v="0"/>
    <s v="Win"/>
    <s v="NA"/>
    <x v="2"/>
    <x v="296"/>
    <x v="34"/>
    <s v="Bangalore"/>
    <s v="MV Boucher, SP Goswami, Misbah-ul-Haq, R Dravid, CL White, V Kohli, B Akhil, P Kumar, R Vinay Kumar, A Kumble, DW Steyn"/>
    <s v="ST Jayasuriya, SR Tendulkar, RV Uthappa, DR Smith, AM Nayar, SM Pollock, MK Pandey, YV Takawale, DS Kulkarni, CRD Fernando, A Nehra"/>
  </r>
  <r>
    <n v="336019"/>
    <s v="Kings XI Punjab"/>
    <s v="Rajasthan Royals"/>
    <x v="17"/>
    <n v="2008"/>
    <d v="2008-05-28T00:00:00"/>
    <x v="7"/>
    <x v="0"/>
    <s v="Win"/>
    <s v="NA"/>
    <x v="12"/>
    <x v="202"/>
    <x v="41"/>
    <s v="Chandigarh"/>
    <s v="SE Marsh, JR Hopes, Yuvraj Singh, LA Pomersbach, KC Sangakkara, RR Powar, PP Chawla, IK Pathan, VRV Singh, S Sreesanth, WA Mota"/>
    <s v="M Kaif, NK Patel, Younis Khan, SR Watson, YK Pathan, Kamran Akmal, M Rawat, D Salunkhe, Pankaj Singh, SK Trivedi, MM Patel"/>
  </r>
  <r>
    <n v="336037"/>
    <s v="Deccan Chargers"/>
    <s v="Chennai Super Kings"/>
    <x v="17"/>
    <n v="2008"/>
    <d v="2008-05-27T00:00:00"/>
    <x v="17"/>
    <x v="1"/>
    <s v="Win"/>
    <s v="NA"/>
    <x v="3"/>
    <x v="183"/>
    <x v="33"/>
    <s v="Hyderabad"/>
    <s v="AC Gilchrist, HH Gibbs, SB Styris, Y Venugopal Rao, DB Ravi Teja, Shahid Afridi, AS Yadav, RP Singh, PP Ojha, PM Sarvesh Kumar, DP Vijaykumar"/>
    <s v="PA Patel, SP Fleming, SK Raina, MS Dhoni, JA Morkel, S Badrinath, A Mukund, M Ntini, M Muralitharan, MS Gony, L Balaji"/>
  </r>
  <r>
    <n v="336036"/>
    <s v="Rajasthan Royals"/>
    <s v="Mumbai Indians"/>
    <x v="17"/>
    <n v="2008"/>
    <d v="2008-05-26T00:00:00"/>
    <x v="7"/>
    <x v="0"/>
    <s v="Win"/>
    <s v="NA"/>
    <x v="7"/>
    <x v="297"/>
    <x v="30"/>
    <s v="Jaipur"/>
    <s v="Kamran Akmal, SA Asnodkar, YK Pathan, SR Watson, M Kaif, RA Jadeja, NK Patel, SK Warne, Sohail Tanvir, SK Trivedi, Pankaj Singh"/>
    <s v="ST Jayasuriya, SR Tendulkar, AM Nayar, RV Uthappa, DR Smith, SM Pollock, MK Pandey, YV Takawale, RR Raje, CRD Fernando, A Nehra"/>
  </r>
  <r>
    <n v="336035"/>
    <s v="Kolkata Knight Riders"/>
    <s v="Kings XI Punjab"/>
    <x v="17"/>
    <n v="2008"/>
    <d v="2008-05-25T00:00:00"/>
    <x v="11"/>
    <x v="1"/>
    <s v="Win"/>
    <s v="NA"/>
    <x v="10"/>
    <x v="298"/>
    <x v="29"/>
    <s v="Kolkata"/>
    <s v="Salman Butt, SC Ganguly, DB Das, DJ Hussey, LR Shukla, WP Saha, A Chopra, Umar Gul, I Sharma, BAW Mendis, AB Dinda"/>
    <s v="SE Marsh, JR Hopes, KC Sangakkara, Yuvraj Singh, DPMD Jayawardene, IK Pathan, PP Chawla, TM Srivastava, RR Powar, VRV Singh, S Sreesanth"/>
  </r>
  <r>
    <n v="336002"/>
    <s v="Deccan Chargers"/>
    <s v="Royal Challengers Bangalore"/>
    <x v="17"/>
    <n v="2008"/>
    <d v="2008-05-25T00:00:00"/>
    <x v="17"/>
    <x v="1"/>
    <s v="Win"/>
    <s v="NA"/>
    <x v="11"/>
    <x v="224"/>
    <x v="33"/>
    <s v="Hyderabad"/>
    <s v="AC Gilchrist, HH Gibbs, RG Sharma, LPC Silva, Y Venugopal Rao, DB Ravi Teja, AS Yadav, SB Bangar, WPUJC Vaas, RP Singh, DP Vijaykumar"/>
    <s v="JH Kallis, W Jaffer, Misbah-ul-Haq, R Dravid, CL White, V Kohli, B Akhil, SP Goswami, R Vinay Kumar, A Kumble, DW Steyn"/>
  </r>
  <r>
    <n v="336033"/>
    <s v="Chennai Super Kings"/>
    <s v="Rajasthan Royals"/>
    <x v="17"/>
    <n v="2008"/>
    <d v="2008-05-24T00:00:00"/>
    <x v="7"/>
    <x v="1"/>
    <s v="Win"/>
    <s v="NA"/>
    <x v="7"/>
    <x v="253"/>
    <x v="43"/>
    <s v="Chennai"/>
    <s v="PA Patel, SP Fleming, SK Raina, JA Morkel, MS Dhoni, S Badrinath, MS Gony, A Mukund, L Balaji, M Muralitharan, M Ntini"/>
    <s v="GC Smith, SA Asnodkar, Kamran Akmal, YK Pathan, M Kaif, T Kohli, D Salunkhe, SK Warne, Sohail Tanvir, Pankaj Singh, MM Patel"/>
  </r>
  <r>
    <n v="336032"/>
    <s v="Delhi Daredevils"/>
    <s v="Mumbai Indians"/>
    <x v="17"/>
    <n v="2008"/>
    <d v="2008-05-24T00:00:00"/>
    <x v="12"/>
    <x v="0"/>
    <s v="Win"/>
    <s v="NA"/>
    <x v="13"/>
    <x v="122"/>
    <x v="35"/>
    <s v="Delhi"/>
    <s v="G Gambhir, V Sehwag, S Dhawan, MK Tiwary, TM Dilshan, KD Karthik, MF Maharoof, B Geeves, VY Mahesh, A Mishra, GD McGrath"/>
    <s v="ST Jayasuriya, SR Tendulkar, DR Smith, RV Uthappa, AM Nayar, SM Pollock, SD Chitnis, PR Shah, A Nel, DS Kulkarni, A Nehra"/>
  </r>
  <r>
    <n v="336031"/>
    <s v="Kings XI Punjab"/>
    <s v="Deccan Chargers"/>
    <x v="17"/>
    <n v="2008"/>
    <d v="2008-05-23T00:00:00"/>
    <x v="11"/>
    <x v="0"/>
    <s v="Win"/>
    <s v="NA"/>
    <x v="12"/>
    <x v="202"/>
    <x v="41"/>
    <s v="Chandigarh"/>
    <s v="SE Marsh, KC Sangakkara, Yuvraj Singh, LA Pomersbach, DPMD Jayawardene, PP Chawla, TM Srivastava, RR Powar, Gagandeep Singh, VRV Singh, S Sreesanth"/>
    <s v="AC Gilchrist, HH Gibbs, RG Sharma, Y Venugopal Rao, LPC Silva, SB Styris, DB Ravi Teja, SB Bangar, RP Singh, PP Ojha, DP Vijaykumar"/>
  </r>
  <r>
    <n v="336029"/>
    <s v="Chennai Super Kings"/>
    <s v="Royal Challengers Bangalore"/>
    <x v="17"/>
    <n v="2008"/>
    <d v="2008-05-21T00:00:00"/>
    <x v="10"/>
    <x v="1"/>
    <s v="Win"/>
    <s v="NA"/>
    <x v="11"/>
    <x v="265"/>
    <x v="43"/>
    <s v="Chennai"/>
    <s v="PA Patel, SP Fleming, MS Dhoni, SK Raina, S Badrinath, JA Morkel, S Vidyut, MS Gony, L Balaji, M Ntini, M Muralitharan"/>
    <s v="JH Kallis, SP Goswami, V Kohli, R Dravid, Misbah-ul-Haq, MV Boucher, B Akhil, P Kumar, R Vinay Kumar, A Kumble, DW Steyn"/>
  </r>
  <r>
    <n v="336028"/>
    <s v="Mumbai Indians"/>
    <s v="Kings XI Punjab"/>
    <x v="17"/>
    <n v="2008"/>
    <d v="2008-05-21T00:00:00"/>
    <x v="1"/>
    <x v="0"/>
    <s v="Win"/>
    <s v="NA"/>
    <x v="12"/>
    <x v="202"/>
    <x v="26"/>
    <s v="Mumbai"/>
    <s v="ST Jayasuriya, SR Tendulkar, DR Smith, AM Nayar, RV Uthappa, SM Pollock, PR Shah, SD Chitnis, CRD Fernando, A Nehra, VS Yeligati"/>
    <s v="SE Marsh, JR Hopes, LA Pomersbach, Yuvraj Singh, DPMD Jayawardene, IK Pathan, TM Srivastava, PP Chawla, U Kaul, S Sreesanth, VRV Singh"/>
  </r>
  <r>
    <n v="336027"/>
    <s v="Kolkata Knight Riders"/>
    <s v="Rajasthan Royals"/>
    <x v="17"/>
    <n v="2008"/>
    <d v="2008-05-20T00:00:00"/>
    <x v="7"/>
    <x v="0"/>
    <s v="Win"/>
    <s v="NA"/>
    <x v="7"/>
    <x v="189"/>
    <x v="29"/>
    <s v="Kolkata"/>
    <s v="Salman Butt, Mohammad Hafeez, SC Ganguly, DJ Hussey, DB Das, LR Shukla, WP Saha, AB Agarkar, Umar Gul, I Sharma, AB Dinda"/>
    <s v="GC Smith, SA Asnodkar, Sohail Tanvir, M Kaif, SR Watson, YK Pathan, RA Jadeja, SK Warne, M Rawat, SK Trivedi, MM Patel"/>
  </r>
  <r>
    <n v="336026"/>
    <s v="Royal Challengers Bangalore"/>
    <s v="Delhi Daredevils"/>
    <x v="17"/>
    <n v="2008"/>
    <d v="2008-05-19T00:00:00"/>
    <x v="12"/>
    <x v="0"/>
    <s v="Win"/>
    <s v="NA"/>
    <x v="13"/>
    <x v="299"/>
    <x v="34"/>
    <s v="Bangalore"/>
    <s v="JH Kallis, B Chipli, SP Goswami, R Dravid, Misbah-ul-Haq, CL White, B Akhil, P Kumar, Z Khan, A Kumble, DW Steyn"/>
    <s v="G Gambhir, V Sehwag, AB de Villiers, TM Dilshan, S Dhawan, KD Karthik, MF Maharoof, R Bhatia, VY Mahesh, PJ Sangwan, GD McGrath"/>
  </r>
  <r>
    <n v="336025"/>
    <s v="Kolkata Knight Riders"/>
    <s v="Chennai Super Kings"/>
    <x v="17"/>
    <n v="2008"/>
    <d v="2008-05-18T00:00:00"/>
    <x v="8"/>
    <x v="1"/>
    <s v="Win"/>
    <s v="NA"/>
    <x v="3"/>
    <x v="295"/>
    <x v="29"/>
    <s v="Kolkata"/>
    <s v="Salman Butt, Mohammad Hafeez, SC Ganguly, DB Das, DJ Hussey, LR Shukla, WP Saha, AB Agarkar, I Sharma, AB Dinda, Shoaib Akhtar"/>
    <s v="PA Patel, SP Fleming, S Vidyut, SK Raina, S Badrinath, MS Dhoni, JA Morkel, MS Gony, L Balaji, M Muralitharan, M Ntini"/>
  </r>
  <r>
    <n v="336024"/>
    <s v="Deccan Chargers"/>
    <s v="Mumbai Indians"/>
    <x v="17"/>
    <n v="2008"/>
    <d v="2008-05-18T00:00:00"/>
    <x v="17"/>
    <x v="0"/>
    <s v="Win"/>
    <s v="NA"/>
    <x v="2"/>
    <x v="138"/>
    <x v="33"/>
    <s v="Hyderabad"/>
    <s v="AC Gilchrist, Shahid Afridi, RG Sharma, LPC Silva, Y Venugopal Rao, DB Ravi Teja, DNT Zoysa, H Das, RP Singh, PP Ojha, DP Vijaykumar"/>
    <s v="ST Jayasuriya, SR Tendulkar, DJ Thornely, AM Nayar, RV Uthappa, DJ Bravo, PR Shah, YV Takawale, RR Raje, A Nehra, CRD Fernando"/>
  </r>
  <r>
    <n v="336022"/>
    <s v="Delhi Daredevils"/>
    <s v="Kings XI Punjab"/>
    <x v="17"/>
    <n v="2008"/>
    <d v="2008-05-17T00:00:00"/>
    <x v="12"/>
    <x v="1"/>
    <s v="Win"/>
    <s v="NA"/>
    <x v="12"/>
    <x v="259"/>
    <x v="35"/>
    <s v="Delhi"/>
    <s v="G Gambhir, V Sehwag, S Dhawan, TM Dilshan, MF Maharoof, Shoaib Malik, PJ Sangwan, KD Karthik, A Mishra, R Bhatia, GD McGrath"/>
    <s v="SE Marsh, JR Hopes, Yuvraj Singh, LA Pomersbach, DPMD Jayawardene, IK Pathan, RR Powar, PP Chawla, U Kaul, S Sreesanth, VRV Singh"/>
  </r>
  <r>
    <n v="336023"/>
    <s v="Rajasthan Royals"/>
    <s v="Royal Challengers Bangalore"/>
    <x v="17"/>
    <n v="2008"/>
    <d v="2008-05-17T00:00:00"/>
    <x v="10"/>
    <x v="0"/>
    <s v="Win"/>
    <s v="NA"/>
    <x v="7"/>
    <x v="285"/>
    <x v="30"/>
    <s v="Jaipur"/>
    <s v="GC Smith, SA Asnodkar, SR Watson, YK Pathan, M Kaif, RA Jadeja, SK Warne, Sohail Tanvir, M Rawat, SK Trivedi, MM Patel"/>
    <s v="J Arunkumar, V Kohli, Misbah-ul-Haq, JH Kallis, CL White, R Dravid, DT Patil, P Kumar, Z Khan, A Kumble, Abdur Razzak"/>
  </r>
  <r>
    <n v="336021"/>
    <s v="Mumbai Indians"/>
    <s v="Kolkata Knight Riders"/>
    <x v="17"/>
    <n v="2008"/>
    <d v="2008-05-16T00:00:00"/>
    <x v="1"/>
    <x v="0"/>
    <s v="Win"/>
    <s v="NA"/>
    <x v="2"/>
    <x v="300"/>
    <x v="26"/>
    <s v="Mumbai"/>
    <s v="ST Jayasuriya, SR Tendulkar, RV Uthappa, DJ Thornely, DJ Bravo, AM Nayar, SM Pollock, RV Pawar, YV Takawale, RR Raje, A Nehra"/>
    <s v="Salman Butt, A Chopra, SC Ganguly, DJ Hussey, Mohammad Hafeez, WP Saha, LR Shukla, AB Agarkar, Shoaib Akhtar, I Sharma, AB Dinda"/>
  </r>
  <r>
    <n v="336020"/>
    <s v="Delhi Daredevils"/>
    <s v="Deccan Chargers"/>
    <x v="17"/>
    <n v="2008"/>
    <d v="2008-05-15T00:00:00"/>
    <x v="17"/>
    <x v="0"/>
    <s v="Win"/>
    <s v="NA"/>
    <x v="13"/>
    <x v="145"/>
    <x v="35"/>
    <s v="Delhi"/>
    <s v="G Gambhir, V Sehwag, S Dhawan, MF Maharoof, TM Dilshan, MK Tiwary, KD Karthik, A Mishra, R Bhatia, GD McGrath, Mohammad Asif"/>
    <s v="AC Gilchrist, Shahid Afridi, HH Gibbs, RG Sharma, SB Styris, Y Venugopal Rao, DB Ravi Teja, RP Singh, PP Ojha, DP Vijaykumar, PM Sarvesh Kumar"/>
  </r>
  <r>
    <n v="336018"/>
    <s v="Mumbai Indians"/>
    <s v="Chennai Super Kings"/>
    <x v="17"/>
    <n v="2008"/>
    <d v="2008-05-14T00:00:00"/>
    <x v="1"/>
    <x v="0"/>
    <s v="Win"/>
    <s v="NA"/>
    <x v="2"/>
    <x v="301"/>
    <x v="26"/>
    <s v="Mumbai"/>
    <s v="ST Jayasuriya, SR Tendulkar, RV Uthappa, DJ Thornely, DJ Bravo, AM Nayar, SM Pollock, YV Takawale, RR Raje, A Nehra, DS Kulkarni"/>
    <s v="S Vidyut, SP Fleming, SK Raina, S Badrinath, CK Kapugedera, MS Dhoni, JA Morkel, Joginder Sharma, MS Gony, L Balaji, M Muralitharan"/>
  </r>
  <r>
    <n v="336017"/>
    <s v="Kolkata Knight Riders"/>
    <s v="Delhi Daredevils"/>
    <x v="17"/>
    <n v="2008"/>
    <d v="2008-05-13T00:00:00"/>
    <x v="8"/>
    <x v="1"/>
    <s v="Win"/>
    <s v="NA"/>
    <x v="10"/>
    <x v="302"/>
    <x v="29"/>
    <s v="Kolkata"/>
    <s v="Salman Butt, A Chopra, SC Ganguly, DJ Hussey, T Taibu, LR Shukla, WP Saha, Iqbal Abdulla, I Sharma, AB Dinda, Shoaib Akhtar"/>
    <s v="G Gambhir, V Sehwag, AB de Villiers, MK Tiwary, S Dhawan, TM Dilshan, A Mishra, MF Maharoof, VY Mahesh, PJ Sangwan, GD McGrath"/>
  </r>
  <r>
    <n v="336016"/>
    <s v="Kings XI Punjab"/>
    <s v="Royal Challengers Bangalore"/>
    <x v="17"/>
    <n v="2008"/>
    <d v="2008-05-12T00:00:00"/>
    <x v="10"/>
    <x v="1"/>
    <s v="Win"/>
    <s v="NA"/>
    <x v="12"/>
    <x v="202"/>
    <x v="41"/>
    <s v="Chandigarh"/>
    <s v="SE Marsh, JR Hopes, LA Pomersbach, Yuvraj Singh, DPMD Jayawardene, IK Pathan, TM Srivastava, PP Chawla, U Kaul, S Sreesanth, VRV Singh"/>
    <s v="J Arunkumar, V Kohli, Misbah-ul-Haq, CL White, R Dravid, MV Boucher, P Kumar, R Vinay Kumar, Z Khan, A Kumble, DW Steyn"/>
  </r>
  <r>
    <n v="336015"/>
    <s v="Rajasthan Royals"/>
    <s v="Delhi Daredevils"/>
    <x v="17"/>
    <n v="2008"/>
    <d v="2008-05-11T00:00:00"/>
    <x v="7"/>
    <x v="0"/>
    <s v="Win"/>
    <s v="NA"/>
    <x v="7"/>
    <x v="154"/>
    <x v="30"/>
    <s v="Jaipur"/>
    <s v="YK Pathan, GC Smith, M Kaif, SR Watson, RA Jadeja, AD Mascarenhas, SK Warne, NK Patel, M Rawat, SK Trivedi, MM Patel"/>
    <s v="G Gambhir, V Sehwag, S Dhawan, AB de Villiers, KD Karthik, TM Dilshan, A Mishra, MF Maharoof, VY Mahesh, GD McGrath, PJ Sangwan"/>
  </r>
  <r>
    <n v="336014"/>
    <s v="Deccan Chargers"/>
    <s v="Kolkata Knight Riders"/>
    <x v="17"/>
    <n v="2008"/>
    <d v="2008-05-11T00:00:00"/>
    <x v="8"/>
    <x v="1"/>
    <s v="Win"/>
    <s v="NA"/>
    <x v="10"/>
    <x v="237"/>
    <x v="33"/>
    <s v="Hyderabad"/>
    <s v="AC Gilchrist, HH Gibbs, DB Ravi Teja, RG Sharma, SB Styris, Y Venugopal Rao, SB Bangar, WPUJC Vaas, RP Singh, DP Vijaykumar, PP Ojha"/>
    <s v="Salman Butt, A Chopra, SC Ganguly, DJ Hussey, T Taibu, LR Shukla, WP Saha, Umar Gul, I Sharma, AB Dinda, M Kartik"/>
  </r>
  <r>
    <n v="336013"/>
    <s v="Chennai Super Kings"/>
    <s v="Kings XI Punjab"/>
    <x v="17"/>
    <n v="2008"/>
    <d v="2008-05-10T00:00:00"/>
    <x v="11"/>
    <x v="0"/>
    <s v="Win"/>
    <s v="NA"/>
    <x v="3"/>
    <x v="242"/>
    <x v="43"/>
    <s v="Chennai"/>
    <s v="S Vidyut, SP Fleming, SK Raina, S Badrinath, MS Dhoni, JA Morkel, CK Kapugedera, P Amarnath, MS Gony, M Muralitharan, L Balaji"/>
    <s v="SE Marsh, JR Hopes, K Goel, RR Sarwan, Yuvraj Singh, DPMD Jayawardene, IK Pathan, PP Chawla, S Sreesanth, VRV Singh, U Kaul"/>
  </r>
  <r>
    <n v="336011"/>
    <s v="Rajasthan Royals"/>
    <s v="Deccan Chargers"/>
    <x v="17"/>
    <n v="2008"/>
    <d v="2008-05-09T00:00:00"/>
    <x v="7"/>
    <x v="0"/>
    <s v="Win"/>
    <s v="NA"/>
    <x v="7"/>
    <x v="189"/>
    <x v="30"/>
    <s v="Jaipur"/>
    <s v="GC Smith, YK Pathan, M Kaif, SR Watson, NK Patel, RA Jadeja, SK Warne, M Rawat, Sohail Tanvir, SK Trivedi, MM Patel"/>
    <s v="AC Gilchrist, HH Gibbs, SB Styris, RG Sharma, Shahid Afridi, SB Bangar, DB Ravi Teja, Y Venugopal Rao, RP Singh, PP Ojha, DP Vijaykumar"/>
  </r>
  <r>
    <n v="336009"/>
    <s v="Delhi Daredevils"/>
    <s v="Chennai Super Kings"/>
    <x v="17"/>
    <n v="2008"/>
    <d v="2008-05-08T00:00:00"/>
    <x v="3"/>
    <x v="0"/>
    <s v="Win"/>
    <s v="NA"/>
    <x v="3"/>
    <x v="37"/>
    <x v="35"/>
    <s v="Delhi"/>
    <s v="G Gambhir, V Sehwag, AB de Villiers, S Dhawan, Shoaib Malik, KD Karthik, MK Tiwary, VY Mahesh, GD McGrath, Mohammad Asif, PJ Sangwan"/>
    <s v="S Vidyut, SP Fleming, MS Dhoni, SK Raina, JA Morkel, CK Kapugedera, S Badrinath, MS Gony, P Amarnath, M Muralitharan, L Balaji"/>
  </r>
  <r>
    <n v="336010"/>
    <s v="Kolkata Knight Riders"/>
    <s v="Royal Challengers Bangalore"/>
    <x v="17"/>
    <n v="2008"/>
    <d v="2008-05-08T00:00:00"/>
    <x v="8"/>
    <x v="1"/>
    <s v="Win"/>
    <s v="NA"/>
    <x v="10"/>
    <x v="237"/>
    <x v="29"/>
    <s v="Kolkata"/>
    <s v="A Chopra, BJ Hodge, SC Ganguly, DJ Hussey, T Taibu, LR Shukla, WP Saha, M Kartik, Umar Gul, I Sharma, AB Dinda"/>
    <s v="J Arunkumar, S Chanderpaul, MV Boucher, R Dravid, CL White, P Kumar, R Vinay Kumar, V Kohli, Z Khan, A Kumble, DW Steyn"/>
  </r>
  <r>
    <n v="336008"/>
    <s v="Mumbai Indians"/>
    <s v="Rajasthan Royals"/>
    <x v="17"/>
    <n v="2008"/>
    <d v="2008-05-07T00:00:00"/>
    <x v="1"/>
    <x v="0"/>
    <s v="Win"/>
    <s v="NA"/>
    <x v="2"/>
    <x v="192"/>
    <x v="48"/>
    <s v="Mumbai"/>
    <s v="YV Takawale, ST Jayasuriya, RV Uthappa, DJ Bravo, AM Nayar, DJ Thornely, SM Pollock, SS Tiwary, RR Raje, A Nehra, DS Kulkarni"/>
    <s v="GC Smith, SA Asnodkar, YK Pathan, SR Watson, M Kaif, RA Jadeja, SK Warne, Sohail Tanvir, M Rawat, SK Trivedi, MM Patel"/>
  </r>
  <r>
    <n v="336007"/>
    <s v="Chennai Super Kings"/>
    <s v="Deccan Chargers"/>
    <x v="17"/>
    <n v="2008"/>
    <d v="2008-05-06T00:00:00"/>
    <x v="17"/>
    <x v="0"/>
    <s v="Win"/>
    <s v="NA"/>
    <x v="18"/>
    <x v="218"/>
    <x v="43"/>
    <s v="Chennai"/>
    <s v="PA Patel, SP Fleming, S Anirudha, SK Raina, S Badrinath, MS Dhoni, JA Morkel, Joginder Sharma, MS Gony, M Ntini, M Muralitharan"/>
    <s v="AC Gilchrist, HH Gibbs, SB Styris, RG Sharma, Shahid Afridi, Y Venugopal Rao, SB Bangar, AS Yadav, RP Singh, DP Vijaykumar, PP Ojha"/>
  </r>
  <r>
    <n v="336006"/>
    <s v="Royal Challengers Bangalore"/>
    <s v="Kings XI Punjab"/>
    <x v="17"/>
    <n v="2008"/>
    <d v="2008-05-05T00:00:00"/>
    <x v="11"/>
    <x v="0"/>
    <s v="Win"/>
    <s v="NA"/>
    <x v="12"/>
    <x v="303"/>
    <x v="34"/>
    <s v="Bangalore"/>
    <s v="W Jaffer, V Kohli, CL White, JH Kallis, R Dravid, Misbah-ul-Haq, P Kumar, DT Patil, Z Khan, A Kumble, DW Steyn"/>
    <s v="SE Marsh, JR Hopes, RR Sarwan, Yuvraj Singh, DPMD Jayawardene, IK Pathan, PP Chawla, U Kaul, Gagandeep Singh, S Sreesanth, VRV Singh"/>
  </r>
  <r>
    <n v="336004"/>
    <s v="Mumbai Indians"/>
    <s v="Delhi Daredevils"/>
    <x v="17"/>
    <n v="2008"/>
    <d v="2008-05-04T00:00:00"/>
    <x v="12"/>
    <x v="0"/>
    <s v="Win"/>
    <s v="NA"/>
    <x v="2"/>
    <x v="300"/>
    <x v="48"/>
    <s v="Mumbai"/>
    <s v="YV Takawale, ST Jayasuriya, DJ Thornely, RV Uthappa, DJ Bravo, AM Nayar, SM Pollock, SS Tiwary, RR Raje, A Nehra, DS Kulkarni"/>
    <s v="G Gambhir, V Sehwag, S Dhawan, AB de Villiers, Shoaib Malik, KD Karthik, R Bhatia, PJ Sangwan, VY Mahesh, Mohammad Asif, GD McGrath"/>
  </r>
  <r>
    <n v="336005"/>
    <s v="Rajasthan Royals"/>
    <s v="Chennai Super Kings"/>
    <x v="17"/>
    <n v="2008"/>
    <d v="2008-05-04T00:00:00"/>
    <x v="3"/>
    <x v="1"/>
    <s v="Win"/>
    <s v="NA"/>
    <x v="7"/>
    <x v="297"/>
    <x v="30"/>
    <s v="Jaipur"/>
    <s v="GC Smith, SA Asnodkar, YK Pathan, SR Watson, M Rawat, M Kaif, RA Jadeja, SK Warne, Sohail Tanvir, SK Trivedi, MM Patel"/>
    <s v="PA Patel, SP Fleming, S Vidyut, SK Raina, S Badrinath, MS Dhoni, JA Morkel, Joginder Sharma, MS Gony, M Muralitharan, M Ntini"/>
  </r>
  <r>
    <n v="336003"/>
    <s v="Kings XI Punjab"/>
    <s v="Kolkata Knight Riders"/>
    <x v="17"/>
    <n v="2008"/>
    <d v="2008-05-03T00:00:00"/>
    <x v="11"/>
    <x v="1"/>
    <s v="Win"/>
    <s v="NA"/>
    <x v="12"/>
    <x v="244"/>
    <x v="41"/>
    <s v="Chandigarh"/>
    <s v="SE Marsh, JR Hopes, KC Sangakkara, Yuvraj Singh, DPMD Jayawardene, K Goel, IK Pathan, PP Chawla, S Sreesanth, VRV Singh, Gagandeep Singh"/>
    <s v="Mohammad Hafeez, SC Ganguly, DB Das, BJ Hodge, DJ Hussey, LR Shukla, WP Saha, AB Agarkar, Umar Gul, I Sharma, AB Dinda"/>
  </r>
  <r>
    <n v="336034"/>
    <s v="Royal Challengers Bangalore"/>
    <s v="Deccan Chargers"/>
    <x v="17"/>
    <n v="2008"/>
    <d v="2008-05-03T00:00:00"/>
    <x v="17"/>
    <x v="0"/>
    <s v="Win"/>
    <s v="NA"/>
    <x v="11"/>
    <x v="193"/>
    <x v="34"/>
    <s v="Bangalore"/>
    <s v="B Chipli, W Jaffer, V Kohli, JH Kallis, Misbah-ul-Haq, R Dravid, MV Boucher, P Kumar, Z Khan, DW Steyn, A Kumble"/>
    <s v="AC Gilchrist, VVS Laxman, HH Gibbs, RG Sharma, Shahid Afridi, SB Styris, AS Yadav, SB Bangar, RP Singh, DP Vijaykumar, PP Ojha"/>
  </r>
  <r>
    <n v="336001"/>
    <s v="Chennai Super Kings"/>
    <s v="Delhi Daredevils"/>
    <x v="17"/>
    <n v="2008"/>
    <d v="2008-05-02T00:00:00"/>
    <x v="3"/>
    <x v="1"/>
    <s v="Win"/>
    <s v="NA"/>
    <x v="13"/>
    <x v="208"/>
    <x v="43"/>
    <s v="Chennai"/>
    <s v="PA Patel, SP Fleming, S Vidyut, MS Dhoni, JA Morkel, SK Raina, S Badrinath, Joginder Sharma, M Ntini, MS Gony, M Muralitharan"/>
    <s v="G Gambhir, V Sehwag, AB de Villiers, S Dhawan, Shoaib Malik, KD Karthik, R Bhatia, VY Mahesh, GD McGrath, PJ Sangwan, Mohammad Asif"/>
  </r>
  <r>
    <n v="336000"/>
    <s v="Rajasthan Royals"/>
    <s v="Kolkata Knight Riders"/>
    <x v="17"/>
    <n v="2008"/>
    <d v="2008-05-01T00:00:00"/>
    <x v="7"/>
    <x v="1"/>
    <s v="Win"/>
    <s v="NA"/>
    <x v="7"/>
    <x v="304"/>
    <x v="30"/>
    <s v="Jaipur"/>
    <s v="GC Smith, SA Asnodkar, M Kaif, YK Pathan, SR Watson, RA Jadeja, SK Warne, Sohail Tanvir, M Rawat, SK Trivedi, MM Patel"/>
    <s v="Salman Butt, SC Ganguly, AB Agarkar, BJ Hodge, DJ Hussey, LR Shukla, DB Das, WP Saha, Umar Gul, I Sharma, AB Dinda"/>
  </r>
  <r>
    <n v="335999"/>
    <s v="Deccan Chargers"/>
    <s v="Kings XI Punjab"/>
    <x v="17"/>
    <n v="2008"/>
    <d v="2008-05-01T00:00:00"/>
    <x v="11"/>
    <x v="0"/>
    <s v="Win"/>
    <s v="NA"/>
    <x v="12"/>
    <x v="202"/>
    <x v="33"/>
    <s v="Hyderabad"/>
    <s v="AC Gilchrist, VVS Laxman, HH Gibbs, RG Sharma, Shahid Afridi, Y Venugopal Rao, SB Bangar, DNT Zoysa, D Kalyankrishna, RP Singh, PP Ojha"/>
    <s v="SE Marsh, RR Sarwan, KC Sangakkara, Yuvraj Singh, DPMD Jayawardene, K Goel, IK Pathan, PP Chawla, S Sreesanth, VRV Singh, Gagandeep Singh"/>
  </r>
  <r>
    <n v="335998"/>
    <s v="Delhi Daredevils"/>
    <s v="Royal Challengers Bangalore"/>
    <x v="17"/>
    <n v="2008"/>
    <d v="2008-04-30T00:00:00"/>
    <x v="10"/>
    <x v="0"/>
    <s v="Win"/>
    <s v="NA"/>
    <x v="13"/>
    <x v="305"/>
    <x v="35"/>
    <s v="Delhi"/>
    <s v="G Gambhir, V Sehwag, S Dhawan, Shoaib Malik, KD Karthik, MK Tiwary, R Bhatia, DL Vettori, Mohammad Asif, VY Mahesh, GD McGrath"/>
    <s v="P Kumar, W Jaffer, LRPL Taylor, JH Kallis, R Dravid, MV Boucher, V Kohli, Z Khan, DW Steyn, R Vinay Kumar, SB Joshi"/>
  </r>
  <r>
    <n v="335997"/>
    <s v="Kolkata Knight Riders"/>
    <s v="Mumbai Indians"/>
    <x v="17"/>
    <n v="2008"/>
    <d v="2008-04-29T00:00:00"/>
    <x v="8"/>
    <x v="1"/>
    <s v="Win"/>
    <s v="NA"/>
    <x v="2"/>
    <x v="301"/>
    <x v="29"/>
    <s v="Kolkata"/>
    <s v="BB McCullum, SC Ganguly, RT Ponting, DB Das, DJ Hussey, Mohammad Hafeez, LR Shukla, AB Agarkar, M Kartik, I Sharma, AB Dinda"/>
    <s v="AM Rahane, ST Jayasuriya, MK Pandey, RV Uthappa, DJ Bravo, SM Pollock, AM Nayar, A Nehra, DS Kulkarni, CRD Fernando, PR Shah"/>
  </r>
  <r>
    <n v="335996"/>
    <s v="Royal Challengers Bangalore"/>
    <s v="Chennai Super Kings"/>
    <x v="17"/>
    <n v="2008"/>
    <d v="2008-04-28T00:00:00"/>
    <x v="3"/>
    <x v="1"/>
    <s v="Win"/>
    <s v="NA"/>
    <x v="3"/>
    <x v="37"/>
    <x v="34"/>
    <s v="Bangalore"/>
    <s v="B Chipli, W Jaffer, LRPL Taylor, JH Kallis, MV Boucher, V Kohli, R Dravid, P Kumar, Z Khan, B Akhil, DW Steyn"/>
    <s v="PA Patel, ML Hayden, MEK Hussey, SK Raina, MS Dhoni, JDP Oram, S Badrinath, JA Morkel, Joginder Sharma, P Amarnath, MS Gony"/>
  </r>
  <r>
    <n v="335995"/>
    <s v="Kings XI Punjab"/>
    <s v="Delhi Daredevils"/>
    <x v="17"/>
    <n v="2008"/>
    <d v="2008-04-27T00:00:00"/>
    <x v="12"/>
    <x v="1"/>
    <s v="Win"/>
    <s v="NA"/>
    <x v="12"/>
    <x v="306"/>
    <x v="41"/>
    <s v="Chandigarh"/>
    <s v="K Goel, SM Katich, KC Sangakkara, DPMD Jayawardene, Yuvraj Singh, TM Srivastava, IK Pathan, B Lee, PP Chawla, S Sreesanth, VRV Singh"/>
    <s v="G Gambhir, V Sehwag, S Dhawan, Shoaib Malik, MK Tiwary, KD Karthik, R Bhatia, MF Maharoof, VY Mahesh, Mohammad Asif, GD McGrath"/>
  </r>
  <r>
    <n v="335994"/>
    <s v="Mumbai Indians"/>
    <s v="Deccan Chargers"/>
    <x v="17"/>
    <n v="2008"/>
    <d v="2008-04-27T00:00:00"/>
    <x v="17"/>
    <x v="0"/>
    <s v="Win"/>
    <s v="NA"/>
    <x v="18"/>
    <x v="218"/>
    <x v="48"/>
    <s v="Mumbai"/>
    <s v="L Ronchi, ST Jayasuriya, AM Rahane, RV Uthappa, SM Pollock, AM Nayar, DJ Bravo, MA Khote, A Nehra, DS Kulkarni, SD Chitnis"/>
    <s v="AC Gilchrist, VVS Laxman, A Symonds, RG Sharma, Shahid Afridi, SB Bangar, AS Yadav, RP Singh, PP Ojha, D Kalyankrishna, DNT Zoysa"/>
  </r>
  <r>
    <n v="335992"/>
    <s v="Royal Challengers Bangalore"/>
    <s v="Rajasthan Royals"/>
    <x v="17"/>
    <n v="2008"/>
    <d v="2008-04-26T00:00:00"/>
    <x v="7"/>
    <x v="0"/>
    <s v="Win"/>
    <s v="NA"/>
    <x v="7"/>
    <x v="154"/>
    <x v="34"/>
    <s v="Bangalore"/>
    <s v="S Chanderpaul, R Dravid, LRPL Taylor, JH Kallis, V Kohli, MV Boucher, P Kumar, SB Joshi, Z Khan, R Vinay Kumar, A Kumble"/>
    <s v="GC Smith, M Rawat, YK Pathan, SR Watson, M Kaif, RA Jadeja, D Salunkhe, SK Warne, Sohail Tanvir, SK Trivedi, MM Patel"/>
  </r>
  <r>
    <n v="335993"/>
    <s v="Chennai Super Kings"/>
    <s v="Kolkata Knight Riders"/>
    <x v="17"/>
    <n v="2008"/>
    <d v="2008-04-26T00:00:00"/>
    <x v="8"/>
    <x v="1"/>
    <s v="Win"/>
    <s v="NA"/>
    <x v="3"/>
    <x v="307"/>
    <x v="43"/>
    <s v="Chennai"/>
    <s v="PA Patel, ML Hayden, MS Dhoni, MEK Hussey, S Badrinath, SK Raina, JDP Oram, Joginder Sharma, P Amarnath, MS Gony, M Muralitharan"/>
    <s v="SC Ganguly, BB McCullum, RT Ponting, WP Saha, DJ Hussey, Mohammad Hafeez, LR Shukla, AB Agarkar, M Kartik, I Sharma, AB Dinda"/>
  </r>
  <r>
    <n v="335991"/>
    <s v="Kings XI Punjab"/>
    <s v="Mumbai Indians"/>
    <x v="17"/>
    <n v="2008"/>
    <d v="2008-04-25T00:00:00"/>
    <x v="1"/>
    <x v="0"/>
    <s v="Win"/>
    <s v="NA"/>
    <x v="12"/>
    <x v="234"/>
    <x v="41"/>
    <s v="Chandigarh"/>
    <s v="K Goel, IK Pathan, KC Sangakkara, Yuvraj Singh, RR Sarwan, DPMD Jayawardene, S Sohal, B Lee, PP Chawla, S Sreesanth, VRV Singh"/>
    <s v="L Ronchi, ST Jayasuriya, RV Uthappa, DJ Bravo, SS Tiwary, SM Pollock, AM Nayar, Harbhajan Singh, MA Khote, DS Kulkarni, A Nehra"/>
  </r>
  <r>
    <n v="335990"/>
    <s v="Deccan Chargers"/>
    <s v="Rajasthan Royals"/>
    <x v="17"/>
    <n v="2008"/>
    <d v="2008-04-24T00:00:00"/>
    <x v="7"/>
    <x v="0"/>
    <s v="Win"/>
    <s v="NA"/>
    <x v="7"/>
    <x v="189"/>
    <x v="33"/>
    <s v="Hyderabad"/>
    <s v="AC Gilchrist, VVS Laxman, Shahid Afridi, A Symonds, RG Sharma, AS Yadav, SB Bangar, WPUJC Vaas, RP Singh, PP Ojha, D Kalyankrishna"/>
    <s v="Kamran Akmal, GC Smith, YK Pathan, SR Watson, M Kaif, RA Jadeja, SK Warne, D Salunkhe, Pankaj Singh, SK Trivedi, MM Patel"/>
  </r>
  <r>
    <n v="335989"/>
    <s v="Chennai Super Kings"/>
    <s v="Mumbai Indians"/>
    <x v="17"/>
    <n v="2008"/>
    <d v="2008-04-23T00:00:00"/>
    <x v="1"/>
    <x v="0"/>
    <s v="Win"/>
    <s v="NA"/>
    <x v="3"/>
    <x v="277"/>
    <x v="43"/>
    <s v="Chennai"/>
    <s v="PA Patel, ML Hayden, MEK Hussey, SK Raina, MS Dhoni, JDP Oram, S Badrinath, Joginder Sharma, P Amarnath, MS Gony, M Muralitharan"/>
    <s v="L Ronchi, ST Jayasuriya, RV Uthappa, SM Pollock, DJ Bravo, AM Nayar, MA Khote, Harbhajan Singh, A Nehra, VS Yeligati, DS Kulkarni"/>
  </r>
  <r>
    <n v="335988"/>
    <s v="Deccan Chargers"/>
    <s v="Delhi Daredevils"/>
    <x v="17"/>
    <n v="2008"/>
    <d v="2008-04-22T00:00:00"/>
    <x v="17"/>
    <x v="1"/>
    <s v="Win"/>
    <s v="NA"/>
    <x v="13"/>
    <x v="208"/>
    <x v="33"/>
    <s v="Hyderabad"/>
    <s v="AC Gilchrist, Y Venugopal Rao, VVS Laxman, A Symonds, RG Sharma, Shahid Afridi, SB Bangar, AS Yadav, WPUJC Vaas, RP Singh, PP Ojha"/>
    <s v="G Gambhir, V Sehwag, S Dhawan, Shoaib Malik, KD Karthik, MK Tiwary, R Bhatia, MF Maharoof, Mohammad Asif, VY Mahesh, GD McGrath"/>
  </r>
  <r>
    <n v="335987"/>
    <s v="Rajasthan Royals"/>
    <s v="Kings XI Punjab"/>
    <x v="17"/>
    <n v="2008"/>
    <d v="2008-04-21T00:00:00"/>
    <x v="11"/>
    <x v="1"/>
    <s v="Win"/>
    <s v="NA"/>
    <x v="7"/>
    <x v="154"/>
    <x v="30"/>
    <s v="Jaipur"/>
    <s v="M Kaif, Kamran Akmal, YK Pathan, SR Watson, DS Lehmann, RA Jadeja, Pankaj Singh, D Salunkhe, SK Warne, SK Trivedi, MM Patel"/>
    <s v="K Goel, JR Hopes, KC Sangakkara, DPMD Jayawardene, Yuvraj Singh, IK Pathan, S Sohal, B Lee, PP Chawla, WA Mota, S Sreesanth"/>
  </r>
  <r>
    <n v="335985"/>
    <s v="Mumbai Indians"/>
    <s v="Royal Challengers Bangalore"/>
    <x v="17"/>
    <n v="2008"/>
    <d v="2008-04-20T00:00:00"/>
    <x v="1"/>
    <x v="1"/>
    <s v="Win"/>
    <s v="NA"/>
    <x v="11"/>
    <x v="288"/>
    <x v="26"/>
    <s v="Mumbai"/>
    <s v="L Ronchi, ST Jayasuriya, DJ Thornely, RV Uthappa, PR Shah, AM Nayar, SM Pollock, Harbhajan Singh, MA Khote, A Nehra, DS Kulkarni"/>
    <s v="S Chanderpaul, R Dravid, LRPL Taylor, JH Kallis, V Kohli, MV Boucher, B Akhil, P Kumar, Z Khan, SB Joshi, R Vinay Kumar"/>
  </r>
  <r>
    <n v="335986"/>
    <s v="Kolkata Knight Riders"/>
    <s v="Deccan Chargers"/>
    <x v="17"/>
    <n v="2008"/>
    <d v="2008-04-20T00:00:00"/>
    <x v="17"/>
    <x v="1"/>
    <s v="Win"/>
    <s v="NA"/>
    <x v="10"/>
    <x v="231"/>
    <x v="29"/>
    <s v="Kolkata"/>
    <s v="WP Saha, BB McCullum, RT Ponting, SC Ganguly, DJ Hussey, Mohammad Hafeez, LR Shukla, AB Agarkar, AB Dinda, M Kartik, I Sharma"/>
    <s v="AC Gilchrist, Y Venugopal Rao, VVS Laxman, A Symonds, RG Sharma, SB Styris, AS Yadav, SB Bangar, WPUJC Vaas, RP Singh, PP Ojha"/>
  </r>
  <r>
    <n v="335984"/>
    <s v="Delhi Daredevils"/>
    <s v="Rajasthan Royals"/>
    <x v="17"/>
    <n v="2008"/>
    <d v="2008-04-19T00:00:00"/>
    <x v="7"/>
    <x v="1"/>
    <s v="Win"/>
    <s v="NA"/>
    <x v="13"/>
    <x v="308"/>
    <x v="35"/>
    <s v="Delhi"/>
    <s v="G Gambhir, V Sehwag, S Dhawan, MK Tiwary, KD Karthik, R Bhatia, M Manhas, DL Vettori, MF Maharoof, B Geeves, GD McGrath"/>
    <s v="T Kohli, YK Pathan, SR Watson, M Kaif, DS Lehmann, RA Jadeja, M Rawat, D Salunkhe, SK Warne, SK Trivedi, MM Patel"/>
  </r>
  <r>
    <n v="335983"/>
    <s v="Kings XI Punjab"/>
    <s v="Chennai Super Kings"/>
    <x v="17"/>
    <n v="2008"/>
    <d v="2008-04-19T00:00:00"/>
    <x v="3"/>
    <x v="1"/>
    <s v="Win"/>
    <s v="NA"/>
    <x v="3"/>
    <x v="209"/>
    <x v="41"/>
    <s v="Chandigarh"/>
    <s v="K Goel, JR Hopes, KC Sangakkara, Yuvraj Singh, SM Katich, IK Pathan, P Dharmani, B Lee, PP Chawla, WA Mota, S Sreesanth"/>
    <s v="PA Patel, ML Hayden, MEK Hussey, MS Dhoni, SK Raina, JDP Oram, S Badrinath, Joginder Sharma, P Amarnath, MS Gony, M Muralitharan"/>
  </r>
  <r>
    <n v="335982"/>
    <s v="Royal Challengers Bangalore"/>
    <s v="Kolkata Knight Riders"/>
    <x v="17"/>
    <n v="2008"/>
    <d v="2008-04-18T00:00:00"/>
    <x v="10"/>
    <x v="0"/>
    <s v="Win"/>
    <s v="NA"/>
    <x v="10"/>
    <x v="201"/>
    <x v="34"/>
    <s v="Bangalore"/>
    <s v="R Dravid, W Jaffer, V Kohli, JH Kallis, CL White, MV Boucher, B Akhil, AA Noffke, P Kumar, Z Khan, SB Joshi"/>
    <s v="SC Ganguly, BB McCullum, RT Ponting, DJ Hussey, Mohammad Hafeez, LR Shukla, WP Saha, AB Agarkar, AB Dinda, M Kartik, I Sharm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n v="2008"/>
    <x v="0"/>
    <s v="Chennai Super Kings"/>
    <s v="Shane Watson"/>
  </r>
  <r>
    <n v="2009"/>
    <x v="1"/>
    <s v="Royal Challengers Bangalore"/>
    <s v="Adam Gilchrist"/>
  </r>
  <r>
    <n v="2010"/>
    <x v="2"/>
    <s v="Mumbai Indians"/>
    <s v="Sachin Tendulkar"/>
  </r>
  <r>
    <n v="2011"/>
    <x v="2"/>
    <s v="Royal Challengers Bangalore"/>
    <s v="Chris Gayle"/>
  </r>
  <r>
    <n v="2012"/>
    <x v="3"/>
    <s v="Chennai Super Kings"/>
    <s v="Sunil Narine"/>
  </r>
  <r>
    <n v="2013"/>
    <x v="4"/>
    <s v="Chennai Super Kings"/>
    <s v="Shane Watson"/>
  </r>
  <r>
    <n v="2014"/>
    <x v="3"/>
    <s v="Kings XI Punjab"/>
    <s v="Glenn Maxwell"/>
  </r>
  <r>
    <n v="2015"/>
    <x v="4"/>
    <s v="Chennai Super Kings"/>
    <s v="Andre Russell"/>
  </r>
  <r>
    <n v="2016"/>
    <x v="5"/>
    <s v="Royal Challengers Bangalore"/>
    <s v="Virat Kohli"/>
  </r>
  <r>
    <n v="2017"/>
    <x v="4"/>
    <s v="Rising Pune Supergiant"/>
    <s v="Ben Stokes"/>
  </r>
  <r>
    <n v="2018"/>
    <x v="2"/>
    <s v="Sunrisers Hyderabad"/>
    <s v="Sunil Narine"/>
  </r>
  <r>
    <n v="2019"/>
    <x v="4"/>
    <s v="Chennai Super Kings"/>
    <s v="Andre Russell"/>
  </r>
  <r>
    <n v="2020"/>
    <x v="4"/>
    <s v="Delhi Capitals"/>
    <s v="Jofra Archer"/>
  </r>
  <r>
    <n v="2021"/>
    <x v="2"/>
    <s v="Kolkata Knight Riders"/>
    <s v="Harshal Patel"/>
  </r>
  <r>
    <n v="2022"/>
    <x v="6"/>
    <s v="Rajasthan Royals"/>
    <s v="Jos Buttler"/>
  </r>
  <r>
    <n v="2023"/>
    <x v="2"/>
    <s v="Gujarat Titans"/>
    <s v="Shubman Gill"/>
  </r>
  <r>
    <n v="2024"/>
    <x v="3"/>
    <s v="Sunrisers Hyderabad"/>
    <s v="Sunil Narine"/>
  </r>
  <r>
    <n v="2025"/>
    <x v="7"/>
    <s v="Punjab Kings"/>
    <s v="Suryakumar Yada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FF0CDC-E85A-4678-B0D9-91163CFD7E5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D14" firstHeaderRow="1" firstDataRow="2" firstDataCol="1"/>
  <pivotFields count="16">
    <pivotField showAll="0"/>
    <pivotField showAll="0"/>
    <pivotField showAll="0"/>
    <pivotField showAll="0">
      <items count="19">
        <item h="1" x="17"/>
        <item h="1" x="16"/>
        <item h="1" x="15"/>
        <item h="1" x="14"/>
        <item h="1" x="13"/>
        <item h="1" x="12"/>
        <item h="1" x="11"/>
        <item h="1" x="10"/>
        <item h="1" x="9"/>
        <item h="1" x="8"/>
        <item h="1" x="7"/>
        <item x="6"/>
        <item h="1" x="5"/>
        <item h="1" x="4"/>
        <item h="1" x="3"/>
        <item h="1" x="2"/>
        <item h="1" x="1"/>
        <item h="1" x="0"/>
        <item t="default"/>
      </items>
    </pivotField>
    <pivotField showAll="0"/>
    <pivotField numFmtId="14" showAll="0"/>
    <pivotField dataField="1" showAll="0">
      <items count="20">
        <item x="3"/>
        <item x="17"/>
        <item x="5"/>
        <item x="12"/>
        <item x="14"/>
        <item x="6"/>
        <item x="11"/>
        <item x="18"/>
        <item x="8"/>
        <item x="9"/>
        <item x="1"/>
        <item x="16"/>
        <item x="0"/>
        <item x="7"/>
        <item x="13"/>
        <item x="15"/>
        <item x="10"/>
        <item x="2"/>
        <item x="4"/>
        <item t="default"/>
      </items>
    </pivotField>
    <pivotField axis="axisCol" showAll="0">
      <items count="3">
        <item x="1"/>
        <item x="0"/>
        <item t="default"/>
      </items>
    </pivotField>
    <pivotField showAll="0"/>
    <pivotField showAll="0"/>
    <pivotField name="matches toss won" axis="axisRow" showAll="0" sortType="descending">
      <items count="21">
        <item x="3"/>
        <item x="18"/>
        <item x="5"/>
        <item x="13"/>
        <item x="15"/>
        <item x="8"/>
        <item x="12"/>
        <item x="19"/>
        <item x="10"/>
        <item x="6"/>
        <item x="2"/>
        <item x="9"/>
        <item x="17"/>
        <item x="1"/>
        <item x="7"/>
        <item x="14"/>
        <item x="16"/>
        <item x="11"/>
        <item x="0"/>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10"/>
  </rowFields>
  <rowItems count="10">
    <i>
      <x/>
    </i>
    <i>
      <x v="10"/>
    </i>
    <i>
      <x v="2"/>
    </i>
    <i>
      <x v="19"/>
    </i>
    <i>
      <x v="8"/>
    </i>
    <i>
      <x v="6"/>
    </i>
    <i>
      <x v="17"/>
    </i>
    <i>
      <x v="14"/>
    </i>
    <i>
      <x v="11"/>
    </i>
    <i t="grand">
      <x/>
    </i>
  </rowItems>
  <colFields count="1">
    <field x="7"/>
  </colFields>
  <colItems count="3">
    <i>
      <x/>
    </i>
    <i>
      <x v="1"/>
    </i>
    <i t="grand">
      <x/>
    </i>
  </colItems>
  <dataFields count="1">
    <dataField name="Count of toss_winner" fld="6" subtotal="count" baseField="0" baseItem="0"/>
  </dataFields>
  <chartFormats count="4">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5" format="4" series="1">
      <pivotArea type="data" outline="0" fieldPosition="0">
        <references count="2">
          <reference field="4294967294" count="1" selected="0">
            <x v="0"/>
          </reference>
          <reference field="7" count="1" selected="0">
            <x v="0"/>
          </reference>
        </references>
      </pivotArea>
    </chartFormat>
    <chartFormat chart="5" format="5" series="1">
      <pivotArea type="data" outline="0" fieldPosition="0">
        <references count="2">
          <reference field="4294967294" count="1" selected="0">
            <x v="0"/>
          </reference>
          <reference field="7"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8D08AB-33E6-4293-B560-172ABC75BD6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6">
    <pivotField showAll="0"/>
    <pivotField showAll="0"/>
    <pivotField showAll="0"/>
    <pivotField showAll="0">
      <items count="19">
        <item h="1" x="17"/>
        <item h="1" x="16"/>
        <item h="1" x="15"/>
        <item h="1" x="14"/>
        <item h="1" x="13"/>
        <item h="1" x="12"/>
        <item h="1" x="11"/>
        <item h="1" x="10"/>
        <item h="1" x="9"/>
        <item h="1" x="8"/>
        <item h="1" x="7"/>
        <item x="6"/>
        <item h="1" x="5"/>
        <item h="1" x="4"/>
        <item h="1" x="3"/>
        <item h="1" x="2"/>
        <item h="1" x="1"/>
        <item h="1" x="0"/>
        <item t="default"/>
      </items>
    </pivotField>
    <pivotField showAll="0"/>
    <pivotField numFmtId="14" showAll="0"/>
    <pivotField showAll="0"/>
    <pivotField axis="axisRow" showAll="0">
      <items count="3">
        <item x="1"/>
        <item x="0"/>
        <item t="default"/>
      </items>
    </pivotField>
    <pivotField showAll="0"/>
    <pivotField showAll="0"/>
    <pivotField dataField="1" showAll="0"/>
    <pivotField showAll="0"/>
    <pivotField showAll="0"/>
    <pivotField showAll="0"/>
    <pivotField showAll="0"/>
    <pivotField showAll="0"/>
  </pivotFields>
  <rowFields count="1">
    <field x="7"/>
  </rowFields>
  <rowItems count="3">
    <i>
      <x/>
    </i>
    <i>
      <x v="1"/>
    </i>
    <i t="grand">
      <x/>
    </i>
  </rowItems>
  <colItems count="1">
    <i/>
  </colItems>
  <dataFields count="1">
    <dataField name="toss decission" fld="10"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7" count="1" selected="0">
            <x v="0"/>
          </reference>
        </references>
      </pivotArea>
    </chartFormat>
    <chartFormat chart="4" format="7">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476A87-5521-420D-ACFE-3DC7A02FD28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14" firstHeaderRow="1" firstDataRow="2" firstDataCol="1"/>
  <pivotFields count="16">
    <pivotField showAll="0"/>
    <pivotField showAll="0"/>
    <pivotField showAll="0"/>
    <pivotField showAll="0">
      <items count="19">
        <item h="1" x="17"/>
        <item h="1" x="16"/>
        <item h="1" x="15"/>
        <item h="1" x="14"/>
        <item h="1" x="13"/>
        <item h="1" x="12"/>
        <item h="1" x="11"/>
        <item h="1" x="10"/>
        <item h="1" x="9"/>
        <item h="1" x="8"/>
        <item h="1" x="7"/>
        <item x="6"/>
        <item h="1" x="5"/>
        <item h="1" x="4"/>
        <item h="1" x="3"/>
        <item h="1" x="2"/>
        <item h="1" x="1"/>
        <item h="1" x="0"/>
        <item t="default"/>
      </items>
    </pivotField>
    <pivotField showAll="0"/>
    <pivotField numFmtId="14" showAll="0"/>
    <pivotField dataField="1" showAll="0"/>
    <pivotField axis="axisCol" showAll="0">
      <items count="3">
        <item x="1"/>
        <item x="0"/>
        <item t="default"/>
      </items>
    </pivotField>
    <pivotField showAll="0"/>
    <pivotField showAll="0"/>
    <pivotField showAll="0"/>
    <pivotField showAll="0"/>
    <pivotField axis="axisRow" showAll="0" measureFilter="1" sortType="ascending">
      <items count="60">
        <item x="28"/>
        <item x="5"/>
        <item x="45"/>
        <item x="13"/>
        <item x="3"/>
        <item x="42"/>
        <item x="15"/>
        <item x="57"/>
        <item x="56"/>
        <item x="48"/>
        <item x="16"/>
        <item x="23"/>
        <item x="12"/>
        <item x="18"/>
        <item x="29"/>
        <item x="8"/>
        <item x="35"/>
        <item x="36"/>
        <item x="47"/>
        <item x="7"/>
        <item x="32"/>
        <item x="40"/>
        <item x="53"/>
        <item x="34"/>
        <item x="10"/>
        <item x="27"/>
        <item x="24"/>
        <item x="43"/>
        <item x="11"/>
        <item x="2"/>
        <item x="1"/>
        <item x="31"/>
        <item x="17"/>
        <item x="0"/>
        <item x="49"/>
        <item x="51"/>
        <item x="58"/>
        <item x="54"/>
        <item x="25"/>
        <item x="37"/>
        <item x="14"/>
        <item x="41"/>
        <item x="22"/>
        <item x="33"/>
        <item x="9"/>
        <item x="44"/>
        <item x="38"/>
        <item x="30"/>
        <item x="4"/>
        <item x="39"/>
        <item x="19"/>
        <item x="21"/>
        <item x="55"/>
        <item x="46"/>
        <item x="52"/>
        <item x="50"/>
        <item x="26"/>
        <item x="6"/>
        <item x="2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2"/>
  </rowFields>
  <rowItems count="10">
    <i>
      <x v="11"/>
    </i>
    <i>
      <x v="25"/>
    </i>
    <i>
      <x/>
    </i>
    <i>
      <x v="14"/>
    </i>
    <i>
      <x v="38"/>
    </i>
    <i>
      <x v="56"/>
    </i>
    <i>
      <x v="47"/>
    </i>
    <i>
      <x v="26"/>
    </i>
    <i>
      <x v="42"/>
    </i>
    <i t="grand">
      <x/>
    </i>
  </rowItems>
  <colFields count="1">
    <field x="7"/>
  </colFields>
  <colItems count="3">
    <i>
      <x/>
    </i>
    <i>
      <x v="1"/>
    </i>
    <i t="grand">
      <x/>
    </i>
  </colItems>
  <dataFields count="1">
    <dataField name="Count of toss_winner" fld="6" subtotal="count" baseField="0" baseItem="0"/>
  </dataFields>
  <chartFormats count="4">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4" format="4" series="1">
      <pivotArea type="data" outline="0" fieldPosition="0">
        <references count="2">
          <reference field="4294967294" count="1" selected="0">
            <x v="0"/>
          </reference>
          <reference field="7" count="1" selected="0">
            <x v="0"/>
          </reference>
        </references>
      </pivotArea>
    </chartFormat>
    <chartFormat chart="4" format="5" series="1">
      <pivotArea type="data" outline="0" fieldPosition="0">
        <references count="2">
          <reference field="4294967294" count="1" selected="0">
            <x v="0"/>
          </reference>
          <reference field="7" count="1" selected="0">
            <x v="1"/>
          </reference>
        </references>
      </pivotArea>
    </chartFormat>
  </chartFormats>
  <pivotTableStyleInfo showRowHeaders="1" showColHeaders="1" showRowStripes="0" showColStripes="0" showLastColumn="1"/>
  <filters count="1">
    <filter fld="12"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5A4EF4-65B4-4157-A048-6AEDF3F8219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6" firstHeaderRow="1" firstDataRow="1" firstDataCol="1"/>
  <pivotFields count="16">
    <pivotField showAll="0"/>
    <pivotField showAll="0"/>
    <pivotField showAll="0"/>
    <pivotField showAll="0">
      <items count="19">
        <item h="1" x="17"/>
        <item h="1" x="16"/>
        <item h="1" x="15"/>
        <item h="1" x="14"/>
        <item h="1" x="13"/>
        <item h="1" x="12"/>
        <item h="1" x="11"/>
        <item h="1" x="10"/>
        <item h="1" x="9"/>
        <item h="1" x="8"/>
        <item h="1" x="7"/>
        <item x="6"/>
        <item h="1" x="5"/>
        <item h="1" x="4"/>
        <item h="1" x="3"/>
        <item h="1" x="2"/>
        <item h="1" x="1"/>
        <item h="1" x="0"/>
        <item t="default"/>
      </items>
    </pivotField>
    <pivotField showAll="0"/>
    <pivotField numFmtId="14" showAll="0"/>
    <pivotField showAll="0"/>
    <pivotField showAll="0"/>
    <pivotField showAll="0"/>
    <pivotField showAll="0"/>
    <pivotField showAll="0"/>
    <pivotField axis="axisRow" dataField="1" showAll="0" measureFilter="1" sortType="descending">
      <items count="310">
        <item x="232"/>
        <item x="265"/>
        <item x="98"/>
        <item x="145"/>
        <item x="192"/>
        <item x="139"/>
        <item x="284"/>
        <item x="267"/>
        <item x="191"/>
        <item x="276"/>
        <item x="142"/>
        <item x="190"/>
        <item x="13"/>
        <item x="218"/>
        <item x="274"/>
        <item x="241"/>
        <item x="279"/>
        <item x="20"/>
        <item x="196"/>
        <item x="179"/>
        <item x="40"/>
        <item x="12"/>
        <item x="100"/>
        <item x="125"/>
        <item x="217"/>
        <item x="99"/>
        <item x="108"/>
        <item x="165"/>
        <item x="171"/>
        <item x="53"/>
        <item x="49"/>
        <item x="156"/>
        <item x="32"/>
        <item x="216"/>
        <item x="66"/>
        <item x="236"/>
        <item x="14"/>
        <item x="172"/>
        <item x="249"/>
        <item x="150"/>
        <item x="201"/>
        <item x="187"/>
        <item x="214"/>
        <item x="233"/>
        <item x="59"/>
        <item x="168"/>
        <item x="151"/>
        <item x="144"/>
        <item x="184"/>
        <item x="152"/>
        <item x="235"/>
        <item x="194"/>
        <item x="296"/>
        <item x="61"/>
        <item x="6"/>
        <item x="89"/>
        <item x="110"/>
        <item x="115"/>
        <item x="257"/>
        <item x="138"/>
        <item x="205"/>
        <item x="231"/>
        <item x="222"/>
        <item x="146"/>
        <item x="293"/>
        <item x="88"/>
        <item x="287"/>
        <item x="259"/>
        <item x="113"/>
        <item x="176"/>
        <item x="47"/>
        <item x="210"/>
        <item x="130"/>
        <item x="143"/>
        <item x="56"/>
        <item x="178"/>
        <item x="285"/>
        <item x="305"/>
        <item x="95"/>
        <item x="225"/>
        <item x="204"/>
        <item x="101"/>
        <item x="7"/>
        <item x="164"/>
        <item x="223"/>
        <item x="15"/>
        <item x="103"/>
        <item x="163"/>
        <item x="289"/>
        <item x="109"/>
        <item x="181"/>
        <item x="27"/>
        <item x="58"/>
        <item x="244"/>
        <item x="162"/>
        <item x="251"/>
        <item x="9"/>
        <item x="255"/>
        <item x="69"/>
        <item x="97"/>
        <item x="275"/>
        <item x="253"/>
        <item x="46"/>
        <item x="33"/>
        <item x="240"/>
        <item x="147"/>
        <item x="307"/>
        <item x="247"/>
        <item x="213"/>
        <item x="75"/>
        <item x="136"/>
        <item x="71"/>
        <item x="4"/>
        <item x="137"/>
        <item x="203"/>
        <item x="206"/>
        <item x="5"/>
        <item x="28"/>
        <item x="116"/>
        <item x="135"/>
        <item x="140"/>
        <item x="234"/>
        <item x="122"/>
        <item x="0"/>
        <item x="84"/>
        <item x="220"/>
        <item x="175"/>
        <item x="41"/>
        <item x="185"/>
        <item x="161"/>
        <item x="239"/>
        <item x="238"/>
        <item x="132"/>
        <item x="124"/>
        <item x="63"/>
        <item x="38"/>
        <item x="242"/>
        <item x="167"/>
        <item x="128"/>
        <item x="215"/>
        <item x="177"/>
        <item x="280"/>
        <item x="254"/>
        <item x="127"/>
        <item x="120"/>
        <item x="266"/>
        <item x="207"/>
        <item x="281"/>
        <item x="295"/>
        <item x="76"/>
        <item x="22"/>
        <item x="212"/>
        <item x="195"/>
        <item x="123"/>
        <item x="35"/>
        <item x="107"/>
        <item x="200"/>
        <item x="188"/>
        <item x="262"/>
        <item x="209"/>
        <item x="308"/>
        <item x="219"/>
        <item x="271"/>
        <item x="182"/>
        <item x="153"/>
        <item x="256"/>
        <item x="277"/>
        <item x="106"/>
        <item x="246"/>
        <item x="83"/>
        <item x="243"/>
        <item x="96"/>
        <item x="45"/>
        <item x="117"/>
        <item x="67"/>
        <item x="82"/>
        <item x="10"/>
        <item x="229"/>
        <item x="37"/>
        <item x="226"/>
        <item x="169"/>
        <item x="121"/>
        <item x="30"/>
        <item x="87"/>
        <item x="288"/>
        <item x="16"/>
        <item x="42"/>
        <item x="50"/>
        <item x="79"/>
        <item x="134"/>
        <item x="17"/>
        <item x="105"/>
        <item x="273"/>
        <item x="131"/>
        <item x="193"/>
        <item x="197"/>
        <item x="252"/>
        <item x="19"/>
        <item x="158"/>
        <item x="261"/>
        <item x="272"/>
        <item x="39"/>
        <item x="126"/>
        <item x="155"/>
        <item x="93"/>
        <item x="199"/>
        <item x="291"/>
        <item x="141"/>
        <item x="43"/>
        <item x="211"/>
        <item x="114"/>
        <item x="52"/>
        <item x="55"/>
        <item x="282"/>
        <item x="228"/>
        <item x="268"/>
        <item x="85"/>
        <item x="74"/>
        <item x="250"/>
        <item x="21"/>
        <item x="118"/>
        <item x="224"/>
        <item x="64"/>
        <item x="111"/>
        <item x="78"/>
        <item x="148"/>
        <item x="68"/>
        <item x="23"/>
        <item x="245"/>
        <item x="2"/>
        <item x="269"/>
        <item x="92"/>
        <item x="44"/>
        <item x="294"/>
        <item x="72"/>
        <item x="90"/>
        <item x="292"/>
        <item x="180"/>
        <item x="264"/>
        <item x="248"/>
        <item x="283"/>
        <item x="104"/>
        <item x="86"/>
        <item x="166"/>
        <item x="149"/>
        <item x="260"/>
        <item x="303"/>
        <item x="304"/>
        <item x="11"/>
        <item x="8"/>
        <item x="73"/>
        <item x="286"/>
        <item x="263"/>
        <item x="237"/>
        <item x="202"/>
        <item x="54"/>
        <item x="230"/>
        <item x="81"/>
        <item x="133"/>
        <item x="302"/>
        <item x="18"/>
        <item x="102"/>
        <item x="60"/>
        <item x="183"/>
        <item x="227"/>
        <item x="258"/>
        <item x="160"/>
        <item x="57"/>
        <item x="306"/>
        <item x="300"/>
        <item x="51"/>
        <item x="77"/>
        <item x="297"/>
        <item x="299"/>
        <item x="24"/>
        <item x="159"/>
        <item x="221"/>
        <item x="154"/>
        <item x="1"/>
        <item x="301"/>
        <item x="3"/>
        <item x="70"/>
        <item x="173"/>
        <item x="29"/>
        <item x="170"/>
        <item x="34"/>
        <item x="270"/>
        <item x="290"/>
        <item x="62"/>
        <item x="298"/>
        <item x="119"/>
        <item x="129"/>
        <item x="31"/>
        <item x="208"/>
        <item x="25"/>
        <item x="48"/>
        <item x="157"/>
        <item x="65"/>
        <item x="174"/>
        <item x="91"/>
        <item x="26"/>
        <item x="112"/>
        <item x="278"/>
        <item x="80"/>
        <item x="94"/>
        <item x="189"/>
        <item x="36"/>
        <item x="186"/>
        <item x="19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11"/>
  </rowFields>
  <rowItems count="13">
    <i>
      <x v="17"/>
    </i>
    <i>
      <x v="234"/>
    </i>
    <i>
      <x v="178"/>
    </i>
    <i>
      <x v="89"/>
    </i>
    <i>
      <x v="109"/>
    </i>
    <i>
      <x v="10"/>
    </i>
    <i>
      <x v="241"/>
    </i>
    <i>
      <x v="57"/>
    </i>
    <i>
      <x v="111"/>
    </i>
    <i>
      <x v="277"/>
    </i>
    <i>
      <x v="127"/>
    </i>
    <i>
      <x v="83"/>
    </i>
    <i t="grand">
      <x/>
    </i>
  </rowItems>
  <colItems count="1">
    <i/>
  </colItems>
  <dataFields count="1">
    <dataField name="mom" fld="11" subtotal="count" baseField="0" baseItem="0"/>
  </dataFields>
  <pivotTableStyleInfo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A58061-7844-4A1C-B77B-9063DBEF6D3C}"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pivotFields count="4">
    <pivotField showAll="0"/>
    <pivotField axis="axisRow" dataField="1" showAll="0">
      <items count="9">
        <item x="2"/>
        <item x="1"/>
        <item x="6"/>
        <item x="3"/>
        <item x="4"/>
        <item x="0"/>
        <item x="7"/>
        <item x="5"/>
        <item t="default"/>
      </items>
    </pivotField>
    <pivotField showAll="0"/>
    <pivotField showAll="0"/>
  </pivotFields>
  <rowFields count="1">
    <field x="1"/>
  </rowFields>
  <rowItems count="9">
    <i>
      <x/>
    </i>
    <i>
      <x v="1"/>
    </i>
    <i>
      <x v="2"/>
    </i>
    <i>
      <x v="3"/>
    </i>
    <i>
      <x v="4"/>
    </i>
    <i>
      <x v="5"/>
    </i>
    <i>
      <x v="6"/>
    </i>
    <i>
      <x v="7"/>
    </i>
    <i t="grand">
      <x/>
    </i>
  </rowItems>
  <colItems count="1">
    <i/>
  </colItems>
  <dataFields count="1">
    <dataField name="Count of Winner" fld="1" subtotal="count"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433027-2507-40E4-91E6-5A1980E0684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5" firstHeaderRow="1" firstDataRow="1" firstDataCol="1"/>
  <pivotFields count="16">
    <pivotField showAll="0"/>
    <pivotField showAll="0"/>
    <pivotField showAll="0"/>
    <pivotField axis="axisRow" showAll="0">
      <items count="19">
        <item h="1" x="17"/>
        <item h="1" x="16"/>
        <item h="1" x="15"/>
        <item h="1" x="14"/>
        <item h="1" x="13"/>
        <item h="1" x="12"/>
        <item h="1" x="11"/>
        <item h="1" x="10"/>
        <item h="1" x="9"/>
        <item h="1" x="8"/>
        <item h="1" x="7"/>
        <item x="6"/>
        <item h="1" x="5"/>
        <item h="1" x="4"/>
        <item h="1" x="3"/>
        <item h="1" x="2"/>
        <item h="1" x="1"/>
        <item h="1" x="0"/>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s>
  <rowFields count="1">
    <field x="3"/>
  </rowFields>
  <rowItems count="2">
    <i>
      <x v="11"/>
    </i>
    <i t="grand">
      <x/>
    </i>
  </rowItems>
  <colItems count="1">
    <i/>
  </colItem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4B3DCDCB-9388-4C25-93F3-C8F5C6213F1A}" sourceName="Season">
  <pivotTables>
    <pivotTable tabId="4" name="PivotTable3"/>
    <pivotTable tabId="9" name="PivotTable10"/>
    <pivotTable tabId="2" name="PivotTable1"/>
    <pivotTable tabId="6" name="PivotTable4"/>
    <pivotTable tabId="3" name="PivotTable2"/>
  </pivotTables>
  <data>
    <tabular pivotCacheId="362646580">
      <items count="18">
        <i x="17"/>
        <i x="16"/>
        <i x="15"/>
        <i x="14"/>
        <i x="13"/>
        <i x="12"/>
        <i x="11"/>
        <i x="10"/>
        <i x="9"/>
        <i x="8"/>
        <i x="7"/>
        <i x="6" s="1"/>
        <i x="5"/>
        <i x="4"/>
        <i x="3"/>
        <i x="2"/>
        <i x="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3" xr10:uid="{9F22AEF4-D16A-43AB-A9C7-74210970031C}" cache="Slicer_Season" caption="Season" columnCount="6" style="SlicerStyleDark3" rowHeight="25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xr10:uid="{7A2D91A8-E139-40C2-8615-0B977A05CEAA}" cache="Slicer_Season" caption="Season" rowHeight="2095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1" xr10:uid="{B2089C18-1B9C-436F-96E0-2054F6D6E5DD}" cache="Slicer_Season" caption="Season" rowHeight="2095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2" xr10:uid="{3898CC98-4E7F-4731-BEBE-DAECC307882F}" cache="Slicer_Season" caption="Season"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687A2-77CF-43DC-B801-6C2EEAC4F6D8}" name="winners" displayName="winners" ref="A1:D19" totalsRowShown="0" headerRowCellStyle="Normal 2" dataCellStyle="Normal 2">
  <autoFilter ref="A1:D19" xr:uid="{F2F687A2-77CF-43DC-B801-6C2EEAC4F6D8}"/>
  <tableColumns count="4">
    <tableColumn id="1" xr3:uid="{C14E1E8C-0ECD-4128-A853-0373C099E591}" name="Year" dataCellStyle="Normal 2"/>
    <tableColumn id="2" xr3:uid="{038C9011-A168-45A6-A21B-5968068C25CE}" name="Winner" dataCellStyle="Normal 2"/>
    <tableColumn id="3" xr3:uid="{0300FB02-6009-4040-AFB0-4FACFBCB36BD}" name="Runner-up" dataCellStyle="Normal 2"/>
    <tableColumn id="4" xr3:uid="{BED70BE1-74E4-4BAB-A358-892E545B3675}" name="Player of the Season" dataCellStyle="Normal 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61673DA-FCDF-4891-BE82-7288E61B9674}" name="winners6" displayName="winners6" ref="D27:G45" totalsRowShown="0" headerRowCellStyle="Normal 2" dataCellStyle="Normal 2">
  <autoFilter ref="D27:G45" xr:uid="{961673DA-FCDF-4891-BE82-7288E61B9674}"/>
  <tableColumns count="4">
    <tableColumn id="1" xr3:uid="{4850EFA2-AA44-432F-BA1F-7949BF403FF7}" name="Year" dataCellStyle="Normal 2"/>
    <tableColumn id="2" xr3:uid="{2FF90F37-98B3-4172-807B-32E306EE0FEB}" name="Winner" dataCellStyle="Normal 2"/>
    <tableColumn id="3" xr3:uid="{60078D4C-EA06-4AFD-9435-38C92287C867}" name="Runner-up" dataCellStyle="Normal 2"/>
    <tableColumn id="4" xr3:uid="{1D38B7EF-9C0F-4565-8D68-FE9BA4CE2A72}" name="Player of the Season" dataCellStyle="Normal 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722EB0-9057-4E4F-90F3-3B3055B77830}" name="IPL" displayName="IPL" ref="A1:P1170" totalsRowShown="0" headerRowDxfId="17" dataDxfId="16">
  <autoFilter ref="A1:P1170" xr:uid="{D2722EB0-9057-4E4F-90F3-3B3055B77830}"/>
  <tableColumns count="16">
    <tableColumn id="1" xr3:uid="{728152AA-4AAB-47C4-A0B0-B3F8D5AFD5A7}" name="match_number" dataDxfId="15"/>
    <tableColumn id="2" xr3:uid="{B38655B5-A397-4C27-9051-2836B08A92BF}" name="team1" dataDxfId="14"/>
    <tableColumn id="3" xr3:uid="{E87C39A9-4606-4A2A-90C6-18A61EF85AEE}" name="team2" dataDxfId="13"/>
    <tableColumn id="4" xr3:uid="{651C6AFC-1DB9-49CC-B172-97E3CC8AE7D8}" name="Season" dataDxfId="12">
      <calculatedColumnFormula>_xlfn.SINGLE(_xlfn.CONCAT("IPL-",E2))</calculatedColumnFormula>
    </tableColumn>
    <tableColumn id="5" xr3:uid="{25EF5CA4-B1D4-4130-9C70-9E12733D269A}" name="Year" dataDxfId="11">
      <calculatedColumnFormula>YEAR('IPL Info'!$F2)</calculatedColumnFormula>
    </tableColumn>
    <tableColumn id="6" xr3:uid="{FD7F3C70-12FD-4BF9-AAB3-FEF3BC7F8628}" name="match_date" dataDxfId="10"/>
    <tableColumn id="7" xr3:uid="{305504C1-76E1-48B5-8279-38A3577F3BDD}" name="toss_winner" dataDxfId="9"/>
    <tableColumn id="8" xr3:uid="{83D411D7-BF64-49BD-8881-6F07328A37DC}" name="toss_decision" dataDxfId="8"/>
    <tableColumn id="9" xr3:uid="{D902B638-4033-4A34-971F-D8EF420B1013}" name="result" dataDxfId="7"/>
    <tableColumn id="10" xr3:uid="{C0E6918F-3E1D-48B7-B450-9DBC92FE6C30}" name="eliminator" dataDxfId="6"/>
    <tableColumn id="11" xr3:uid="{89711BDF-B4A0-4260-B898-5262CCACA14D}" name="winner" dataDxfId="5"/>
    <tableColumn id="12" xr3:uid="{40E1B1D0-7566-4272-9F06-A03198F15F62}" name="player_of_match" dataDxfId="4"/>
    <tableColumn id="13" xr3:uid="{1EDFCCB3-7AFB-4934-86F1-3C58AE2AF3E4}" name="venue" dataDxfId="3"/>
    <tableColumn id="14" xr3:uid="{DB805987-5346-40FF-A05C-8DB95C872431}" name="city" dataDxfId="2"/>
    <tableColumn id="15" xr3:uid="{37F68233-4E26-413A-A9B4-2A3E564FFB9B}" name="team1_players" dataDxfId="1"/>
    <tableColumn id="16" xr3:uid="{7E56644F-D772-4EA6-ACD6-8C2DF2194144}" name="team2_players"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7.xml"/><Relationship Id="rId1" Type="http://schemas.openxmlformats.org/officeDocument/2006/relationships/pivotTable" Target="../pivotTables/pivotTable6.xml"/><Relationship Id="rId4" Type="http://schemas.microsoft.com/office/2007/relationships/slicer" Target="../slicers/slicer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DB2B8-1E43-47F7-B827-8286112EB85C}">
  <dimension ref="A1"/>
  <sheetViews>
    <sheetView tabSelected="1" zoomScale="55" zoomScaleNormal="55" workbookViewId="0">
      <selection activeCell="L53" sqref="L53"/>
    </sheetView>
  </sheetViews>
  <sheetFormatPr defaultRowHeight="13.2"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21B87-C882-4869-B86D-C6D182F10DBF}">
  <dimension ref="A3:D14"/>
  <sheetViews>
    <sheetView workbookViewId="0">
      <selection activeCell="A11" sqref="A11"/>
    </sheetView>
  </sheetViews>
  <sheetFormatPr defaultRowHeight="13.2" x14ac:dyDescent="0.25"/>
  <cols>
    <col min="1" max="1" width="24.77734375" bestFit="1" customWidth="1"/>
    <col min="2" max="2" width="15.109375" bestFit="1" customWidth="1"/>
    <col min="3" max="3" width="4.33203125" bestFit="1" customWidth="1"/>
    <col min="4" max="4" width="10.33203125" bestFit="1" customWidth="1"/>
  </cols>
  <sheetData>
    <row r="3" spans="1:4" x14ac:dyDescent="0.25">
      <c r="A3" s="12" t="s">
        <v>2725</v>
      </c>
      <c r="B3" s="12" t="s">
        <v>2726</v>
      </c>
      <c r="C3" s="7"/>
      <c r="D3" s="8"/>
    </row>
    <row r="4" spans="1:4" x14ac:dyDescent="0.25">
      <c r="A4" s="12" t="s">
        <v>2723</v>
      </c>
      <c r="B4" s="6" t="s">
        <v>31</v>
      </c>
      <c r="C4" s="19" t="s">
        <v>18</v>
      </c>
      <c r="D4" s="13" t="s">
        <v>2724</v>
      </c>
    </row>
    <row r="5" spans="1:4" x14ac:dyDescent="0.25">
      <c r="A5" s="14" t="s">
        <v>51</v>
      </c>
      <c r="B5" s="21">
        <v>2</v>
      </c>
      <c r="C5" s="22">
        <v>8</v>
      </c>
      <c r="D5" s="23">
        <v>10</v>
      </c>
    </row>
    <row r="6" spans="1:4" x14ac:dyDescent="0.25">
      <c r="A6" s="15" t="s">
        <v>26</v>
      </c>
      <c r="B6" s="24">
        <v>3</v>
      </c>
      <c r="C6" s="25">
        <v>7</v>
      </c>
      <c r="D6" s="26">
        <v>10</v>
      </c>
    </row>
    <row r="7" spans="1:4" x14ac:dyDescent="0.25">
      <c r="A7" s="15" t="s">
        <v>62</v>
      </c>
      <c r="B7" s="24">
        <v>2</v>
      </c>
      <c r="C7" s="25">
        <v>7</v>
      </c>
      <c r="D7" s="26">
        <v>9</v>
      </c>
    </row>
    <row r="8" spans="1:4" x14ac:dyDescent="0.25">
      <c r="A8" s="15" t="s">
        <v>55</v>
      </c>
      <c r="B8" s="24">
        <v>2</v>
      </c>
      <c r="C8" s="25">
        <v>4</v>
      </c>
      <c r="D8" s="26">
        <v>6</v>
      </c>
    </row>
    <row r="9" spans="1:4" x14ac:dyDescent="0.25">
      <c r="A9" s="15" t="s">
        <v>56</v>
      </c>
      <c r="B9" s="24"/>
      <c r="C9" s="25">
        <v>6</v>
      </c>
      <c r="D9" s="26">
        <v>6</v>
      </c>
    </row>
    <row r="10" spans="1:4" x14ac:dyDescent="0.25">
      <c r="A10" s="15" t="s">
        <v>925</v>
      </c>
      <c r="B10" s="24"/>
      <c r="C10" s="25">
        <v>6</v>
      </c>
      <c r="D10" s="26">
        <v>6</v>
      </c>
    </row>
    <row r="11" spans="1:4" x14ac:dyDescent="0.25">
      <c r="A11" s="15" t="s">
        <v>445</v>
      </c>
      <c r="B11" s="24"/>
      <c r="C11" s="25">
        <v>5</v>
      </c>
      <c r="D11" s="26">
        <v>5</v>
      </c>
    </row>
    <row r="12" spans="1:4" x14ac:dyDescent="0.25">
      <c r="A12" s="15" t="s">
        <v>77</v>
      </c>
      <c r="B12" s="24"/>
      <c r="C12" s="25">
        <v>5</v>
      </c>
      <c r="D12" s="26">
        <v>5</v>
      </c>
    </row>
    <row r="13" spans="1:4" x14ac:dyDescent="0.25">
      <c r="A13" s="15" t="s">
        <v>20</v>
      </c>
      <c r="B13" s="24">
        <v>1</v>
      </c>
      <c r="C13" s="25">
        <v>2</v>
      </c>
      <c r="D13" s="26">
        <v>3</v>
      </c>
    </row>
    <row r="14" spans="1:4" x14ac:dyDescent="0.25">
      <c r="A14" s="17" t="s">
        <v>2724</v>
      </c>
      <c r="B14" s="27">
        <v>10</v>
      </c>
      <c r="C14" s="28">
        <v>50</v>
      </c>
      <c r="D14" s="29">
        <v>60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8A22A-BBD0-4BFF-BDD8-3E1934275BE1}">
  <dimension ref="A3:B6"/>
  <sheetViews>
    <sheetView workbookViewId="0">
      <selection activeCell="B3" sqref="B3"/>
    </sheetView>
  </sheetViews>
  <sheetFormatPr defaultRowHeight="13.2" x14ac:dyDescent="0.25"/>
  <cols>
    <col min="1" max="2" width="12.44140625" bestFit="1" customWidth="1"/>
  </cols>
  <sheetData>
    <row r="3" spans="1:2" x14ac:dyDescent="0.25">
      <c r="A3" s="12" t="s">
        <v>2723</v>
      </c>
      <c r="B3" s="13" t="s">
        <v>2727</v>
      </c>
    </row>
    <row r="4" spans="1:2" x14ac:dyDescent="0.25">
      <c r="A4" s="14" t="s">
        <v>31</v>
      </c>
      <c r="B4" s="23">
        <v>10</v>
      </c>
    </row>
    <row r="5" spans="1:2" x14ac:dyDescent="0.25">
      <c r="A5" s="15" t="s">
        <v>18</v>
      </c>
      <c r="B5" s="26">
        <v>50</v>
      </c>
    </row>
    <row r="6" spans="1:2" x14ac:dyDescent="0.25">
      <c r="A6" s="17" t="s">
        <v>2724</v>
      </c>
      <c r="B6" s="29">
        <v>60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47E8D-4213-48CD-BDEB-826387751F70}">
  <dimension ref="A3:D14"/>
  <sheetViews>
    <sheetView workbookViewId="0">
      <selection activeCell="D23" sqref="D23"/>
    </sheetView>
  </sheetViews>
  <sheetFormatPr defaultRowHeight="13.2" x14ac:dyDescent="0.25"/>
  <cols>
    <col min="1" max="1" width="48.5546875" bestFit="1" customWidth="1"/>
    <col min="2" max="2" width="15.109375" bestFit="1" customWidth="1"/>
    <col min="3" max="3" width="4.33203125" bestFit="1" customWidth="1"/>
    <col min="4" max="4" width="10.33203125" bestFit="1" customWidth="1"/>
  </cols>
  <sheetData>
    <row r="3" spans="1:4" x14ac:dyDescent="0.25">
      <c r="A3" s="12" t="s">
        <v>2725</v>
      </c>
      <c r="B3" s="12" t="s">
        <v>2726</v>
      </c>
      <c r="C3" s="7"/>
      <c r="D3" s="8"/>
    </row>
    <row r="4" spans="1:4" x14ac:dyDescent="0.25">
      <c r="A4" s="12" t="s">
        <v>2723</v>
      </c>
      <c r="B4" s="6" t="s">
        <v>31</v>
      </c>
      <c r="C4" s="19" t="s">
        <v>18</v>
      </c>
      <c r="D4" s="13" t="s">
        <v>2724</v>
      </c>
    </row>
    <row r="5" spans="1:4" x14ac:dyDescent="0.25">
      <c r="A5" s="14" t="s">
        <v>1034</v>
      </c>
      <c r="B5" s="21"/>
      <c r="C5" s="22">
        <v>2</v>
      </c>
      <c r="D5" s="23">
        <v>2</v>
      </c>
    </row>
    <row r="6" spans="1:4" x14ac:dyDescent="0.25">
      <c r="A6" s="15" t="s">
        <v>1048</v>
      </c>
      <c r="B6" s="24"/>
      <c r="C6" s="25">
        <v>7</v>
      </c>
      <c r="D6" s="26">
        <v>7</v>
      </c>
    </row>
    <row r="7" spans="1:4" x14ac:dyDescent="0.25">
      <c r="A7" s="15" t="s">
        <v>1051</v>
      </c>
      <c r="B7" s="24">
        <v>4</v>
      </c>
      <c r="C7" s="25">
        <v>3</v>
      </c>
      <c r="D7" s="26">
        <v>7</v>
      </c>
    </row>
    <row r="8" spans="1:4" x14ac:dyDescent="0.25">
      <c r="A8" s="15" t="s">
        <v>1064</v>
      </c>
      <c r="B8" s="24"/>
      <c r="C8" s="25">
        <v>7</v>
      </c>
      <c r="D8" s="26">
        <v>7</v>
      </c>
    </row>
    <row r="9" spans="1:4" x14ac:dyDescent="0.25">
      <c r="A9" s="15" t="s">
        <v>1042</v>
      </c>
      <c r="B9" s="24"/>
      <c r="C9" s="25">
        <v>7</v>
      </c>
      <c r="D9" s="26">
        <v>7</v>
      </c>
    </row>
    <row r="10" spans="1:4" x14ac:dyDescent="0.25">
      <c r="A10" s="15" t="s">
        <v>1045</v>
      </c>
      <c r="B10" s="24">
        <v>1</v>
      </c>
      <c r="C10" s="25">
        <v>6</v>
      </c>
      <c r="D10" s="26">
        <v>7</v>
      </c>
    </row>
    <row r="11" spans="1:4" x14ac:dyDescent="0.25">
      <c r="A11" s="15" t="s">
        <v>1069</v>
      </c>
      <c r="B11" s="24"/>
      <c r="C11" s="25">
        <v>7</v>
      </c>
      <c r="D11" s="26">
        <v>7</v>
      </c>
    </row>
    <row r="12" spans="1:4" x14ac:dyDescent="0.25">
      <c r="A12" s="15" t="s">
        <v>1039</v>
      </c>
      <c r="B12" s="24">
        <v>2</v>
      </c>
      <c r="C12" s="25">
        <v>6</v>
      </c>
      <c r="D12" s="26">
        <v>8</v>
      </c>
    </row>
    <row r="13" spans="1:4" x14ac:dyDescent="0.25">
      <c r="A13" s="15" t="s">
        <v>1031</v>
      </c>
      <c r="B13" s="24">
        <v>3</v>
      </c>
      <c r="C13" s="25">
        <v>5</v>
      </c>
      <c r="D13" s="26">
        <v>8</v>
      </c>
    </row>
    <row r="14" spans="1:4" x14ac:dyDescent="0.25">
      <c r="A14" s="17" t="s">
        <v>2724</v>
      </c>
      <c r="B14" s="27">
        <v>10</v>
      </c>
      <c r="C14" s="28">
        <v>50</v>
      </c>
      <c r="D14" s="29">
        <v>60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1DE86-58FF-4633-8BEC-1BD862065F41}">
  <dimension ref="A3:F16"/>
  <sheetViews>
    <sheetView workbookViewId="0">
      <selection activeCell="L25" sqref="L25"/>
    </sheetView>
  </sheetViews>
  <sheetFormatPr defaultRowHeight="13.2" x14ac:dyDescent="0.25"/>
  <cols>
    <col min="1" max="1" width="14.5546875" bestFit="1" customWidth="1"/>
    <col min="2" max="2" width="4.88671875" bestFit="1" customWidth="1"/>
    <col min="5" max="5" width="11.88671875" customWidth="1"/>
    <col min="6" max="6" width="11.6640625" customWidth="1"/>
  </cols>
  <sheetData>
    <row r="3" spans="1:6" x14ac:dyDescent="0.25">
      <c r="A3" s="12" t="s">
        <v>2723</v>
      </c>
      <c r="B3" s="13" t="s">
        <v>2738</v>
      </c>
      <c r="E3" t="s">
        <v>2736</v>
      </c>
      <c r="F3" t="s">
        <v>2737</v>
      </c>
    </row>
    <row r="4" spans="1:6" x14ac:dyDescent="0.25">
      <c r="A4" s="14" t="s">
        <v>111</v>
      </c>
      <c r="B4" s="23">
        <v>4</v>
      </c>
      <c r="E4" t="str">
        <f>A4</f>
        <v>AD Russell</v>
      </c>
      <c r="F4">
        <f>GETPIVOTDATA("player_of_match",$A$3,"player_of_match",A4)</f>
        <v>4</v>
      </c>
    </row>
    <row r="5" spans="1:6" x14ac:dyDescent="0.25">
      <c r="A5" s="15" t="s">
        <v>339</v>
      </c>
      <c r="B5" s="26">
        <v>3</v>
      </c>
      <c r="E5" t="str">
        <f t="shared" ref="E5:E13" si="0">A5</f>
        <v>RR Pant</v>
      </c>
      <c r="F5">
        <f t="shared" ref="F5:F13" si="1">GETPIVOTDATA("player_of_match",$A$3,"player_of_match",A5)</f>
        <v>3</v>
      </c>
    </row>
    <row r="6" spans="1:6" x14ac:dyDescent="0.25">
      <c r="A6" s="15" t="s">
        <v>180</v>
      </c>
      <c r="B6" s="26">
        <v>3</v>
      </c>
      <c r="E6" t="str">
        <f t="shared" si="0"/>
        <v>MS Dhoni</v>
      </c>
      <c r="F6">
        <f t="shared" si="1"/>
        <v>3</v>
      </c>
    </row>
    <row r="7" spans="1:6" x14ac:dyDescent="0.25">
      <c r="A7" s="15" t="s">
        <v>604</v>
      </c>
      <c r="B7" s="26">
        <v>3</v>
      </c>
      <c r="E7" t="str">
        <f t="shared" si="0"/>
        <v>HH Pandya</v>
      </c>
      <c r="F7">
        <f t="shared" si="1"/>
        <v>3</v>
      </c>
    </row>
    <row r="8" spans="1:6" x14ac:dyDescent="0.25">
      <c r="A8" s="15" t="s">
        <v>356</v>
      </c>
      <c r="B8" s="26">
        <v>3</v>
      </c>
      <c r="E8" t="str">
        <f t="shared" si="0"/>
        <v>JJ Bumrah</v>
      </c>
      <c r="F8">
        <f t="shared" si="1"/>
        <v>3</v>
      </c>
    </row>
    <row r="9" spans="1:6" x14ac:dyDescent="0.25">
      <c r="A9" s="15" t="s">
        <v>861</v>
      </c>
      <c r="B9" s="26">
        <v>2</v>
      </c>
      <c r="E9" t="str">
        <f t="shared" si="0"/>
        <v>AB de Villiers</v>
      </c>
      <c r="F9">
        <f t="shared" si="1"/>
        <v>2</v>
      </c>
    </row>
    <row r="10" spans="1:6" x14ac:dyDescent="0.25">
      <c r="A10" s="15" t="s">
        <v>571</v>
      </c>
      <c r="B10" s="26">
        <v>2</v>
      </c>
      <c r="E10" t="str">
        <f t="shared" si="0"/>
        <v>S Dhawan</v>
      </c>
      <c r="F10">
        <f t="shared" si="1"/>
        <v>2</v>
      </c>
    </row>
    <row r="11" spans="1:6" x14ac:dyDescent="0.25">
      <c r="A11" s="15" t="s">
        <v>658</v>
      </c>
      <c r="B11" s="26">
        <v>2</v>
      </c>
      <c r="E11" t="str">
        <f t="shared" si="0"/>
        <v>DA Warner</v>
      </c>
      <c r="F11">
        <f t="shared" si="1"/>
        <v>2</v>
      </c>
    </row>
    <row r="12" spans="1:6" x14ac:dyDescent="0.25">
      <c r="A12" s="15" t="s">
        <v>334</v>
      </c>
      <c r="B12" s="26">
        <v>2</v>
      </c>
      <c r="E12" t="str">
        <f t="shared" si="0"/>
        <v>JM Bairstow</v>
      </c>
      <c r="F12">
        <f t="shared" si="1"/>
        <v>2</v>
      </c>
    </row>
    <row r="13" spans="1:6" x14ac:dyDescent="0.25">
      <c r="A13" s="15" t="s">
        <v>996</v>
      </c>
      <c r="B13" s="26">
        <v>2</v>
      </c>
      <c r="E13" t="str">
        <f t="shared" si="0"/>
        <v>SR Watson</v>
      </c>
      <c r="F13">
        <f t="shared" si="1"/>
        <v>2</v>
      </c>
    </row>
    <row r="14" spans="1:6" x14ac:dyDescent="0.25">
      <c r="A14" s="15" t="s">
        <v>196</v>
      </c>
      <c r="B14" s="26">
        <v>2</v>
      </c>
    </row>
    <row r="15" spans="1:6" x14ac:dyDescent="0.25">
      <c r="A15" s="15" t="s">
        <v>1129</v>
      </c>
      <c r="B15" s="26">
        <v>2</v>
      </c>
    </row>
    <row r="16" spans="1:6" x14ac:dyDescent="0.25">
      <c r="A16" s="17" t="s">
        <v>2724</v>
      </c>
      <c r="B16" s="29">
        <v>30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95954-E83E-471E-80E3-CCEAA3B061AD}">
  <dimension ref="A3:E12"/>
  <sheetViews>
    <sheetView workbookViewId="0">
      <selection activeCell="A6" sqref="A6"/>
    </sheetView>
  </sheetViews>
  <sheetFormatPr defaultRowHeight="13.2" x14ac:dyDescent="0.25"/>
  <cols>
    <col min="1" max="1" width="24.77734375" bestFit="1" customWidth="1"/>
    <col min="2" max="2" width="14.5546875" bestFit="1" customWidth="1"/>
    <col min="4" max="4" width="24.109375" customWidth="1"/>
  </cols>
  <sheetData>
    <row r="3" spans="1:5" x14ac:dyDescent="0.25">
      <c r="A3" s="12" t="s">
        <v>2723</v>
      </c>
      <c r="B3" s="13" t="s">
        <v>2755</v>
      </c>
      <c r="D3" t="s">
        <v>2756</v>
      </c>
      <c r="E3" t="s">
        <v>2757</v>
      </c>
    </row>
    <row r="4" spans="1:5" x14ac:dyDescent="0.25">
      <c r="A4" s="14" t="s">
        <v>51</v>
      </c>
      <c r="B4" s="13">
        <v>5</v>
      </c>
      <c r="D4" t="str">
        <f>A4</f>
        <v>Chennai Super Kings</v>
      </c>
      <c r="E4">
        <f>GETPIVOTDATA("Winner",$A$3,"Winner",A4)</f>
        <v>5</v>
      </c>
    </row>
    <row r="5" spans="1:5" x14ac:dyDescent="0.25">
      <c r="A5" s="15" t="s">
        <v>1998</v>
      </c>
      <c r="B5" s="16">
        <v>1</v>
      </c>
      <c r="D5" t="str">
        <f t="shared" ref="D5:D11" si="0">A5</f>
        <v>Deccan Chargers</v>
      </c>
      <c r="E5">
        <f t="shared" ref="E5:E11" si="1">GETPIVOTDATA("Winner",$A$3,"Winner",A5)</f>
        <v>1</v>
      </c>
    </row>
    <row r="6" spans="1:5" x14ac:dyDescent="0.25">
      <c r="A6" s="15" t="s">
        <v>30</v>
      </c>
      <c r="B6" s="16">
        <v>1</v>
      </c>
      <c r="D6" t="str">
        <f t="shared" si="0"/>
        <v>Gujarat Titans</v>
      </c>
      <c r="E6">
        <f t="shared" si="1"/>
        <v>1</v>
      </c>
    </row>
    <row r="7" spans="1:5" x14ac:dyDescent="0.25">
      <c r="A7" s="15" t="s">
        <v>56</v>
      </c>
      <c r="B7" s="16">
        <v>3</v>
      </c>
      <c r="D7" t="str">
        <f t="shared" si="0"/>
        <v>Kolkata Knight Riders</v>
      </c>
      <c r="E7">
        <f t="shared" si="1"/>
        <v>3</v>
      </c>
    </row>
    <row r="8" spans="1:5" x14ac:dyDescent="0.25">
      <c r="A8" s="15" t="s">
        <v>26</v>
      </c>
      <c r="B8" s="16">
        <v>5</v>
      </c>
      <c r="D8" t="str">
        <f t="shared" si="0"/>
        <v>Mumbai Indians</v>
      </c>
      <c r="E8">
        <f t="shared" si="1"/>
        <v>5</v>
      </c>
    </row>
    <row r="9" spans="1:5" x14ac:dyDescent="0.25">
      <c r="A9" s="15" t="s">
        <v>77</v>
      </c>
      <c r="B9" s="16">
        <v>1</v>
      </c>
      <c r="D9" t="str">
        <f t="shared" si="0"/>
        <v>Rajasthan Royals</v>
      </c>
      <c r="E9">
        <f t="shared" si="1"/>
        <v>1</v>
      </c>
    </row>
    <row r="10" spans="1:5" x14ac:dyDescent="0.25">
      <c r="A10" s="15" t="s">
        <v>445</v>
      </c>
      <c r="B10" s="16">
        <v>1</v>
      </c>
      <c r="D10" t="str">
        <f t="shared" si="0"/>
        <v>Royal Challengers Bangalore</v>
      </c>
      <c r="E10">
        <f t="shared" si="1"/>
        <v>1</v>
      </c>
    </row>
    <row r="11" spans="1:5" x14ac:dyDescent="0.25">
      <c r="A11" s="15" t="s">
        <v>55</v>
      </c>
      <c r="B11" s="16">
        <v>1</v>
      </c>
      <c r="D11" t="str">
        <f t="shared" si="0"/>
        <v>Sunrisers Hyderabad</v>
      </c>
      <c r="E11">
        <f t="shared" si="1"/>
        <v>1</v>
      </c>
    </row>
    <row r="12" spans="1:5" x14ac:dyDescent="0.25">
      <c r="A12" s="17" t="s">
        <v>2724</v>
      </c>
      <c r="B12" s="18">
        <v>18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D54C3-F771-4035-BAC6-D149908843CF}">
  <dimension ref="A1:D19"/>
  <sheetViews>
    <sheetView workbookViewId="0">
      <selection sqref="A1:D19"/>
    </sheetView>
  </sheetViews>
  <sheetFormatPr defaultRowHeight="13.2" x14ac:dyDescent="0.25"/>
  <cols>
    <col min="1" max="1" width="7.44140625" customWidth="1"/>
    <col min="2" max="2" width="26.6640625" customWidth="1"/>
    <col min="3" max="3" width="28.109375" customWidth="1"/>
    <col min="4" max="4" width="21.44140625" customWidth="1"/>
    <col min="5" max="5" width="12.77734375" customWidth="1"/>
  </cols>
  <sheetData>
    <row r="1" spans="1:4" ht="13.8" x14ac:dyDescent="0.25">
      <c r="A1" s="20" t="s">
        <v>4</v>
      </c>
      <c r="B1" s="20" t="s">
        <v>2739</v>
      </c>
      <c r="C1" s="20" t="s">
        <v>2740</v>
      </c>
      <c r="D1" s="20" t="s">
        <v>2741</v>
      </c>
    </row>
    <row r="2" spans="1:4" ht="13.8" x14ac:dyDescent="0.25">
      <c r="A2" s="20">
        <v>2008</v>
      </c>
      <c r="B2" s="20" t="s">
        <v>77</v>
      </c>
      <c r="C2" s="20" t="s">
        <v>51</v>
      </c>
      <c r="D2" s="20" t="s">
        <v>2742</v>
      </c>
    </row>
    <row r="3" spans="1:4" ht="13.8" x14ac:dyDescent="0.25">
      <c r="A3" s="20">
        <v>2009</v>
      </c>
      <c r="B3" s="20" t="s">
        <v>1998</v>
      </c>
      <c r="C3" s="20" t="s">
        <v>445</v>
      </c>
      <c r="D3" s="20" t="s">
        <v>2743</v>
      </c>
    </row>
    <row r="4" spans="1:4" ht="13.8" x14ac:dyDescent="0.25">
      <c r="A4" s="20">
        <v>2010</v>
      </c>
      <c r="B4" s="20" t="s">
        <v>51</v>
      </c>
      <c r="C4" s="20" t="s">
        <v>26</v>
      </c>
      <c r="D4" s="20" t="s">
        <v>2744</v>
      </c>
    </row>
    <row r="5" spans="1:4" ht="13.8" x14ac:dyDescent="0.25">
      <c r="A5" s="20">
        <v>2011</v>
      </c>
      <c r="B5" s="20" t="s">
        <v>51</v>
      </c>
      <c r="C5" s="20" t="s">
        <v>445</v>
      </c>
      <c r="D5" s="20" t="s">
        <v>2745</v>
      </c>
    </row>
    <row r="6" spans="1:4" ht="13.8" x14ac:dyDescent="0.25">
      <c r="A6" s="20">
        <v>2012</v>
      </c>
      <c r="B6" s="20" t="s">
        <v>56</v>
      </c>
      <c r="C6" s="20" t="s">
        <v>51</v>
      </c>
      <c r="D6" s="20" t="s">
        <v>2746</v>
      </c>
    </row>
    <row r="7" spans="1:4" ht="13.8" x14ac:dyDescent="0.25">
      <c r="A7" s="20">
        <v>2013</v>
      </c>
      <c r="B7" s="20" t="s">
        <v>26</v>
      </c>
      <c r="C7" s="20" t="s">
        <v>51</v>
      </c>
      <c r="D7" s="20" t="s">
        <v>2742</v>
      </c>
    </row>
    <row r="8" spans="1:4" ht="13.8" x14ac:dyDescent="0.25">
      <c r="A8" s="20">
        <v>2014</v>
      </c>
      <c r="B8" s="20" t="s">
        <v>56</v>
      </c>
      <c r="C8" s="20" t="s">
        <v>925</v>
      </c>
      <c r="D8" s="20" t="s">
        <v>2747</v>
      </c>
    </row>
    <row r="9" spans="1:4" ht="13.8" x14ac:dyDescent="0.25">
      <c r="A9" s="20">
        <v>2015</v>
      </c>
      <c r="B9" s="20" t="s">
        <v>26</v>
      </c>
      <c r="C9" s="20" t="s">
        <v>51</v>
      </c>
      <c r="D9" s="20" t="s">
        <v>2748</v>
      </c>
    </row>
    <row r="10" spans="1:4" ht="13.8" x14ac:dyDescent="0.25">
      <c r="A10" s="20">
        <v>2016</v>
      </c>
      <c r="B10" s="20" t="s">
        <v>55</v>
      </c>
      <c r="C10" s="20" t="s">
        <v>445</v>
      </c>
      <c r="D10" s="20" t="s">
        <v>2749</v>
      </c>
    </row>
    <row r="11" spans="1:4" ht="13.8" x14ac:dyDescent="0.25">
      <c r="A11" s="20">
        <v>2017</v>
      </c>
      <c r="B11" s="20" t="s">
        <v>26</v>
      </c>
      <c r="C11" s="20" t="s">
        <v>1297</v>
      </c>
      <c r="D11" s="20" t="s">
        <v>2750</v>
      </c>
    </row>
    <row r="12" spans="1:4" ht="13.8" x14ac:dyDescent="0.25">
      <c r="A12" s="20">
        <v>2018</v>
      </c>
      <c r="B12" s="20" t="s">
        <v>51</v>
      </c>
      <c r="C12" s="20" t="s">
        <v>55</v>
      </c>
      <c r="D12" s="20" t="s">
        <v>2746</v>
      </c>
    </row>
    <row r="13" spans="1:4" ht="13.8" x14ac:dyDescent="0.25">
      <c r="A13" s="20">
        <v>2019</v>
      </c>
      <c r="B13" s="20" t="s">
        <v>26</v>
      </c>
      <c r="C13" s="20" t="s">
        <v>51</v>
      </c>
      <c r="D13" s="20" t="s">
        <v>2748</v>
      </c>
    </row>
    <row r="14" spans="1:4" ht="13.8" x14ac:dyDescent="0.25">
      <c r="A14" s="20">
        <v>2020</v>
      </c>
      <c r="B14" s="20" t="s">
        <v>26</v>
      </c>
      <c r="C14" s="20" t="s">
        <v>62</v>
      </c>
      <c r="D14" s="20" t="s">
        <v>2751</v>
      </c>
    </row>
    <row r="15" spans="1:4" ht="13.8" x14ac:dyDescent="0.25">
      <c r="A15" s="20">
        <v>2021</v>
      </c>
      <c r="B15" s="20" t="s">
        <v>51</v>
      </c>
      <c r="C15" s="20" t="s">
        <v>56</v>
      </c>
      <c r="D15" s="20" t="s">
        <v>2752</v>
      </c>
    </row>
    <row r="16" spans="1:4" ht="13.8" x14ac:dyDescent="0.25">
      <c r="A16" s="20">
        <v>2022</v>
      </c>
      <c r="B16" s="20" t="s">
        <v>30</v>
      </c>
      <c r="C16" s="20" t="s">
        <v>77</v>
      </c>
      <c r="D16" s="20" t="s">
        <v>2753</v>
      </c>
    </row>
    <row r="17" spans="1:4" ht="13.8" x14ac:dyDescent="0.25">
      <c r="A17" s="20">
        <v>2023</v>
      </c>
      <c r="B17" s="20" t="s">
        <v>51</v>
      </c>
      <c r="C17" s="20" t="s">
        <v>30</v>
      </c>
      <c r="D17" s="20" t="s">
        <v>101</v>
      </c>
    </row>
    <row r="18" spans="1:4" ht="13.8" x14ac:dyDescent="0.25">
      <c r="A18" s="20">
        <v>2024</v>
      </c>
      <c r="B18" s="20" t="s">
        <v>56</v>
      </c>
      <c r="C18" s="20" t="s">
        <v>55</v>
      </c>
      <c r="D18" s="20" t="s">
        <v>2746</v>
      </c>
    </row>
    <row r="19" spans="1:4" ht="13.8" x14ac:dyDescent="0.25">
      <c r="A19" s="20">
        <v>2025</v>
      </c>
      <c r="B19" s="20" t="s">
        <v>445</v>
      </c>
      <c r="C19" s="20" t="s">
        <v>17</v>
      </c>
      <c r="D19" s="20" t="s">
        <v>2754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A9E27-4549-49AD-B27F-556722F84ABE}">
  <dimension ref="A3:G45"/>
  <sheetViews>
    <sheetView workbookViewId="0">
      <selection activeCell="G5" sqref="G5"/>
    </sheetView>
  </sheetViews>
  <sheetFormatPr defaultRowHeight="13.2" x14ac:dyDescent="0.25"/>
  <cols>
    <col min="1" max="1" width="12.44140625" bestFit="1" customWidth="1"/>
    <col min="2" max="2" width="6.44140625" bestFit="1" customWidth="1"/>
    <col min="3" max="3" width="10" customWidth="1"/>
    <col min="4" max="4" width="9.6640625" customWidth="1"/>
    <col min="5" max="5" width="27.6640625" customWidth="1"/>
    <col min="6" max="6" width="28.44140625" customWidth="1"/>
    <col min="7" max="7" width="23" customWidth="1"/>
  </cols>
  <sheetData>
    <row r="3" spans="1:7" ht="13.8" x14ac:dyDescent="0.25">
      <c r="A3" s="9" t="s">
        <v>2723</v>
      </c>
      <c r="D3" s="20" t="s">
        <v>4</v>
      </c>
      <c r="E3" s="20" t="s">
        <v>2739</v>
      </c>
      <c r="F3" s="20" t="s">
        <v>2740</v>
      </c>
      <c r="G3" s="20" t="s">
        <v>2741</v>
      </c>
    </row>
    <row r="4" spans="1:7" x14ac:dyDescent="0.25">
      <c r="A4" s="10" t="s">
        <v>2761</v>
      </c>
      <c r="D4" t="str">
        <f>A4</f>
        <v>IPL-2019</v>
      </c>
      <c r="E4" t="str">
        <f>VLOOKUP(D4,winners6[],2,FALSE)</f>
        <v>Mumbai Indians</v>
      </c>
      <c r="F4" t="str">
        <f>VLOOKUP($D$4,winners6[],3,FALSE)</f>
        <v>Chennai Super Kings</v>
      </c>
      <c r="G4" t="str">
        <f>VLOOKUP($D$4,winners6[],4,FALSE)</f>
        <v>Andre Russell</v>
      </c>
    </row>
    <row r="5" spans="1:7" x14ac:dyDescent="0.25">
      <c r="A5" s="11" t="s">
        <v>2724</v>
      </c>
    </row>
    <row r="13" spans="1:7" ht="13.8" x14ac:dyDescent="0.25">
      <c r="C13" s="20"/>
      <c r="D13" s="20"/>
      <c r="E13" s="20"/>
      <c r="F13" s="20"/>
    </row>
    <row r="14" spans="1:7" ht="13.8" x14ac:dyDescent="0.25">
      <c r="C14" s="20"/>
      <c r="D14" s="20"/>
      <c r="E14" s="20"/>
      <c r="F14" s="20"/>
    </row>
    <row r="15" spans="1:7" ht="13.8" x14ac:dyDescent="0.25">
      <c r="C15" s="20"/>
      <c r="D15" s="20"/>
      <c r="E15" s="20"/>
      <c r="F15" s="20"/>
    </row>
    <row r="16" spans="1:7" ht="13.8" x14ac:dyDescent="0.25">
      <c r="C16" s="20"/>
      <c r="D16" s="20"/>
      <c r="E16" s="20"/>
      <c r="F16" s="20"/>
    </row>
    <row r="17" spans="3:7" ht="13.8" x14ac:dyDescent="0.25">
      <c r="C17" s="20"/>
      <c r="D17" s="20"/>
      <c r="E17" s="20"/>
      <c r="F17" s="20"/>
    </row>
    <row r="18" spans="3:7" ht="13.8" x14ac:dyDescent="0.25">
      <c r="C18" s="20"/>
      <c r="D18" s="20"/>
      <c r="E18" s="20"/>
      <c r="F18" s="20"/>
    </row>
    <row r="19" spans="3:7" ht="13.8" x14ac:dyDescent="0.25">
      <c r="C19" s="20"/>
      <c r="D19" s="20"/>
      <c r="E19" s="20"/>
      <c r="F19" s="20"/>
    </row>
    <row r="20" spans="3:7" ht="13.8" x14ac:dyDescent="0.25">
      <c r="C20" s="20"/>
      <c r="D20" s="20"/>
      <c r="E20" s="20"/>
      <c r="F20" s="20"/>
    </row>
    <row r="21" spans="3:7" ht="13.8" x14ac:dyDescent="0.25">
      <c r="C21" s="20"/>
      <c r="D21" s="20"/>
      <c r="E21" s="20"/>
      <c r="F21" s="20"/>
    </row>
    <row r="22" spans="3:7" ht="13.8" x14ac:dyDescent="0.25">
      <c r="C22" s="20"/>
      <c r="D22" s="20"/>
      <c r="E22" s="20"/>
      <c r="F22" s="20"/>
    </row>
    <row r="23" spans="3:7" ht="13.8" x14ac:dyDescent="0.25">
      <c r="C23" s="20"/>
      <c r="D23" s="20"/>
      <c r="E23" s="20"/>
      <c r="F23" s="20"/>
    </row>
    <row r="24" spans="3:7" ht="13.8" x14ac:dyDescent="0.25">
      <c r="C24" s="20"/>
      <c r="D24" s="20"/>
      <c r="E24" s="20"/>
      <c r="F24" s="20"/>
    </row>
    <row r="25" spans="3:7" ht="13.8" x14ac:dyDescent="0.25">
      <c r="C25" s="20"/>
      <c r="D25" s="20"/>
      <c r="E25" s="20"/>
      <c r="F25" s="20"/>
    </row>
    <row r="26" spans="3:7" ht="13.8" x14ac:dyDescent="0.25">
      <c r="C26" s="20"/>
      <c r="D26" s="20"/>
      <c r="E26" s="20"/>
      <c r="F26" s="20"/>
    </row>
    <row r="27" spans="3:7" ht="13.8" x14ac:dyDescent="0.25">
      <c r="C27" s="20"/>
      <c r="D27" s="20" t="s">
        <v>4</v>
      </c>
      <c r="E27" s="20" t="s">
        <v>2739</v>
      </c>
      <c r="F27" s="20" t="s">
        <v>2740</v>
      </c>
      <c r="G27" s="20" t="s">
        <v>2741</v>
      </c>
    </row>
    <row r="28" spans="3:7" ht="13.8" x14ac:dyDescent="0.25">
      <c r="C28" s="20"/>
      <c r="D28" s="20" t="s">
        <v>2728</v>
      </c>
      <c r="E28" s="20" t="s">
        <v>77</v>
      </c>
      <c r="F28" s="20" t="s">
        <v>51</v>
      </c>
      <c r="G28" s="20" t="s">
        <v>2742</v>
      </c>
    </row>
    <row r="29" spans="3:7" ht="13.8" x14ac:dyDescent="0.25">
      <c r="C29" s="20"/>
      <c r="D29" s="20" t="s">
        <v>2758</v>
      </c>
      <c r="E29" s="20" t="s">
        <v>1998</v>
      </c>
      <c r="F29" s="20" t="s">
        <v>445</v>
      </c>
      <c r="G29" s="20" t="s">
        <v>2743</v>
      </c>
    </row>
    <row r="30" spans="3:7" ht="13.8" x14ac:dyDescent="0.25">
      <c r="C30" s="20"/>
      <c r="D30" s="20" t="s">
        <v>2759</v>
      </c>
      <c r="E30" s="20" t="s">
        <v>51</v>
      </c>
      <c r="F30" s="20" t="s">
        <v>26</v>
      </c>
      <c r="G30" s="20" t="s">
        <v>2744</v>
      </c>
    </row>
    <row r="31" spans="3:7" ht="13.8" x14ac:dyDescent="0.25">
      <c r="C31" s="20"/>
      <c r="D31" s="20" t="s">
        <v>2729</v>
      </c>
      <c r="E31" s="20" t="s">
        <v>51</v>
      </c>
      <c r="F31" s="20" t="s">
        <v>445</v>
      </c>
      <c r="G31" s="20" t="s">
        <v>2745</v>
      </c>
    </row>
    <row r="32" spans="3:7" ht="13.8" x14ac:dyDescent="0.25">
      <c r="D32" s="20" t="s">
        <v>2730</v>
      </c>
      <c r="E32" s="20" t="s">
        <v>56</v>
      </c>
      <c r="F32" s="20" t="s">
        <v>51</v>
      </c>
      <c r="G32" s="20" t="s">
        <v>2746</v>
      </c>
    </row>
    <row r="33" spans="4:7" ht="13.8" x14ac:dyDescent="0.25">
      <c r="D33" s="20" t="s">
        <v>2731</v>
      </c>
      <c r="E33" s="20" t="s">
        <v>26</v>
      </c>
      <c r="F33" s="20" t="s">
        <v>51</v>
      </c>
      <c r="G33" s="20" t="s">
        <v>2742</v>
      </c>
    </row>
    <row r="34" spans="4:7" ht="13.8" x14ac:dyDescent="0.25">
      <c r="D34" s="20" t="s">
        <v>2732</v>
      </c>
      <c r="E34" s="20" t="s">
        <v>56</v>
      </c>
      <c r="F34" s="20" t="s">
        <v>925</v>
      </c>
      <c r="G34" s="20" t="s">
        <v>2747</v>
      </c>
    </row>
    <row r="35" spans="4:7" ht="13.8" x14ac:dyDescent="0.25">
      <c r="D35" s="20" t="s">
        <v>2733</v>
      </c>
      <c r="E35" s="20" t="s">
        <v>26</v>
      </c>
      <c r="F35" s="20" t="s">
        <v>51</v>
      </c>
      <c r="G35" s="20" t="s">
        <v>2748</v>
      </c>
    </row>
    <row r="36" spans="4:7" ht="13.8" x14ac:dyDescent="0.25">
      <c r="D36" s="20" t="s">
        <v>2734</v>
      </c>
      <c r="E36" s="20" t="s">
        <v>55</v>
      </c>
      <c r="F36" s="20" t="s">
        <v>445</v>
      </c>
      <c r="G36" s="20" t="s">
        <v>2749</v>
      </c>
    </row>
    <row r="37" spans="4:7" ht="13.8" x14ac:dyDescent="0.25">
      <c r="D37" s="20" t="s">
        <v>2735</v>
      </c>
      <c r="E37" s="20" t="s">
        <v>26</v>
      </c>
      <c r="F37" s="20" t="s">
        <v>1297</v>
      </c>
      <c r="G37" s="20" t="s">
        <v>2750</v>
      </c>
    </row>
    <row r="38" spans="4:7" ht="13.8" x14ac:dyDescent="0.25">
      <c r="D38" s="20" t="s">
        <v>2760</v>
      </c>
      <c r="E38" s="20" t="s">
        <v>51</v>
      </c>
      <c r="F38" s="20" t="s">
        <v>55</v>
      </c>
      <c r="G38" s="20" t="s">
        <v>2746</v>
      </c>
    </row>
    <row r="39" spans="4:7" ht="13.8" x14ac:dyDescent="0.25">
      <c r="D39" s="20" t="s">
        <v>2761</v>
      </c>
      <c r="E39" s="20" t="s">
        <v>26</v>
      </c>
      <c r="F39" s="20" t="s">
        <v>51</v>
      </c>
      <c r="G39" s="20" t="s">
        <v>2748</v>
      </c>
    </row>
    <row r="40" spans="4:7" ht="13.8" x14ac:dyDescent="0.25">
      <c r="D40" s="20" t="s">
        <v>2762</v>
      </c>
      <c r="E40" s="20" t="s">
        <v>26</v>
      </c>
      <c r="F40" s="20" t="s">
        <v>62</v>
      </c>
      <c r="G40" s="20" t="s">
        <v>2751</v>
      </c>
    </row>
    <row r="41" spans="4:7" ht="13.8" x14ac:dyDescent="0.25">
      <c r="D41" s="20" t="s">
        <v>2763</v>
      </c>
      <c r="E41" s="20" t="s">
        <v>51</v>
      </c>
      <c r="F41" s="20" t="s">
        <v>56</v>
      </c>
      <c r="G41" s="20" t="s">
        <v>2752</v>
      </c>
    </row>
    <row r="42" spans="4:7" ht="13.8" x14ac:dyDescent="0.25">
      <c r="D42" s="20" t="s">
        <v>2764</v>
      </c>
      <c r="E42" s="20" t="s">
        <v>30</v>
      </c>
      <c r="F42" s="20" t="s">
        <v>77</v>
      </c>
      <c r="G42" s="20" t="s">
        <v>2753</v>
      </c>
    </row>
    <row r="43" spans="4:7" ht="13.8" x14ac:dyDescent="0.25">
      <c r="D43" s="20" t="s">
        <v>2765</v>
      </c>
      <c r="E43" s="20" t="s">
        <v>51</v>
      </c>
      <c r="F43" s="20" t="s">
        <v>30</v>
      </c>
      <c r="G43" s="20" t="s">
        <v>101</v>
      </c>
    </row>
    <row r="44" spans="4:7" ht="13.8" x14ac:dyDescent="0.25">
      <c r="D44" s="20" t="s">
        <v>2766</v>
      </c>
      <c r="E44" s="20" t="s">
        <v>56</v>
      </c>
      <c r="F44" s="20" t="s">
        <v>55</v>
      </c>
      <c r="G44" s="20" t="s">
        <v>2746</v>
      </c>
    </row>
    <row r="45" spans="4:7" ht="13.8" x14ac:dyDescent="0.25">
      <c r="D45" s="20" t="s">
        <v>2767</v>
      </c>
      <c r="E45" s="20" t="s">
        <v>445</v>
      </c>
      <c r="F45" s="20" t="s">
        <v>17</v>
      </c>
      <c r="G45" s="20" t="s">
        <v>2754</v>
      </c>
    </row>
  </sheetData>
  <phoneticPr fontId="5"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70"/>
  <sheetViews>
    <sheetView topLeftCell="A2" workbookViewId="0">
      <selection activeCell="D24" sqref="D24"/>
    </sheetView>
  </sheetViews>
  <sheetFormatPr defaultColWidth="12.6640625" defaultRowHeight="15.75" customHeight="1" x14ac:dyDescent="0.25"/>
  <cols>
    <col min="1" max="1" width="18.109375" customWidth="1"/>
    <col min="2" max="3" width="27.88671875" customWidth="1"/>
    <col min="4" max="4" width="17.88671875" customWidth="1"/>
    <col min="5" max="5" width="8.21875" customWidth="1"/>
    <col min="6" max="6" width="15" customWidth="1"/>
    <col min="7" max="7" width="27.88671875" customWidth="1"/>
    <col min="8" max="8" width="16.21875" customWidth="1"/>
    <col min="9" max="9" width="11.88671875" customWidth="1"/>
    <col min="10" max="10" width="13.44140625" customWidth="1"/>
    <col min="11" max="11" width="27.88671875" customWidth="1"/>
    <col min="12" max="12" width="19.6640625" customWidth="1"/>
    <col min="13" max="13" width="72" customWidth="1"/>
    <col min="14" max="14" width="16.44140625" customWidth="1"/>
    <col min="15" max="15" width="178.109375" customWidth="1"/>
    <col min="16" max="16" width="178.44140625" customWidth="1"/>
    <col min="17" max="26" width="11.88671875" customWidth="1"/>
  </cols>
  <sheetData>
    <row r="1" spans="1:16" ht="13.2"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15.75" customHeight="1" x14ac:dyDescent="0.3">
      <c r="A2" s="2">
        <v>1473511</v>
      </c>
      <c r="B2" s="2" t="s">
        <v>16</v>
      </c>
      <c r="C2" s="2" t="s">
        <v>17</v>
      </c>
      <c r="D2" s="2" t="str">
        <f>_xlfn.SINGLE(_xlfn.CONCAT("IPL-",E2))</f>
        <v>IPL-2025</v>
      </c>
      <c r="E2" s="2">
        <f>YEAR('IPL Info'!$F2)</f>
        <v>2025</v>
      </c>
      <c r="F2" s="3">
        <v>45811</v>
      </c>
      <c r="G2" s="2" t="s">
        <v>17</v>
      </c>
      <c r="H2" s="2" t="s">
        <v>18</v>
      </c>
      <c r="I2" s="2" t="s">
        <v>19</v>
      </c>
      <c r="J2" s="2" t="s">
        <v>20</v>
      </c>
      <c r="K2" s="2" t="s">
        <v>16</v>
      </c>
      <c r="L2" s="2" t="s">
        <v>21</v>
      </c>
      <c r="M2" s="2" t="s">
        <v>22</v>
      </c>
      <c r="N2" s="2" t="s">
        <v>23</v>
      </c>
      <c r="O2" s="2" t="s">
        <v>24</v>
      </c>
      <c r="P2" s="2" t="s">
        <v>25</v>
      </c>
    </row>
    <row r="3" spans="1:16" ht="15.75" customHeight="1" x14ac:dyDescent="0.3">
      <c r="A3" s="4">
        <v>1473510</v>
      </c>
      <c r="B3" s="4" t="s">
        <v>26</v>
      </c>
      <c r="C3" s="4" t="s">
        <v>17</v>
      </c>
      <c r="D3" s="4" t="str">
        <f t="shared" ref="D3:D66" si="0">_xlfn.SINGLE(_xlfn.CONCAT("IPL-",E3))</f>
        <v>IPL-2025</v>
      </c>
      <c r="E3" s="4">
        <f>YEAR('IPL Info'!$F3)</f>
        <v>2025</v>
      </c>
      <c r="F3" s="5">
        <v>45809</v>
      </c>
      <c r="G3" s="4" t="s">
        <v>17</v>
      </c>
      <c r="H3" s="4" t="s">
        <v>18</v>
      </c>
      <c r="I3" s="4" t="s">
        <v>19</v>
      </c>
      <c r="J3" s="4" t="s">
        <v>20</v>
      </c>
      <c r="K3" s="4" t="s">
        <v>17</v>
      </c>
      <c r="L3" s="4" t="s">
        <v>27</v>
      </c>
      <c r="M3" s="4" t="s">
        <v>22</v>
      </c>
      <c r="N3" s="4" t="s">
        <v>23</v>
      </c>
      <c r="O3" s="4" t="s">
        <v>28</v>
      </c>
      <c r="P3" s="4" t="s">
        <v>29</v>
      </c>
    </row>
    <row r="4" spans="1:16" ht="15.75" customHeight="1" x14ac:dyDescent="0.3">
      <c r="A4" s="2">
        <v>1473509</v>
      </c>
      <c r="B4" s="2" t="s">
        <v>26</v>
      </c>
      <c r="C4" s="2" t="s">
        <v>30</v>
      </c>
      <c r="D4" s="2" t="str">
        <f t="shared" si="0"/>
        <v>IPL-2025</v>
      </c>
      <c r="E4" s="2">
        <f>YEAR('IPL Info'!$F4)</f>
        <v>2025</v>
      </c>
      <c r="F4" s="3">
        <v>45807</v>
      </c>
      <c r="G4" s="2" t="s">
        <v>26</v>
      </c>
      <c r="H4" s="2" t="s">
        <v>31</v>
      </c>
      <c r="I4" s="2" t="s">
        <v>19</v>
      </c>
      <c r="J4" s="2" t="s">
        <v>20</v>
      </c>
      <c r="K4" s="2" t="s">
        <v>26</v>
      </c>
      <c r="L4" s="2" t="s">
        <v>32</v>
      </c>
      <c r="M4" s="2" t="s">
        <v>33</v>
      </c>
      <c r="N4" s="2" t="s">
        <v>34</v>
      </c>
      <c r="O4" s="2" t="s">
        <v>35</v>
      </c>
      <c r="P4" s="2" t="s">
        <v>36</v>
      </c>
    </row>
    <row r="5" spans="1:16" ht="15.75" customHeight="1" x14ac:dyDescent="0.3">
      <c r="A5" s="4">
        <v>1473508</v>
      </c>
      <c r="B5" s="4" t="s">
        <v>17</v>
      </c>
      <c r="C5" s="4" t="s">
        <v>16</v>
      </c>
      <c r="D5" s="4" t="str">
        <f t="shared" si="0"/>
        <v>IPL-2025</v>
      </c>
      <c r="E5" s="4">
        <f>YEAR('IPL Info'!$F5)</f>
        <v>2025</v>
      </c>
      <c r="F5" s="5">
        <v>45806</v>
      </c>
      <c r="G5" s="4" t="s">
        <v>16</v>
      </c>
      <c r="H5" s="4" t="s">
        <v>18</v>
      </c>
      <c r="I5" s="4" t="s">
        <v>19</v>
      </c>
      <c r="J5" s="4" t="s">
        <v>20</v>
      </c>
      <c r="K5" s="4" t="s">
        <v>16</v>
      </c>
      <c r="L5" s="4" t="s">
        <v>37</v>
      </c>
      <c r="M5" s="4" t="s">
        <v>38</v>
      </c>
      <c r="N5" s="4" t="s">
        <v>34</v>
      </c>
      <c r="O5" s="4" t="s">
        <v>39</v>
      </c>
      <c r="P5" s="4" t="s">
        <v>24</v>
      </c>
    </row>
    <row r="6" spans="1:16" ht="15.75" customHeight="1" x14ac:dyDescent="0.3">
      <c r="A6" s="2">
        <v>1473507</v>
      </c>
      <c r="B6" s="2" t="s">
        <v>40</v>
      </c>
      <c r="C6" s="2" t="s">
        <v>16</v>
      </c>
      <c r="D6" s="2" t="str">
        <f t="shared" si="0"/>
        <v>IPL-2025</v>
      </c>
      <c r="E6" s="2">
        <f>YEAR('IPL Info'!$F6)</f>
        <v>2025</v>
      </c>
      <c r="F6" s="3">
        <v>45804</v>
      </c>
      <c r="G6" s="2" t="s">
        <v>16</v>
      </c>
      <c r="H6" s="2" t="s">
        <v>18</v>
      </c>
      <c r="I6" s="2" t="s">
        <v>19</v>
      </c>
      <c r="J6" s="2" t="s">
        <v>20</v>
      </c>
      <c r="K6" s="2" t="s">
        <v>16</v>
      </c>
      <c r="L6" s="2" t="s">
        <v>41</v>
      </c>
      <c r="M6" s="2" t="s">
        <v>42</v>
      </c>
      <c r="N6" s="2" t="s">
        <v>43</v>
      </c>
      <c r="O6" s="2" t="s">
        <v>44</v>
      </c>
      <c r="P6" s="2" t="s">
        <v>45</v>
      </c>
    </row>
    <row r="7" spans="1:16" ht="15.75" customHeight="1" x14ac:dyDescent="0.3">
      <c r="A7" s="4">
        <v>1473506</v>
      </c>
      <c r="B7" s="4" t="s">
        <v>26</v>
      </c>
      <c r="C7" s="4" t="s">
        <v>17</v>
      </c>
      <c r="D7" s="4" t="str">
        <f t="shared" si="0"/>
        <v>IPL-2025</v>
      </c>
      <c r="E7" s="4">
        <f>YEAR('IPL Info'!$F7)</f>
        <v>2025</v>
      </c>
      <c r="F7" s="5">
        <v>45803</v>
      </c>
      <c r="G7" s="4" t="s">
        <v>17</v>
      </c>
      <c r="H7" s="4" t="s">
        <v>18</v>
      </c>
      <c r="I7" s="4" t="s">
        <v>19</v>
      </c>
      <c r="J7" s="4" t="s">
        <v>20</v>
      </c>
      <c r="K7" s="4" t="s">
        <v>17</v>
      </c>
      <c r="L7" s="4" t="s">
        <v>46</v>
      </c>
      <c r="M7" s="4" t="s">
        <v>47</v>
      </c>
      <c r="N7" s="4" t="s">
        <v>48</v>
      </c>
      <c r="O7" s="4" t="s">
        <v>49</v>
      </c>
      <c r="P7" s="4" t="s">
        <v>50</v>
      </c>
    </row>
    <row r="8" spans="1:16" ht="15.75" customHeight="1" x14ac:dyDescent="0.3">
      <c r="A8" s="2">
        <v>1473504</v>
      </c>
      <c r="B8" s="2" t="s">
        <v>51</v>
      </c>
      <c r="C8" s="2" t="s">
        <v>30</v>
      </c>
      <c r="D8" s="2" t="str">
        <f t="shared" si="0"/>
        <v>IPL-2025</v>
      </c>
      <c r="E8" s="2">
        <f>YEAR('IPL Info'!$F8)</f>
        <v>2025</v>
      </c>
      <c r="F8" s="3">
        <v>45802</v>
      </c>
      <c r="G8" s="2" t="s">
        <v>51</v>
      </c>
      <c r="H8" s="2" t="s">
        <v>31</v>
      </c>
      <c r="I8" s="2" t="s">
        <v>19</v>
      </c>
      <c r="J8" s="2" t="s">
        <v>20</v>
      </c>
      <c r="K8" s="2" t="s">
        <v>51</v>
      </c>
      <c r="L8" s="2" t="s">
        <v>52</v>
      </c>
      <c r="M8" s="2" t="s">
        <v>22</v>
      </c>
      <c r="N8" s="2" t="s">
        <v>23</v>
      </c>
      <c r="O8" s="2" t="s">
        <v>53</v>
      </c>
      <c r="P8" s="2" t="s">
        <v>54</v>
      </c>
    </row>
    <row r="9" spans="1:16" ht="15.75" customHeight="1" x14ac:dyDescent="0.3">
      <c r="A9" s="4">
        <v>1473505</v>
      </c>
      <c r="B9" s="4" t="s">
        <v>55</v>
      </c>
      <c r="C9" s="4" t="s">
        <v>56</v>
      </c>
      <c r="D9" s="4" t="str">
        <f t="shared" si="0"/>
        <v>IPL-2025</v>
      </c>
      <c r="E9" s="4">
        <f>YEAR('IPL Info'!$F9)</f>
        <v>2025</v>
      </c>
      <c r="F9" s="5">
        <v>45802</v>
      </c>
      <c r="G9" s="4" t="s">
        <v>55</v>
      </c>
      <c r="H9" s="4" t="s">
        <v>31</v>
      </c>
      <c r="I9" s="4" t="s">
        <v>19</v>
      </c>
      <c r="J9" s="4" t="s">
        <v>20</v>
      </c>
      <c r="K9" s="4" t="s">
        <v>55</v>
      </c>
      <c r="L9" s="4" t="s">
        <v>57</v>
      </c>
      <c r="M9" s="4" t="s">
        <v>58</v>
      </c>
      <c r="N9" s="4" t="s">
        <v>59</v>
      </c>
      <c r="O9" s="4" t="s">
        <v>60</v>
      </c>
      <c r="P9" s="4" t="s">
        <v>61</v>
      </c>
    </row>
    <row r="10" spans="1:16" ht="15.75" customHeight="1" x14ac:dyDescent="0.3">
      <c r="A10" s="2">
        <v>1485779</v>
      </c>
      <c r="B10" s="2" t="s">
        <v>17</v>
      </c>
      <c r="C10" s="2" t="s">
        <v>62</v>
      </c>
      <c r="D10" s="2" t="str">
        <f t="shared" si="0"/>
        <v>IPL-2025</v>
      </c>
      <c r="E10" s="2">
        <f>YEAR('IPL Info'!$F10)</f>
        <v>2025</v>
      </c>
      <c r="F10" s="3">
        <v>45801</v>
      </c>
      <c r="G10" s="2" t="s">
        <v>62</v>
      </c>
      <c r="H10" s="2" t="s">
        <v>18</v>
      </c>
      <c r="I10" s="2" t="s">
        <v>19</v>
      </c>
      <c r="J10" s="2" t="s">
        <v>20</v>
      </c>
      <c r="K10" s="2" t="s">
        <v>62</v>
      </c>
      <c r="L10" s="2" t="s">
        <v>63</v>
      </c>
      <c r="M10" s="2" t="s">
        <v>47</v>
      </c>
      <c r="N10" s="2" t="s">
        <v>48</v>
      </c>
      <c r="O10" s="2" t="s">
        <v>64</v>
      </c>
      <c r="P10" s="2" t="s">
        <v>65</v>
      </c>
    </row>
    <row r="11" spans="1:16" ht="15.75" customHeight="1" x14ac:dyDescent="0.3">
      <c r="A11" s="4">
        <v>1473503</v>
      </c>
      <c r="B11" s="4" t="s">
        <v>55</v>
      </c>
      <c r="C11" s="4" t="s">
        <v>16</v>
      </c>
      <c r="D11" s="4" t="str">
        <f t="shared" si="0"/>
        <v>IPL-2025</v>
      </c>
      <c r="E11" s="4">
        <f>YEAR('IPL Info'!$F11)</f>
        <v>2025</v>
      </c>
      <c r="F11" s="5">
        <v>45800</v>
      </c>
      <c r="G11" s="4" t="s">
        <v>16</v>
      </c>
      <c r="H11" s="4" t="s">
        <v>18</v>
      </c>
      <c r="I11" s="4" t="s">
        <v>19</v>
      </c>
      <c r="J11" s="4" t="s">
        <v>20</v>
      </c>
      <c r="K11" s="4" t="s">
        <v>55</v>
      </c>
      <c r="L11" s="4" t="s">
        <v>66</v>
      </c>
      <c r="M11" s="4" t="s">
        <v>42</v>
      </c>
      <c r="N11" s="4" t="s">
        <v>43</v>
      </c>
      <c r="O11" s="4" t="s">
        <v>67</v>
      </c>
      <c r="P11" s="4" t="s">
        <v>68</v>
      </c>
    </row>
    <row r="12" spans="1:16" ht="15.75" customHeight="1" x14ac:dyDescent="0.3">
      <c r="A12" s="2">
        <v>1473502</v>
      </c>
      <c r="B12" s="2" t="s">
        <v>40</v>
      </c>
      <c r="C12" s="2" t="s">
        <v>30</v>
      </c>
      <c r="D12" s="2" t="str">
        <f t="shared" si="0"/>
        <v>IPL-2025</v>
      </c>
      <c r="E12" s="2">
        <f>YEAR('IPL Info'!$F12)</f>
        <v>2025</v>
      </c>
      <c r="F12" s="3">
        <v>45799</v>
      </c>
      <c r="G12" s="2" t="s">
        <v>30</v>
      </c>
      <c r="H12" s="2" t="s">
        <v>18</v>
      </c>
      <c r="I12" s="2" t="s">
        <v>19</v>
      </c>
      <c r="J12" s="2" t="s">
        <v>20</v>
      </c>
      <c r="K12" s="2" t="s">
        <v>40</v>
      </c>
      <c r="L12" s="2" t="s">
        <v>69</v>
      </c>
      <c r="M12" s="2" t="s">
        <v>22</v>
      </c>
      <c r="N12" s="2" t="s">
        <v>23</v>
      </c>
      <c r="O12" s="2" t="s">
        <v>70</v>
      </c>
      <c r="P12" s="2" t="s">
        <v>71</v>
      </c>
    </row>
    <row r="13" spans="1:16" ht="15.75" customHeight="1" x14ac:dyDescent="0.3">
      <c r="A13" s="4">
        <v>1473501</v>
      </c>
      <c r="B13" s="4" t="s">
        <v>26</v>
      </c>
      <c r="C13" s="4" t="s">
        <v>62</v>
      </c>
      <c r="D13" s="4" t="str">
        <f t="shared" si="0"/>
        <v>IPL-2025</v>
      </c>
      <c r="E13" s="4">
        <f>YEAR('IPL Info'!$F13)</f>
        <v>2025</v>
      </c>
      <c r="F13" s="5">
        <v>45798</v>
      </c>
      <c r="G13" s="4" t="s">
        <v>62</v>
      </c>
      <c r="H13" s="4" t="s">
        <v>18</v>
      </c>
      <c r="I13" s="4" t="s">
        <v>19</v>
      </c>
      <c r="J13" s="4" t="s">
        <v>20</v>
      </c>
      <c r="K13" s="4" t="s">
        <v>26</v>
      </c>
      <c r="L13" s="4" t="s">
        <v>72</v>
      </c>
      <c r="M13" s="4" t="s">
        <v>73</v>
      </c>
      <c r="N13" s="4" t="s">
        <v>74</v>
      </c>
      <c r="O13" s="4" t="s">
        <v>75</v>
      </c>
      <c r="P13" s="4" t="s">
        <v>76</v>
      </c>
    </row>
    <row r="14" spans="1:16" ht="15.75" customHeight="1" x14ac:dyDescent="0.3">
      <c r="A14" s="2">
        <v>1473500</v>
      </c>
      <c r="B14" s="2" t="s">
        <v>51</v>
      </c>
      <c r="C14" s="2" t="s">
        <v>77</v>
      </c>
      <c r="D14" s="2" t="str">
        <f t="shared" si="0"/>
        <v>IPL-2025</v>
      </c>
      <c r="E14" s="2">
        <f>YEAR('IPL Info'!$F14)</f>
        <v>2025</v>
      </c>
      <c r="F14" s="3">
        <v>45797</v>
      </c>
      <c r="G14" s="2" t="s">
        <v>77</v>
      </c>
      <c r="H14" s="2" t="s">
        <v>18</v>
      </c>
      <c r="I14" s="2" t="s">
        <v>19</v>
      </c>
      <c r="J14" s="2" t="s">
        <v>20</v>
      </c>
      <c r="K14" s="2" t="s">
        <v>77</v>
      </c>
      <c r="L14" s="2" t="s">
        <v>78</v>
      </c>
      <c r="M14" s="2" t="s">
        <v>58</v>
      </c>
      <c r="N14" s="2" t="s">
        <v>59</v>
      </c>
      <c r="O14" s="2" t="s">
        <v>79</v>
      </c>
      <c r="P14" s="2" t="s">
        <v>80</v>
      </c>
    </row>
    <row r="15" spans="1:16" ht="15.75" customHeight="1" x14ac:dyDescent="0.3">
      <c r="A15" s="4">
        <v>1473499</v>
      </c>
      <c r="B15" s="4" t="s">
        <v>40</v>
      </c>
      <c r="C15" s="4" t="s">
        <v>55</v>
      </c>
      <c r="D15" s="4" t="str">
        <f t="shared" si="0"/>
        <v>IPL-2025</v>
      </c>
      <c r="E15" s="4">
        <f>YEAR('IPL Info'!$F15)</f>
        <v>2025</v>
      </c>
      <c r="F15" s="5">
        <v>45796</v>
      </c>
      <c r="G15" s="4" t="s">
        <v>55</v>
      </c>
      <c r="H15" s="4" t="s">
        <v>18</v>
      </c>
      <c r="I15" s="4" t="s">
        <v>19</v>
      </c>
      <c r="J15" s="4" t="s">
        <v>20</v>
      </c>
      <c r="K15" s="4" t="s">
        <v>55</v>
      </c>
      <c r="L15" s="4" t="s">
        <v>81</v>
      </c>
      <c r="M15" s="4" t="s">
        <v>42</v>
      </c>
      <c r="N15" s="4" t="s">
        <v>43</v>
      </c>
      <c r="O15" s="4" t="s">
        <v>82</v>
      </c>
      <c r="P15" s="4" t="s">
        <v>83</v>
      </c>
    </row>
    <row r="16" spans="1:16" ht="15.75" customHeight="1" x14ac:dyDescent="0.3">
      <c r="A16" s="2">
        <v>1473498</v>
      </c>
      <c r="B16" s="2" t="s">
        <v>62</v>
      </c>
      <c r="C16" s="2" t="s">
        <v>30</v>
      </c>
      <c r="D16" s="2" t="str">
        <f t="shared" si="0"/>
        <v>IPL-2025</v>
      </c>
      <c r="E16" s="2">
        <f>YEAR('IPL Info'!$F16)</f>
        <v>2025</v>
      </c>
      <c r="F16" s="3">
        <v>45795</v>
      </c>
      <c r="G16" s="2" t="s">
        <v>30</v>
      </c>
      <c r="H16" s="2" t="s">
        <v>18</v>
      </c>
      <c r="I16" s="2" t="s">
        <v>19</v>
      </c>
      <c r="J16" s="2" t="s">
        <v>20</v>
      </c>
      <c r="K16" s="2" t="s">
        <v>30</v>
      </c>
      <c r="L16" s="2" t="s">
        <v>84</v>
      </c>
      <c r="M16" s="2" t="s">
        <v>58</v>
      </c>
      <c r="N16" s="2" t="s">
        <v>59</v>
      </c>
      <c r="O16" s="2" t="s">
        <v>85</v>
      </c>
      <c r="P16" s="2" t="s">
        <v>86</v>
      </c>
    </row>
    <row r="17" spans="1:16" ht="15.75" customHeight="1" x14ac:dyDescent="0.3">
      <c r="A17" s="4">
        <v>1473497</v>
      </c>
      <c r="B17" s="4" t="s">
        <v>17</v>
      </c>
      <c r="C17" s="4" t="s">
        <v>77</v>
      </c>
      <c r="D17" s="4" t="str">
        <f t="shared" si="0"/>
        <v>IPL-2025</v>
      </c>
      <c r="E17" s="4">
        <f>YEAR('IPL Info'!$F17)</f>
        <v>2025</v>
      </c>
      <c r="F17" s="5">
        <v>45795</v>
      </c>
      <c r="G17" s="4" t="s">
        <v>17</v>
      </c>
      <c r="H17" s="4" t="s">
        <v>31</v>
      </c>
      <c r="I17" s="4" t="s">
        <v>19</v>
      </c>
      <c r="J17" s="4" t="s">
        <v>20</v>
      </c>
      <c r="K17" s="4" t="s">
        <v>17</v>
      </c>
      <c r="L17" s="4" t="s">
        <v>87</v>
      </c>
      <c r="M17" s="4" t="s">
        <v>47</v>
      </c>
      <c r="N17" s="4" t="s">
        <v>48</v>
      </c>
      <c r="O17" s="4" t="s">
        <v>88</v>
      </c>
      <c r="P17" s="4" t="s">
        <v>89</v>
      </c>
    </row>
    <row r="18" spans="1:16" ht="15.75" customHeight="1" x14ac:dyDescent="0.3">
      <c r="A18" s="2">
        <v>1473495</v>
      </c>
      <c r="B18" s="2" t="s">
        <v>17</v>
      </c>
      <c r="C18" s="2" t="s">
        <v>62</v>
      </c>
      <c r="D18" s="2" t="str">
        <f t="shared" si="0"/>
        <v>IPL-2025</v>
      </c>
      <c r="E18" s="2">
        <f>YEAR('IPL Info'!$F18)</f>
        <v>2025</v>
      </c>
      <c r="F18" s="3">
        <v>45785</v>
      </c>
      <c r="G18" s="2" t="s">
        <v>17</v>
      </c>
      <c r="H18" s="2" t="s">
        <v>31</v>
      </c>
      <c r="I18" s="2" t="s">
        <v>90</v>
      </c>
      <c r="J18" s="2" t="s">
        <v>20</v>
      </c>
      <c r="K18" s="2" t="s">
        <v>20</v>
      </c>
      <c r="L18" s="2" t="s">
        <v>91</v>
      </c>
      <c r="M18" s="2" t="s">
        <v>92</v>
      </c>
      <c r="N18" s="2" t="s">
        <v>93</v>
      </c>
      <c r="O18" s="2" t="s">
        <v>94</v>
      </c>
      <c r="P18" s="2" t="s">
        <v>95</v>
      </c>
    </row>
    <row r="19" spans="1:16" ht="15.75" customHeight="1" x14ac:dyDescent="0.3">
      <c r="A19" s="4">
        <v>1473494</v>
      </c>
      <c r="B19" s="4" t="s">
        <v>56</v>
      </c>
      <c r="C19" s="4" t="s">
        <v>51</v>
      </c>
      <c r="D19" s="4" t="str">
        <f t="shared" si="0"/>
        <v>IPL-2025</v>
      </c>
      <c r="E19" s="4">
        <f>YEAR('IPL Info'!$F19)</f>
        <v>2025</v>
      </c>
      <c r="F19" s="5">
        <v>45784</v>
      </c>
      <c r="G19" s="4" t="s">
        <v>56</v>
      </c>
      <c r="H19" s="4" t="s">
        <v>31</v>
      </c>
      <c r="I19" s="4" t="s">
        <v>19</v>
      </c>
      <c r="J19" s="4" t="s">
        <v>20</v>
      </c>
      <c r="K19" s="4" t="s">
        <v>51</v>
      </c>
      <c r="L19" s="4" t="s">
        <v>96</v>
      </c>
      <c r="M19" s="4" t="s">
        <v>97</v>
      </c>
      <c r="N19" s="4" t="s">
        <v>98</v>
      </c>
      <c r="O19" s="4" t="s">
        <v>99</v>
      </c>
      <c r="P19" s="4" t="s">
        <v>100</v>
      </c>
    </row>
    <row r="20" spans="1:16" ht="15.75" customHeight="1" x14ac:dyDescent="0.3">
      <c r="A20" s="2">
        <v>1473493</v>
      </c>
      <c r="B20" s="2" t="s">
        <v>26</v>
      </c>
      <c r="C20" s="2" t="s">
        <v>30</v>
      </c>
      <c r="D20" s="2" t="str">
        <f t="shared" si="0"/>
        <v>IPL-2025</v>
      </c>
      <c r="E20" s="2">
        <f>YEAR('IPL Info'!$F20)</f>
        <v>2025</v>
      </c>
      <c r="F20" s="3">
        <v>45783</v>
      </c>
      <c r="G20" s="2" t="s">
        <v>30</v>
      </c>
      <c r="H20" s="2" t="s">
        <v>18</v>
      </c>
      <c r="I20" s="2" t="s">
        <v>19</v>
      </c>
      <c r="J20" s="2" t="s">
        <v>20</v>
      </c>
      <c r="K20" s="2" t="s">
        <v>30</v>
      </c>
      <c r="L20" s="2" t="s">
        <v>101</v>
      </c>
      <c r="M20" s="2" t="s">
        <v>73</v>
      </c>
      <c r="N20" s="2" t="s">
        <v>74</v>
      </c>
      <c r="O20" s="2" t="s">
        <v>102</v>
      </c>
      <c r="P20" s="2" t="s">
        <v>103</v>
      </c>
    </row>
    <row r="21" spans="1:16" ht="15.75" customHeight="1" x14ac:dyDescent="0.3">
      <c r="A21" s="4">
        <v>1473492</v>
      </c>
      <c r="B21" s="4" t="s">
        <v>62</v>
      </c>
      <c r="C21" s="4" t="s">
        <v>55</v>
      </c>
      <c r="D21" s="4" t="str">
        <f t="shared" si="0"/>
        <v>IPL-2025</v>
      </c>
      <c r="E21" s="4">
        <f>YEAR('IPL Info'!$F21)</f>
        <v>2025</v>
      </c>
      <c r="F21" s="5">
        <v>45782</v>
      </c>
      <c r="G21" s="4" t="s">
        <v>55</v>
      </c>
      <c r="H21" s="4" t="s">
        <v>18</v>
      </c>
      <c r="I21" s="4" t="s">
        <v>90</v>
      </c>
      <c r="J21" s="4" t="s">
        <v>20</v>
      </c>
      <c r="K21" s="4" t="s">
        <v>20</v>
      </c>
      <c r="L21" s="4" t="s">
        <v>91</v>
      </c>
      <c r="M21" s="4" t="s">
        <v>104</v>
      </c>
      <c r="N21" s="4" t="s">
        <v>105</v>
      </c>
      <c r="O21" s="4" t="s">
        <v>106</v>
      </c>
      <c r="P21" s="4" t="s">
        <v>107</v>
      </c>
    </row>
    <row r="22" spans="1:16" ht="15.75" customHeight="1" x14ac:dyDescent="0.3">
      <c r="A22" s="2">
        <v>1473491</v>
      </c>
      <c r="B22" s="2" t="s">
        <v>17</v>
      </c>
      <c r="C22" s="2" t="s">
        <v>40</v>
      </c>
      <c r="D22" s="2" t="str">
        <f t="shared" si="0"/>
        <v>IPL-2025</v>
      </c>
      <c r="E22" s="2">
        <f>YEAR('IPL Info'!$F22)</f>
        <v>2025</v>
      </c>
      <c r="F22" s="3">
        <v>45781</v>
      </c>
      <c r="G22" s="2" t="s">
        <v>40</v>
      </c>
      <c r="H22" s="2" t="s">
        <v>18</v>
      </c>
      <c r="I22" s="2" t="s">
        <v>19</v>
      </c>
      <c r="J22" s="2" t="s">
        <v>20</v>
      </c>
      <c r="K22" s="2" t="s">
        <v>17</v>
      </c>
      <c r="L22" s="2" t="s">
        <v>108</v>
      </c>
      <c r="M22" s="2" t="s">
        <v>92</v>
      </c>
      <c r="N22" s="2" t="s">
        <v>93</v>
      </c>
      <c r="O22" s="2" t="s">
        <v>109</v>
      </c>
      <c r="P22" s="2" t="s">
        <v>110</v>
      </c>
    </row>
    <row r="23" spans="1:16" ht="15.75" customHeight="1" x14ac:dyDescent="0.3">
      <c r="A23" s="4">
        <v>1473490</v>
      </c>
      <c r="B23" s="4" t="s">
        <v>56</v>
      </c>
      <c r="C23" s="4" t="s">
        <v>77</v>
      </c>
      <c r="D23" s="4" t="str">
        <f t="shared" si="0"/>
        <v>IPL-2025</v>
      </c>
      <c r="E23" s="4">
        <f>YEAR('IPL Info'!$F23)</f>
        <v>2025</v>
      </c>
      <c r="F23" s="5">
        <v>45781</v>
      </c>
      <c r="G23" s="4" t="s">
        <v>56</v>
      </c>
      <c r="H23" s="4" t="s">
        <v>31</v>
      </c>
      <c r="I23" s="4" t="s">
        <v>19</v>
      </c>
      <c r="J23" s="4" t="s">
        <v>20</v>
      </c>
      <c r="K23" s="4" t="s">
        <v>56</v>
      </c>
      <c r="L23" s="4" t="s">
        <v>111</v>
      </c>
      <c r="M23" s="4" t="s">
        <v>97</v>
      </c>
      <c r="N23" s="4" t="s">
        <v>98</v>
      </c>
      <c r="O23" s="4" t="s">
        <v>112</v>
      </c>
      <c r="P23" s="4" t="s">
        <v>113</v>
      </c>
    </row>
    <row r="24" spans="1:16" ht="15.75" customHeight="1" x14ac:dyDescent="0.3">
      <c r="A24" s="2">
        <v>1473489</v>
      </c>
      <c r="B24" s="2" t="s">
        <v>16</v>
      </c>
      <c r="C24" s="2" t="s">
        <v>51</v>
      </c>
      <c r="D24" s="2" t="str">
        <f t="shared" si="0"/>
        <v>IPL-2025</v>
      </c>
      <c r="E24" s="2">
        <f>YEAR('IPL Info'!$F24)</f>
        <v>2025</v>
      </c>
      <c r="F24" s="3">
        <v>45780</v>
      </c>
      <c r="G24" s="2" t="s">
        <v>51</v>
      </c>
      <c r="H24" s="2" t="s">
        <v>18</v>
      </c>
      <c r="I24" s="2" t="s">
        <v>19</v>
      </c>
      <c r="J24" s="2" t="s">
        <v>20</v>
      </c>
      <c r="K24" s="2" t="s">
        <v>16</v>
      </c>
      <c r="L24" s="2" t="s">
        <v>114</v>
      </c>
      <c r="M24" s="2" t="s">
        <v>115</v>
      </c>
      <c r="N24" s="2" t="s">
        <v>116</v>
      </c>
      <c r="O24" s="2" t="s">
        <v>117</v>
      </c>
      <c r="P24" s="2" t="s">
        <v>118</v>
      </c>
    </row>
    <row r="25" spans="1:16" ht="15.6" x14ac:dyDescent="0.3">
      <c r="A25" s="4">
        <v>1473488</v>
      </c>
      <c r="B25" s="4" t="s">
        <v>30</v>
      </c>
      <c r="C25" s="4" t="s">
        <v>55</v>
      </c>
      <c r="D25" s="4" t="str">
        <f t="shared" si="0"/>
        <v>IPL-2025</v>
      </c>
      <c r="E25" s="4">
        <f>YEAR('IPL Info'!$F25)</f>
        <v>2025</v>
      </c>
      <c r="F25" s="5">
        <v>45779</v>
      </c>
      <c r="G25" s="4" t="s">
        <v>55</v>
      </c>
      <c r="H25" s="4" t="s">
        <v>18</v>
      </c>
      <c r="I25" s="4" t="s">
        <v>19</v>
      </c>
      <c r="J25" s="4" t="s">
        <v>20</v>
      </c>
      <c r="K25" s="4" t="s">
        <v>30</v>
      </c>
      <c r="L25" s="4" t="s">
        <v>119</v>
      </c>
      <c r="M25" s="4" t="s">
        <v>22</v>
      </c>
      <c r="N25" s="4" t="s">
        <v>23</v>
      </c>
      <c r="O25" s="4" t="s">
        <v>120</v>
      </c>
      <c r="P25" s="4" t="s">
        <v>121</v>
      </c>
    </row>
    <row r="26" spans="1:16" ht="15.6" x14ac:dyDescent="0.3">
      <c r="A26" s="2">
        <v>1473487</v>
      </c>
      <c r="B26" s="2" t="s">
        <v>26</v>
      </c>
      <c r="C26" s="2" t="s">
        <v>77</v>
      </c>
      <c r="D26" s="2" t="str">
        <f t="shared" si="0"/>
        <v>IPL-2025</v>
      </c>
      <c r="E26" s="2">
        <f>YEAR('IPL Info'!$F26)</f>
        <v>2025</v>
      </c>
      <c r="F26" s="3">
        <v>45778</v>
      </c>
      <c r="G26" s="2" t="s">
        <v>77</v>
      </c>
      <c r="H26" s="2" t="s">
        <v>18</v>
      </c>
      <c r="I26" s="2" t="s">
        <v>19</v>
      </c>
      <c r="J26" s="2" t="s">
        <v>20</v>
      </c>
      <c r="K26" s="2" t="s">
        <v>26</v>
      </c>
      <c r="L26" s="2" t="s">
        <v>122</v>
      </c>
      <c r="M26" s="2" t="s">
        <v>47</v>
      </c>
      <c r="N26" s="2" t="s">
        <v>48</v>
      </c>
      <c r="O26" s="2" t="s">
        <v>123</v>
      </c>
      <c r="P26" s="2" t="s">
        <v>124</v>
      </c>
    </row>
    <row r="27" spans="1:16" ht="15.6" x14ac:dyDescent="0.3">
      <c r="A27" s="4">
        <v>1473486</v>
      </c>
      <c r="B27" s="4" t="s">
        <v>51</v>
      </c>
      <c r="C27" s="4" t="s">
        <v>17</v>
      </c>
      <c r="D27" s="4" t="str">
        <f t="shared" si="0"/>
        <v>IPL-2025</v>
      </c>
      <c r="E27" s="4">
        <f>YEAR('IPL Info'!$F27)</f>
        <v>2025</v>
      </c>
      <c r="F27" s="5">
        <v>45777</v>
      </c>
      <c r="G27" s="4" t="s">
        <v>17</v>
      </c>
      <c r="H27" s="4" t="s">
        <v>18</v>
      </c>
      <c r="I27" s="4" t="s">
        <v>19</v>
      </c>
      <c r="J27" s="4" t="s">
        <v>20</v>
      </c>
      <c r="K27" s="4" t="s">
        <v>17</v>
      </c>
      <c r="L27" s="4" t="s">
        <v>27</v>
      </c>
      <c r="M27" s="4" t="s">
        <v>125</v>
      </c>
      <c r="N27" s="4" t="s">
        <v>126</v>
      </c>
      <c r="O27" s="4" t="s">
        <v>127</v>
      </c>
      <c r="P27" s="4" t="s">
        <v>128</v>
      </c>
    </row>
    <row r="28" spans="1:16" ht="15.6" x14ac:dyDescent="0.3">
      <c r="A28" s="2">
        <v>1473485</v>
      </c>
      <c r="B28" s="2" t="s">
        <v>56</v>
      </c>
      <c r="C28" s="2" t="s">
        <v>62</v>
      </c>
      <c r="D28" s="2" t="str">
        <f t="shared" si="0"/>
        <v>IPL-2025</v>
      </c>
      <c r="E28" s="2">
        <f>YEAR('IPL Info'!$F28)</f>
        <v>2025</v>
      </c>
      <c r="F28" s="3">
        <v>45776</v>
      </c>
      <c r="G28" s="2" t="s">
        <v>62</v>
      </c>
      <c r="H28" s="2" t="s">
        <v>18</v>
      </c>
      <c r="I28" s="2" t="s">
        <v>19</v>
      </c>
      <c r="J28" s="2" t="s">
        <v>20</v>
      </c>
      <c r="K28" s="2" t="s">
        <v>56</v>
      </c>
      <c r="L28" s="2" t="s">
        <v>129</v>
      </c>
      <c r="M28" s="2" t="s">
        <v>58</v>
      </c>
      <c r="N28" s="2" t="s">
        <v>59</v>
      </c>
      <c r="O28" s="2" t="s">
        <v>130</v>
      </c>
      <c r="P28" s="2" t="s">
        <v>131</v>
      </c>
    </row>
    <row r="29" spans="1:16" ht="15.6" x14ac:dyDescent="0.3">
      <c r="A29" s="4">
        <v>1473484</v>
      </c>
      <c r="B29" s="4" t="s">
        <v>30</v>
      </c>
      <c r="C29" s="4" t="s">
        <v>77</v>
      </c>
      <c r="D29" s="4" t="str">
        <f t="shared" si="0"/>
        <v>IPL-2025</v>
      </c>
      <c r="E29" s="4">
        <f>YEAR('IPL Info'!$F29)</f>
        <v>2025</v>
      </c>
      <c r="F29" s="5">
        <v>45775</v>
      </c>
      <c r="G29" s="4" t="s">
        <v>77</v>
      </c>
      <c r="H29" s="4" t="s">
        <v>18</v>
      </c>
      <c r="I29" s="4" t="s">
        <v>19</v>
      </c>
      <c r="J29" s="4" t="s">
        <v>20</v>
      </c>
      <c r="K29" s="4" t="s">
        <v>77</v>
      </c>
      <c r="L29" s="4" t="s">
        <v>132</v>
      </c>
      <c r="M29" s="4" t="s">
        <v>47</v>
      </c>
      <c r="N29" s="4" t="s">
        <v>48</v>
      </c>
      <c r="O29" s="4" t="s">
        <v>133</v>
      </c>
      <c r="P29" s="4" t="s">
        <v>134</v>
      </c>
    </row>
    <row r="30" spans="1:16" ht="15.6" x14ac:dyDescent="0.3">
      <c r="A30" s="2">
        <v>1473483</v>
      </c>
      <c r="B30" s="2" t="s">
        <v>62</v>
      </c>
      <c r="C30" s="2" t="s">
        <v>16</v>
      </c>
      <c r="D30" s="2" t="str">
        <f t="shared" si="0"/>
        <v>IPL-2025</v>
      </c>
      <c r="E30" s="2">
        <f>YEAR('IPL Info'!$F30)</f>
        <v>2025</v>
      </c>
      <c r="F30" s="3">
        <v>45774</v>
      </c>
      <c r="G30" s="2" t="s">
        <v>16</v>
      </c>
      <c r="H30" s="2" t="s">
        <v>18</v>
      </c>
      <c r="I30" s="2" t="s">
        <v>19</v>
      </c>
      <c r="J30" s="2" t="s">
        <v>20</v>
      </c>
      <c r="K30" s="2" t="s">
        <v>16</v>
      </c>
      <c r="L30" s="2" t="s">
        <v>21</v>
      </c>
      <c r="M30" s="2" t="s">
        <v>58</v>
      </c>
      <c r="N30" s="2" t="s">
        <v>59</v>
      </c>
      <c r="O30" s="2" t="s">
        <v>135</v>
      </c>
      <c r="P30" s="2" t="s">
        <v>136</v>
      </c>
    </row>
    <row r="31" spans="1:16" ht="15.6" x14ac:dyDescent="0.3">
      <c r="A31" s="4">
        <v>1473482</v>
      </c>
      <c r="B31" s="4" t="s">
        <v>26</v>
      </c>
      <c r="C31" s="4" t="s">
        <v>40</v>
      </c>
      <c r="D31" s="4" t="str">
        <f t="shared" si="0"/>
        <v>IPL-2025</v>
      </c>
      <c r="E31" s="4">
        <f>YEAR('IPL Info'!$F31)</f>
        <v>2025</v>
      </c>
      <c r="F31" s="5">
        <v>45774</v>
      </c>
      <c r="G31" s="4" t="s">
        <v>40</v>
      </c>
      <c r="H31" s="4" t="s">
        <v>18</v>
      </c>
      <c r="I31" s="4" t="s">
        <v>19</v>
      </c>
      <c r="J31" s="4" t="s">
        <v>20</v>
      </c>
      <c r="K31" s="4" t="s">
        <v>26</v>
      </c>
      <c r="L31" s="4" t="s">
        <v>137</v>
      </c>
      <c r="M31" s="4" t="s">
        <v>73</v>
      </c>
      <c r="N31" s="4" t="s">
        <v>74</v>
      </c>
      <c r="O31" s="4" t="s">
        <v>138</v>
      </c>
      <c r="P31" s="4" t="s">
        <v>139</v>
      </c>
    </row>
    <row r="32" spans="1:16" ht="15.6" x14ac:dyDescent="0.3">
      <c r="A32" s="2">
        <v>1473481</v>
      </c>
      <c r="B32" s="2" t="s">
        <v>17</v>
      </c>
      <c r="C32" s="2" t="s">
        <v>56</v>
      </c>
      <c r="D32" s="2" t="str">
        <f t="shared" si="0"/>
        <v>IPL-2025</v>
      </c>
      <c r="E32" s="2">
        <f>YEAR('IPL Info'!$F32)</f>
        <v>2025</v>
      </c>
      <c r="F32" s="3">
        <v>45773</v>
      </c>
      <c r="G32" s="2" t="s">
        <v>17</v>
      </c>
      <c r="H32" s="2" t="s">
        <v>31</v>
      </c>
      <c r="I32" s="2" t="s">
        <v>90</v>
      </c>
      <c r="J32" s="2" t="s">
        <v>20</v>
      </c>
      <c r="K32" s="2" t="s">
        <v>20</v>
      </c>
      <c r="L32" s="2" t="s">
        <v>91</v>
      </c>
      <c r="M32" s="2" t="s">
        <v>97</v>
      </c>
      <c r="N32" s="2" t="s">
        <v>98</v>
      </c>
      <c r="O32" s="2" t="s">
        <v>140</v>
      </c>
      <c r="P32" s="2" t="s">
        <v>141</v>
      </c>
    </row>
    <row r="33" spans="1:16" ht="15.6" x14ac:dyDescent="0.3">
      <c r="A33" s="4">
        <v>1473480</v>
      </c>
      <c r="B33" s="4" t="s">
        <v>51</v>
      </c>
      <c r="C33" s="4" t="s">
        <v>55</v>
      </c>
      <c r="D33" s="4" t="str">
        <f t="shared" si="0"/>
        <v>IPL-2025</v>
      </c>
      <c r="E33" s="4">
        <f>YEAR('IPL Info'!$F33)</f>
        <v>2025</v>
      </c>
      <c r="F33" s="5">
        <v>45772</v>
      </c>
      <c r="G33" s="4" t="s">
        <v>55</v>
      </c>
      <c r="H33" s="4" t="s">
        <v>18</v>
      </c>
      <c r="I33" s="4" t="s">
        <v>19</v>
      </c>
      <c r="J33" s="4" t="s">
        <v>20</v>
      </c>
      <c r="K33" s="4" t="s">
        <v>55</v>
      </c>
      <c r="L33" s="4" t="s">
        <v>142</v>
      </c>
      <c r="M33" s="4" t="s">
        <v>125</v>
      </c>
      <c r="N33" s="4" t="s">
        <v>126</v>
      </c>
      <c r="O33" s="4" t="s">
        <v>143</v>
      </c>
      <c r="P33" s="4" t="s">
        <v>144</v>
      </c>
    </row>
    <row r="34" spans="1:16" ht="15.6" x14ac:dyDescent="0.3">
      <c r="A34" s="2">
        <v>1473479</v>
      </c>
      <c r="B34" s="2" t="s">
        <v>16</v>
      </c>
      <c r="C34" s="2" t="s">
        <v>77</v>
      </c>
      <c r="D34" s="2" t="str">
        <f t="shared" si="0"/>
        <v>IPL-2025</v>
      </c>
      <c r="E34" s="2">
        <f>YEAR('IPL Info'!$F34)</f>
        <v>2025</v>
      </c>
      <c r="F34" s="3">
        <v>45771</v>
      </c>
      <c r="G34" s="2" t="s">
        <v>77</v>
      </c>
      <c r="H34" s="2" t="s">
        <v>18</v>
      </c>
      <c r="I34" s="2" t="s">
        <v>19</v>
      </c>
      <c r="J34" s="2" t="s">
        <v>20</v>
      </c>
      <c r="K34" s="2" t="s">
        <v>16</v>
      </c>
      <c r="L34" s="2" t="s">
        <v>145</v>
      </c>
      <c r="M34" s="2" t="s">
        <v>115</v>
      </c>
      <c r="N34" s="2" t="s">
        <v>116</v>
      </c>
      <c r="O34" s="2" t="s">
        <v>146</v>
      </c>
      <c r="P34" s="2" t="s">
        <v>147</v>
      </c>
    </row>
    <row r="35" spans="1:16" ht="15.6" x14ac:dyDescent="0.3">
      <c r="A35" s="4">
        <v>1473478</v>
      </c>
      <c r="B35" s="4" t="s">
        <v>55</v>
      </c>
      <c r="C35" s="4" t="s">
        <v>26</v>
      </c>
      <c r="D35" s="4" t="str">
        <f t="shared" si="0"/>
        <v>IPL-2025</v>
      </c>
      <c r="E35" s="4">
        <f>YEAR('IPL Info'!$F35)</f>
        <v>2025</v>
      </c>
      <c r="F35" s="5">
        <v>45770</v>
      </c>
      <c r="G35" s="4" t="s">
        <v>26</v>
      </c>
      <c r="H35" s="4" t="s">
        <v>18</v>
      </c>
      <c r="I35" s="4" t="s">
        <v>19</v>
      </c>
      <c r="J35" s="4" t="s">
        <v>20</v>
      </c>
      <c r="K35" s="4" t="s">
        <v>26</v>
      </c>
      <c r="L35" s="4" t="s">
        <v>148</v>
      </c>
      <c r="M35" s="4" t="s">
        <v>104</v>
      </c>
      <c r="N35" s="4" t="s">
        <v>105</v>
      </c>
      <c r="O35" s="4" t="s">
        <v>149</v>
      </c>
      <c r="P35" s="4" t="s">
        <v>150</v>
      </c>
    </row>
    <row r="36" spans="1:16" ht="15.6" x14ac:dyDescent="0.3">
      <c r="A36" s="2">
        <v>1473477</v>
      </c>
      <c r="B36" s="2" t="s">
        <v>40</v>
      </c>
      <c r="C36" s="2" t="s">
        <v>62</v>
      </c>
      <c r="D36" s="2" t="str">
        <f t="shared" si="0"/>
        <v>IPL-2025</v>
      </c>
      <c r="E36" s="2">
        <f>YEAR('IPL Info'!$F36)</f>
        <v>2025</v>
      </c>
      <c r="F36" s="3">
        <v>45769</v>
      </c>
      <c r="G36" s="2" t="s">
        <v>62</v>
      </c>
      <c r="H36" s="2" t="s">
        <v>18</v>
      </c>
      <c r="I36" s="2" t="s">
        <v>19</v>
      </c>
      <c r="J36" s="2" t="s">
        <v>20</v>
      </c>
      <c r="K36" s="2" t="s">
        <v>62</v>
      </c>
      <c r="L36" s="2" t="s">
        <v>151</v>
      </c>
      <c r="M36" s="2" t="s">
        <v>42</v>
      </c>
      <c r="N36" s="2" t="s">
        <v>43</v>
      </c>
      <c r="O36" s="2" t="s">
        <v>152</v>
      </c>
      <c r="P36" s="2" t="s">
        <v>153</v>
      </c>
    </row>
    <row r="37" spans="1:16" ht="15.6" x14ac:dyDescent="0.3">
      <c r="A37" s="4">
        <v>1473476</v>
      </c>
      <c r="B37" s="4" t="s">
        <v>30</v>
      </c>
      <c r="C37" s="4" t="s">
        <v>56</v>
      </c>
      <c r="D37" s="4" t="str">
        <f t="shared" si="0"/>
        <v>IPL-2025</v>
      </c>
      <c r="E37" s="4">
        <f>YEAR('IPL Info'!$F37)</f>
        <v>2025</v>
      </c>
      <c r="F37" s="5">
        <v>45768</v>
      </c>
      <c r="G37" s="4" t="s">
        <v>56</v>
      </c>
      <c r="H37" s="4" t="s">
        <v>18</v>
      </c>
      <c r="I37" s="4" t="s">
        <v>19</v>
      </c>
      <c r="J37" s="4" t="s">
        <v>20</v>
      </c>
      <c r="K37" s="4" t="s">
        <v>30</v>
      </c>
      <c r="L37" s="4" t="s">
        <v>101</v>
      </c>
      <c r="M37" s="4" t="s">
        <v>97</v>
      </c>
      <c r="N37" s="4" t="s">
        <v>98</v>
      </c>
      <c r="O37" s="4" t="s">
        <v>154</v>
      </c>
      <c r="P37" s="4" t="s">
        <v>155</v>
      </c>
    </row>
    <row r="38" spans="1:16" ht="15.6" x14ac:dyDescent="0.3">
      <c r="A38" s="2">
        <v>1473475</v>
      </c>
      <c r="B38" s="2" t="s">
        <v>51</v>
      </c>
      <c r="C38" s="2" t="s">
        <v>26</v>
      </c>
      <c r="D38" s="2" t="str">
        <f t="shared" si="0"/>
        <v>IPL-2025</v>
      </c>
      <c r="E38" s="2">
        <f>YEAR('IPL Info'!$F38)</f>
        <v>2025</v>
      </c>
      <c r="F38" s="3">
        <v>45767</v>
      </c>
      <c r="G38" s="2" t="s">
        <v>26</v>
      </c>
      <c r="H38" s="2" t="s">
        <v>18</v>
      </c>
      <c r="I38" s="2" t="s">
        <v>19</v>
      </c>
      <c r="J38" s="2" t="s">
        <v>20</v>
      </c>
      <c r="K38" s="2" t="s">
        <v>26</v>
      </c>
      <c r="L38" s="2" t="s">
        <v>32</v>
      </c>
      <c r="M38" s="2" t="s">
        <v>73</v>
      </c>
      <c r="N38" s="2" t="s">
        <v>74</v>
      </c>
      <c r="O38" s="2" t="s">
        <v>156</v>
      </c>
      <c r="P38" s="2" t="s">
        <v>157</v>
      </c>
    </row>
    <row r="39" spans="1:16" ht="15.6" x14ac:dyDescent="0.3">
      <c r="A39" s="4">
        <v>1473474</v>
      </c>
      <c r="B39" s="4" t="s">
        <v>17</v>
      </c>
      <c r="C39" s="4" t="s">
        <v>16</v>
      </c>
      <c r="D39" s="4" t="str">
        <f t="shared" si="0"/>
        <v>IPL-2025</v>
      </c>
      <c r="E39" s="4">
        <f>YEAR('IPL Info'!$F39)</f>
        <v>2025</v>
      </c>
      <c r="F39" s="5">
        <v>45767</v>
      </c>
      <c r="G39" s="4" t="s">
        <v>16</v>
      </c>
      <c r="H39" s="4" t="s">
        <v>18</v>
      </c>
      <c r="I39" s="4" t="s">
        <v>19</v>
      </c>
      <c r="J39" s="4" t="s">
        <v>20</v>
      </c>
      <c r="K39" s="4" t="s">
        <v>16</v>
      </c>
      <c r="L39" s="4" t="s">
        <v>158</v>
      </c>
      <c r="M39" s="4" t="s">
        <v>38</v>
      </c>
      <c r="N39" s="4" t="s">
        <v>159</v>
      </c>
      <c r="O39" s="4" t="s">
        <v>160</v>
      </c>
      <c r="P39" s="4" t="s">
        <v>161</v>
      </c>
    </row>
    <row r="40" spans="1:16" ht="15.6" x14ac:dyDescent="0.3">
      <c r="A40" s="2">
        <v>1473473</v>
      </c>
      <c r="B40" s="2" t="s">
        <v>40</v>
      </c>
      <c r="C40" s="2" t="s">
        <v>77</v>
      </c>
      <c r="D40" s="2" t="str">
        <f t="shared" si="0"/>
        <v>IPL-2025</v>
      </c>
      <c r="E40" s="2">
        <f>YEAR('IPL Info'!$F40)</f>
        <v>2025</v>
      </c>
      <c r="F40" s="3">
        <v>45766</v>
      </c>
      <c r="G40" s="2" t="s">
        <v>40</v>
      </c>
      <c r="H40" s="2" t="s">
        <v>31</v>
      </c>
      <c r="I40" s="2" t="s">
        <v>19</v>
      </c>
      <c r="J40" s="2" t="s">
        <v>20</v>
      </c>
      <c r="K40" s="2" t="s">
        <v>40</v>
      </c>
      <c r="L40" s="2" t="s">
        <v>162</v>
      </c>
      <c r="M40" s="2" t="s">
        <v>47</v>
      </c>
      <c r="N40" s="2" t="s">
        <v>48</v>
      </c>
      <c r="O40" s="2" t="s">
        <v>163</v>
      </c>
      <c r="P40" s="2" t="s">
        <v>164</v>
      </c>
    </row>
    <row r="41" spans="1:16" ht="15.6" x14ac:dyDescent="0.3">
      <c r="A41" s="4">
        <v>1473472</v>
      </c>
      <c r="B41" s="4" t="s">
        <v>62</v>
      </c>
      <c r="C41" s="4" t="s">
        <v>30</v>
      </c>
      <c r="D41" s="4" t="str">
        <f t="shared" si="0"/>
        <v>IPL-2025</v>
      </c>
      <c r="E41" s="4">
        <f>YEAR('IPL Info'!$F41)</f>
        <v>2025</v>
      </c>
      <c r="F41" s="5">
        <v>45766</v>
      </c>
      <c r="G41" s="4" t="s">
        <v>30</v>
      </c>
      <c r="H41" s="4" t="s">
        <v>18</v>
      </c>
      <c r="I41" s="4" t="s">
        <v>19</v>
      </c>
      <c r="J41" s="4" t="s">
        <v>20</v>
      </c>
      <c r="K41" s="4" t="s">
        <v>30</v>
      </c>
      <c r="L41" s="4" t="s">
        <v>165</v>
      </c>
      <c r="M41" s="4" t="s">
        <v>22</v>
      </c>
      <c r="N41" s="4" t="s">
        <v>23</v>
      </c>
      <c r="O41" s="4" t="s">
        <v>166</v>
      </c>
      <c r="P41" s="4" t="s">
        <v>167</v>
      </c>
    </row>
    <row r="42" spans="1:16" ht="15.6" x14ac:dyDescent="0.3">
      <c r="A42" s="2">
        <v>1473471</v>
      </c>
      <c r="B42" s="2" t="s">
        <v>16</v>
      </c>
      <c r="C42" s="2" t="s">
        <v>17</v>
      </c>
      <c r="D42" s="2" t="str">
        <f t="shared" si="0"/>
        <v>IPL-2025</v>
      </c>
      <c r="E42" s="2">
        <f>YEAR('IPL Info'!$F42)</f>
        <v>2025</v>
      </c>
      <c r="F42" s="3">
        <v>45765</v>
      </c>
      <c r="G42" s="2" t="s">
        <v>17</v>
      </c>
      <c r="H42" s="2" t="s">
        <v>18</v>
      </c>
      <c r="I42" s="2" t="s">
        <v>19</v>
      </c>
      <c r="J42" s="2" t="s">
        <v>20</v>
      </c>
      <c r="K42" s="2" t="s">
        <v>17</v>
      </c>
      <c r="L42" s="2" t="s">
        <v>168</v>
      </c>
      <c r="M42" s="2" t="s">
        <v>115</v>
      </c>
      <c r="N42" s="2" t="s">
        <v>116</v>
      </c>
      <c r="O42" s="2" t="s">
        <v>169</v>
      </c>
      <c r="P42" s="2" t="s">
        <v>170</v>
      </c>
    </row>
    <row r="43" spans="1:16" ht="15.6" x14ac:dyDescent="0.3">
      <c r="A43" s="4">
        <v>1473470</v>
      </c>
      <c r="B43" s="4" t="s">
        <v>55</v>
      </c>
      <c r="C43" s="4" t="s">
        <v>26</v>
      </c>
      <c r="D43" s="4" t="str">
        <f t="shared" si="0"/>
        <v>IPL-2025</v>
      </c>
      <c r="E43" s="4">
        <f>YEAR('IPL Info'!$F43)</f>
        <v>2025</v>
      </c>
      <c r="F43" s="5">
        <v>45764</v>
      </c>
      <c r="G43" s="4" t="s">
        <v>26</v>
      </c>
      <c r="H43" s="4" t="s">
        <v>18</v>
      </c>
      <c r="I43" s="4" t="s">
        <v>19</v>
      </c>
      <c r="J43" s="4" t="s">
        <v>20</v>
      </c>
      <c r="K43" s="4" t="s">
        <v>26</v>
      </c>
      <c r="L43" s="4" t="s">
        <v>137</v>
      </c>
      <c r="M43" s="4" t="s">
        <v>73</v>
      </c>
      <c r="N43" s="4" t="s">
        <v>74</v>
      </c>
      <c r="O43" s="4" t="s">
        <v>171</v>
      </c>
      <c r="P43" s="4" t="s">
        <v>172</v>
      </c>
    </row>
    <row r="44" spans="1:16" ht="15.6" x14ac:dyDescent="0.3">
      <c r="A44" s="2">
        <v>1473469</v>
      </c>
      <c r="B44" s="2" t="s">
        <v>62</v>
      </c>
      <c r="C44" s="2" t="s">
        <v>77</v>
      </c>
      <c r="D44" s="2" t="str">
        <f t="shared" si="0"/>
        <v>IPL-2025</v>
      </c>
      <c r="E44" s="2">
        <f>YEAR('IPL Info'!$F44)</f>
        <v>2025</v>
      </c>
      <c r="F44" s="3">
        <v>45763</v>
      </c>
      <c r="G44" s="2" t="s">
        <v>77</v>
      </c>
      <c r="H44" s="2" t="s">
        <v>18</v>
      </c>
      <c r="I44" s="2" t="s">
        <v>173</v>
      </c>
      <c r="J44" s="2" t="s">
        <v>62</v>
      </c>
      <c r="K44" s="2" t="s">
        <v>20</v>
      </c>
      <c r="L44" s="2" t="s">
        <v>174</v>
      </c>
      <c r="M44" s="2" t="s">
        <v>58</v>
      </c>
      <c r="N44" s="2" t="s">
        <v>59</v>
      </c>
      <c r="O44" s="2" t="s">
        <v>175</v>
      </c>
      <c r="P44" s="2" t="s">
        <v>176</v>
      </c>
    </row>
    <row r="45" spans="1:16" ht="15.6" x14ac:dyDescent="0.3">
      <c r="A45" s="4">
        <v>1473468</v>
      </c>
      <c r="B45" s="4" t="s">
        <v>17</v>
      </c>
      <c r="C45" s="4" t="s">
        <v>56</v>
      </c>
      <c r="D45" s="4" t="str">
        <f t="shared" si="0"/>
        <v>IPL-2025</v>
      </c>
      <c r="E45" s="4">
        <f>YEAR('IPL Info'!$F45)</f>
        <v>2025</v>
      </c>
      <c r="F45" s="5">
        <v>45762</v>
      </c>
      <c r="G45" s="4" t="s">
        <v>17</v>
      </c>
      <c r="H45" s="4" t="s">
        <v>31</v>
      </c>
      <c r="I45" s="4" t="s">
        <v>19</v>
      </c>
      <c r="J45" s="4" t="s">
        <v>20</v>
      </c>
      <c r="K45" s="4" t="s">
        <v>17</v>
      </c>
      <c r="L45" s="4" t="s">
        <v>177</v>
      </c>
      <c r="M45" s="4" t="s">
        <v>38</v>
      </c>
      <c r="N45" s="4" t="s">
        <v>159</v>
      </c>
      <c r="O45" s="4" t="s">
        <v>178</v>
      </c>
      <c r="P45" s="4" t="s">
        <v>179</v>
      </c>
    </row>
    <row r="46" spans="1:16" ht="15.6" x14ac:dyDescent="0.3">
      <c r="A46" s="2">
        <v>1473467</v>
      </c>
      <c r="B46" s="2" t="s">
        <v>40</v>
      </c>
      <c r="C46" s="2" t="s">
        <v>51</v>
      </c>
      <c r="D46" s="2" t="str">
        <f t="shared" si="0"/>
        <v>IPL-2025</v>
      </c>
      <c r="E46" s="2">
        <f>YEAR('IPL Info'!$F46)</f>
        <v>2025</v>
      </c>
      <c r="F46" s="3">
        <v>45761</v>
      </c>
      <c r="G46" s="2" t="s">
        <v>51</v>
      </c>
      <c r="H46" s="2" t="s">
        <v>18</v>
      </c>
      <c r="I46" s="2" t="s">
        <v>19</v>
      </c>
      <c r="J46" s="2" t="s">
        <v>20</v>
      </c>
      <c r="K46" s="2" t="s">
        <v>51</v>
      </c>
      <c r="L46" s="2" t="s">
        <v>180</v>
      </c>
      <c r="M46" s="2" t="s">
        <v>42</v>
      </c>
      <c r="N46" s="2" t="s">
        <v>43</v>
      </c>
      <c r="O46" s="2" t="s">
        <v>181</v>
      </c>
      <c r="P46" s="2" t="s">
        <v>182</v>
      </c>
    </row>
    <row r="47" spans="1:16" ht="15.6" x14ac:dyDescent="0.3">
      <c r="A47" s="4">
        <v>1473466</v>
      </c>
      <c r="B47" s="4" t="s">
        <v>26</v>
      </c>
      <c r="C47" s="4" t="s">
        <v>62</v>
      </c>
      <c r="D47" s="4" t="str">
        <f t="shared" si="0"/>
        <v>IPL-2025</v>
      </c>
      <c r="E47" s="4">
        <f>YEAR('IPL Info'!$F47)</f>
        <v>2025</v>
      </c>
      <c r="F47" s="5">
        <v>45760</v>
      </c>
      <c r="G47" s="4" t="s">
        <v>62</v>
      </c>
      <c r="H47" s="4" t="s">
        <v>18</v>
      </c>
      <c r="I47" s="4" t="s">
        <v>19</v>
      </c>
      <c r="J47" s="4" t="s">
        <v>20</v>
      </c>
      <c r="K47" s="4" t="s">
        <v>26</v>
      </c>
      <c r="L47" s="4" t="s">
        <v>183</v>
      </c>
      <c r="M47" s="4" t="s">
        <v>58</v>
      </c>
      <c r="N47" s="4" t="s">
        <v>59</v>
      </c>
      <c r="O47" s="4" t="s">
        <v>184</v>
      </c>
      <c r="P47" s="4" t="s">
        <v>185</v>
      </c>
    </row>
    <row r="48" spans="1:16" ht="15.6" x14ac:dyDescent="0.3">
      <c r="A48" s="2">
        <v>1473465</v>
      </c>
      <c r="B48" s="2" t="s">
        <v>77</v>
      </c>
      <c r="C48" s="2" t="s">
        <v>16</v>
      </c>
      <c r="D48" s="2" t="str">
        <f t="shared" si="0"/>
        <v>IPL-2025</v>
      </c>
      <c r="E48" s="2">
        <f>YEAR('IPL Info'!$F48)</f>
        <v>2025</v>
      </c>
      <c r="F48" s="3">
        <v>45760</v>
      </c>
      <c r="G48" s="2" t="s">
        <v>16</v>
      </c>
      <c r="H48" s="2" t="s">
        <v>18</v>
      </c>
      <c r="I48" s="2" t="s">
        <v>19</v>
      </c>
      <c r="J48" s="2" t="s">
        <v>20</v>
      </c>
      <c r="K48" s="2" t="s">
        <v>16</v>
      </c>
      <c r="L48" s="2" t="s">
        <v>186</v>
      </c>
      <c r="M48" s="2" t="s">
        <v>47</v>
      </c>
      <c r="N48" s="2" t="s">
        <v>48</v>
      </c>
      <c r="O48" s="2" t="s">
        <v>187</v>
      </c>
      <c r="P48" s="2" t="s">
        <v>188</v>
      </c>
    </row>
    <row r="49" spans="1:16" ht="15.6" x14ac:dyDescent="0.3">
      <c r="A49" s="4">
        <v>1473463</v>
      </c>
      <c r="B49" s="4" t="s">
        <v>30</v>
      </c>
      <c r="C49" s="4" t="s">
        <v>40</v>
      </c>
      <c r="D49" s="4" t="str">
        <f t="shared" si="0"/>
        <v>IPL-2025</v>
      </c>
      <c r="E49" s="4">
        <f>YEAR('IPL Info'!$F49)</f>
        <v>2025</v>
      </c>
      <c r="F49" s="5">
        <v>45759</v>
      </c>
      <c r="G49" s="4" t="s">
        <v>40</v>
      </c>
      <c r="H49" s="4" t="s">
        <v>18</v>
      </c>
      <c r="I49" s="4" t="s">
        <v>19</v>
      </c>
      <c r="J49" s="4" t="s">
        <v>20</v>
      </c>
      <c r="K49" s="4" t="s">
        <v>40</v>
      </c>
      <c r="L49" s="4" t="s">
        <v>189</v>
      </c>
      <c r="M49" s="4" t="s">
        <v>42</v>
      </c>
      <c r="N49" s="4" t="s">
        <v>43</v>
      </c>
      <c r="O49" s="4" t="s">
        <v>190</v>
      </c>
      <c r="P49" s="4" t="s">
        <v>191</v>
      </c>
    </row>
    <row r="50" spans="1:16" ht="15.6" x14ac:dyDescent="0.3">
      <c r="A50" s="2">
        <v>1473464</v>
      </c>
      <c r="B50" s="2" t="s">
        <v>17</v>
      </c>
      <c r="C50" s="2" t="s">
        <v>55</v>
      </c>
      <c r="D50" s="2" t="str">
        <f t="shared" si="0"/>
        <v>IPL-2025</v>
      </c>
      <c r="E50" s="2">
        <f>YEAR('IPL Info'!$F50)</f>
        <v>2025</v>
      </c>
      <c r="F50" s="3">
        <v>45759</v>
      </c>
      <c r="G50" s="2" t="s">
        <v>17</v>
      </c>
      <c r="H50" s="2" t="s">
        <v>31</v>
      </c>
      <c r="I50" s="2" t="s">
        <v>19</v>
      </c>
      <c r="J50" s="2" t="s">
        <v>20</v>
      </c>
      <c r="K50" s="2" t="s">
        <v>55</v>
      </c>
      <c r="L50" s="2" t="s">
        <v>81</v>
      </c>
      <c r="M50" s="2" t="s">
        <v>104</v>
      </c>
      <c r="N50" s="2" t="s">
        <v>105</v>
      </c>
      <c r="O50" s="2" t="s">
        <v>192</v>
      </c>
      <c r="P50" s="2" t="s">
        <v>193</v>
      </c>
    </row>
    <row r="51" spans="1:16" ht="15.6" x14ac:dyDescent="0.3">
      <c r="A51" s="4">
        <v>1473462</v>
      </c>
      <c r="B51" s="4" t="s">
        <v>51</v>
      </c>
      <c r="C51" s="4" t="s">
        <v>56</v>
      </c>
      <c r="D51" s="4" t="str">
        <f t="shared" si="0"/>
        <v>IPL-2025</v>
      </c>
      <c r="E51" s="4">
        <f>YEAR('IPL Info'!$F51)</f>
        <v>2025</v>
      </c>
      <c r="F51" s="5">
        <v>45758</v>
      </c>
      <c r="G51" s="4" t="s">
        <v>56</v>
      </c>
      <c r="H51" s="4" t="s">
        <v>18</v>
      </c>
      <c r="I51" s="4" t="s">
        <v>19</v>
      </c>
      <c r="J51" s="4" t="s">
        <v>20</v>
      </c>
      <c r="K51" s="4" t="s">
        <v>56</v>
      </c>
      <c r="L51" s="4" t="s">
        <v>129</v>
      </c>
      <c r="M51" s="4" t="s">
        <v>125</v>
      </c>
      <c r="N51" s="4" t="s">
        <v>126</v>
      </c>
      <c r="O51" s="4" t="s">
        <v>194</v>
      </c>
      <c r="P51" s="4" t="s">
        <v>195</v>
      </c>
    </row>
    <row r="52" spans="1:16" ht="15.6" x14ac:dyDescent="0.3">
      <c r="A52" s="2">
        <v>1473461</v>
      </c>
      <c r="B52" s="2" t="s">
        <v>16</v>
      </c>
      <c r="C52" s="2" t="s">
        <v>62</v>
      </c>
      <c r="D52" s="2" t="str">
        <f t="shared" si="0"/>
        <v>IPL-2025</v>
      </c>
      <c r="E52" s="2">
        <f>YEAR('IPL Info'!$F52)</f>
        <v>2025</v>
      </c>
      <c r="F52" s="3">
        <v>45757</v>
      </c>
      <c r="G52" s="2" t="s">
        <v>62</v>
      </c>
      <c r="H52" s="2" t="s">
        <v>18</v>
      </c>
      <c r="I52" s="2" t="s">
        <v>19</v>
      </c>
      <c r="J52" s="2" t="s">
        <v>20</v>
      </c>
      <c r="K52" s="2" t="s">
        <v>62</v>
      </c>
      <c r="L52" s="2" t="s">
        <v>196</v>
      </c>
      <c r="M52" s="2" t="s">
        <v>115</v>
      </c>
      <c r="N52" s="2" t="s">
        <v>116</v>
      </c>
      <c r="O52" s="2" t="s">
        <v>197</v>
      </c>
      <c r="P52" s="2" t="s">
        <v>198</v>
      </c>
    </row>
    <row r="53" spans="1:16" ht="15.6" x14ac:dyDescent="0.3">
      <c r="A53" s="4">
        <v>1473460</v>
      </c>
      <c r="B53" s="4" t="s">
        <v>30</v>
      </c>
      <c r="C53" s="4" t="s">
        <v>77</v>
      </c>
      <c r="D53" s="4" t="str">
        <f t="shared" si="0"/>
        <v>IPL-2025</v>
      </c>
      <c r="E53" s="4">
        <f>YEAR('IPL Info'!$F53)</f>
        <v>2025</v>
      </c>
      <c r="F53" s="5">
        <v>45756</v>
      </c>
      <c r="G53" s="4" t="s">
        <v>77</v>
      </c>
      <c r="H53" s="4" t="s">
        <v>18</v>
      </c>
      <c r="I53" s="4" t="s">
        <v>19</v>
      </c>
      <c r="J53" s="4" t="s">
        <v>20</v>
      </c>
      <c r="K53" s="4" t="s">
        <v>30</v>
      </c>
      <c r="L53" s="4" t="s">
        <v>84</v>
      </c>
      <c r="M53" s="4" t="s">
        <v>22</v>
      </c>
      <c r="N53" s="4" t="s">
        <v>23</v>
      </c>
      <c r="O53" s="4" t="s">
        <v>199</v>
      </c>
      <c r="P53" s="4" t="s">
        <v>200</v>
      </c>
    </row>
    <row r="54" spans="1:16" ht="15.6" x14ac:dyDescent="0.3">
      <c r="A54" s="2">
        <v>1473456</v>
      </c>
      <c r="B54" s="2" t="s">
        <v>40</v>
      </c>
      <c r="C54" s="2" t="s">
        <v>56</v>
      </c>
      <c r="D54" s="2" t="str">
        <f t="shared" si="0"/>
        <v>IPL-2025</v>
      </c>
      <c r="E54" s="2">
        <f>YEAR('IPL Info'!$F54)</f>
        <v>2025</v>
      </c>
      <c r="F54" s="3">
        <v>45755</v>
      </c>
      <c r="G54" s="2" t="s">
        <v>56</v>
      </c>
      <c r="H54" s="2" t="s">
        <v>18</v>
      </c>
      <c r="I54" s="2" t="s">
        <v>19</v>
      </c>
      <c r="J54" s="2" t="s">
        <v>20</v>
      </c>
      <c r="K54" s="2" t="s">
        <v>40</v>
      </c>
      <c r="L54" s="2" t="s">
        <v>201</v>
      </c>
      <c r="M54" s="2" t="s">
        <v>97</v>
      </c>
      <c r="N54" s="2" t="s">
        <v>98</v>
      </c>
      <c r="O54" s="2" t="s">
        <v>202</v>
      </c>
      <c r="P54" s="2" t="s">
        <v>203</v>
      </c>
    </row>
    <row r="55" spans="1:16" ht="15.6" x14ac:dyDescent="0.3">
      <c r="A55" s="4">
        <v>1473459</v>
      </c>
      <c r="B55" s="4" t="s">
        <v>17</v>
      </c>
      <c r="C55" s="4" t="s">
        <v>51</v>
      </c>
      <c r="D55" s="4" t="str">
        <f t="shared" si="0"/>
        <v>IPL-2025</v>
      </c>
      <c r="E55" s="4">
        <f>YEAR('IPL Info'!$F55)</f>
        <v>2025</v>
      </c>
      <c r="F55" s="5">
        <v>45755</v>
      </c>
      <c r="G55" s="4" t="s">
        <v>17</v>
      </c>
      <c r="H55" s="4" t="s">
        <v>31</v>
      </c>
      <c r="I55" s="4" t="s">
        <v>19</v>
      </c>
      <c r="J55" s="4" t="s">
        <v>20</v>
      </c>
      <c r="K55" s="4" t="s">
        <v>17</v>
      </c>
      <c r="L55" s="4" t="s">
        <v>204</v>
      </c>
      <c r="M55" s="4" t="s">
        <v>38</v>
      </c>
      <c r="N55" s="4" t="s">
        <v>159</v>
      </c>
      <c r="O55" s="4" t="s">
        <v>205</v>
      </c>
      <c r="P55" s="4" t="s">
        <v>206</v>
      </c>
    </row>
    <row r="56" spans="1:16" ht="15.6" x14ac:dyDescent="0.3">
      <c r="A56" s="2">
        <v>1473458</v>
      </c>
      <c r="B56" s="2" t="s">
        <v>16</v>
      </c>
      <c r="C56" s="2" t="s">
        <v>26</v>
      </c>
      <c r="D56" s="2" t="str">
        <f t="shared" si="0"/>
        <v>IPL-2025</v>
      </c>
      <c r="E56" s="2">
        <f>YEAR('IPL Info'!$F56)</f>
        <v>2025</v>
      </c>
      <c r="F56" s="3">
        <v>45754</v>
      </c>
      <c r="G56" s="2" t="s">
        <v>26</v>
      </c>
      <c r="H56" s="2" t="s">
        <v>18</v>
      </c>
      <c r="I56" s="2" t="s">
        <v>19</v>
      </c>
      <c r="J56" s="2" t="s">
        <v>20</v>
      </c>
      <c r="K56" s="2" t="s">
        <v>16</v>
      </c>
      <c r="L56" s="2" t="s">
        <v>207</v>
      </c>
      <c r="M56" s="2" t="s">
        <v>73</v>
      </c>
      <c r="N56" s="2" t="s">
        <v>74</v>
      </c>
      <c r="O56" s="2" t="s">
        <v>208</v>
      </c>
      <c r="P56" s="2" t="s">
        <v>209</v>
      </c>
    </row>
    <row r="57" spans="1:16" ht="15.6" x14ac:dyDescent="0.3">
      <c r="A57" s="4">
        <v>1473457</v>
      </c>
      <c r="B57" s="4" t="s">
        <v>55</v>
      </c>
      <c r="C57" s="4" t="s">
        <v>30</v>
      </c>
      <c r="D57" s="4" t="str">
        <f t="shared" si="0"/>
        <v>IPL-2025</v>
      </c>
      <c r="E57" s="4">
        <f>YEAR('IPL Info'!$F57)</f>
        <v>2025</v>
      </c>
      <c r="F57" s="5">
        <v>45753</v>
      </c>
      <c r="G57" s="4" t="s">
        <v>30</v>
      </c>
      <c r="H57" s="4" t="s">
        <v>18</v>
      </c>
      <c r="I57" s="4" t="s">
        <v>19</v>
      </c>
      <c r="J57" s="4" t="s">
        <v>20</v>
      </c>
      <c r="K57" s="4" t="s">
        <v>30</v>
      </c>
      <c r="L57" s="4" t="s">
        <v>210</v>
      </c>
      <c r="M57" s="4" t="s">
        <v>104</v>
      </c>
      <c r="N57" s="4" t="s">
        <v>105</v>
      </c>
      <c r="O57" s="4" t="s">
        <v>211</v>
      </c>
      <c r="P57" s="4" t="s">
        <v>212</v>
      </c>
    </row>
    <row r="58" spans="1:16" ht="15.6" x14ac:dyDescent="0.3">
      <c r="A58" s="2">
        <v>1473454</v>
      </c>
      <c r="B58" s="2" t="s">
        <v>62</v>
      </c>
      <c r="C58" s="2" t="s">
        <v>51</v>
      </c>
      <c r="D58" s="2" t="str">
        <f t="shared" si="0"/>
        <v>IPL-2025</v>
      </c>
      <c r="E58" s="2">
        <f>YEAR('IPL Info'!$F58)</f>
        <v>2025</v>
      </c>
      <c r="F58" s="3">
        <v>45752</v>
      </c>
      <c r="G58" s="2" t="s">
        <v>62</v>
      </c>
      <c r="H58" s="2" t="s">
        <v>31</v>
      </c>
      <c r="I58" s="2" t="s">
        <v>19</v>
      </c>
      <c r="J58" s="2" t="s">
        <v>20</v>
      </c>
      <c r="K58" s="2" t="s">
        <v>62</v>
      </c>
      <c r="L58" s="2" t="s">
        <v>196</v>
      </c>
      <c r="M58" s="2" t="s">
        <v>125</v>
      </c>
      <c r="N58" s="2" t="s">
        <v>126</v>
      </c>
      <c r="O58" s="2" t="s">
        <v>213</v>
      </c>
      <c r="P58" s="2" t="s">
        <v>214</v>
      </c>
    </row>
    <row r="59" spans="1:16" ht="15.6" x14ac:dyDescent="0.3">
      <c r="A59" s="4">
        <v>1473455</v>
      </c>
      <c r="B59" s="4" t="s">
        <v>77</v>
      </c>
      <c r="C59" s="4" t="s">
        <v>17</v>
      </c>
      <c r="D59" s="4" t="str">
        <f t="shared" si="0"/>
        <v>IPL-2025</v>
      </c>
      <c r="E59" s="4">
        <f>YEAR('IPL Info'!$F59)</f>
        <v>2025</v>
      </c>
      <c r="F59" s="5">
        <v>45752</v>
      </c>
      <c r="G59" s="4" t="s">
        <v>17</v>
      </c>
      <c r="H59" s="4" t="s">
        <v>18</v>
      </c>
      <c r="I59" s="4" t="s">
        <v>19</v>
      </c>
      <c r="J59" s="4" t="s">
        <v>20</v>
      </c>
      <c r="K59" s="4" t="s">
        <v>77</v>
      </c>
      <c r="L59" s="4" t="s">
        <v>215</v>
      </c>
      <c r="M59" s="4" t="s">
        <v>38</v>
      </c>
      <c r="N59" s="4" t="s">
        <v>159</v>
      </c>
      <c r="O59" s="4" t="s">
        <v>216</v>
      </c>
      <c r="P59" s="4" t="s">
        <v>217</v>
      </c>
    </row>
    <row r="60" spans="1:16" ht="15.6" x14ac:dyDescent="0.3">
      <c r="A60" s="2">
        <v>1473453</v>
      </c>
      <c r="B60" s="2" t="s">
        <v>40</v>
      </c>
      <c r="C60" s="2" t="s">
        <v>26</v>
      </c>
      <c r="D60" s="2" t="str">
        <f t="shared" si="0"/>
        <v>IPL-2025</v>
      </c>
      <c r="E60" s="2">
        <f>YEAR('IPL Info'!$F60)</f>
        <v>2025</v>
      </c>
      <c r="F60" s="3">
        <v>45751</v>
      </c>
      <c r="G60" s="2" t="s">
        <v>26</v>
      </c>
      <c r="H60" s="2" t="s">
        <v>18</v>
      </c>
      <c r="I60" s="2" t="s">
        <v>19</v>
      </c>
      <c r="J60" s="2" t="s">
        <v>20</v>
      </c>
      <c r="K60" s="2" t="s">
        <v>40</v>
      </c>
      <c r="L60" s="2" t="s">
        <v>218</v>
      </c>
      <c r="M60" s="2" t="s">
        <v>42</v>
      </c>
      <c r="N60" s="2" t="s">
        <v>43</v>
      </c>
      <c r="O60" s="2" t="s">
        <v>219</v>
      </c>
      <c r="P60" s="2" t="s">
        <v>220</v>
      </c>
    </row>
    <row r="61" spans="1:16" ht="15.6" x14ac:dyDescent="0.3">
      <c r="A61" s="4">
        <v>1473452</v>
      </c>
      <c r="B61" s="4" t="s">
        <v>56</v>
      </c>
      <c r="C61" s="4" t="s">
        <v>55</v>
      </c>
      <c r="D61" s="4" t="str">
        <f t="shared" si="0"/>
        <v>IPL-2025</v>
      </c>
      <c r="E61" s="4">
        <f>YEAR('IPL Info'!$F61)</f>
        <v>2025</v>
      </c>
      <c r="F61" s="5">
        <v>45750</v>
      </c>
      <c r="G61" s="4" t="s">
        <v>55</v>
      </c>
      <c r="H61" s="4" t="s">
        <v>18</v>
      </c>
      <c r="I61" s="4" t="s">
        <v>19</v>
      </c>
      <c r="J61" s="4" t="s">
        <v>20</v>
      </c>
      <c r="K61" s="4" t="s">
        <v>56</v>
      </c>
      <c r="L61" s="4" t="s">
        <v>221</v>
      </c>
      <c r="M61" s="4" t="s">
        <v>97</v>
      </c>
      <c r="N61" s="4" t="s">
        <v>98</v>
      </c>
      <c r="O61" s="4" t="s">
        <v>222</v>
      </c>
      <c r="P61" s="4" t="s">
        <v>223</v>
      </c>
    </row>
    <row r="62" spans="1:16" ht="15.6" x14ac:dyDescent="0.3">
      <c r="A62" s="2">
        <v>1473451</v>
      </c>
      <c r="B62" s="2" t="s">
        <v>16</v>
      </c>
      <c r="C62" s="2" t="s">
        <v>30</v>
      </c>
      <c r="D62" s="2" t="str">
        <f t="shared" si="0"/>
        <v>IPL-2025</v>
      </c>
      <c r="E62" s="2">
        <f>YEAR('IPL Info'!$F62)</f>
        <v>2025</v>
      </c>
      <c r="F62" s="3">
        <v>45749</v>
      </c>
      <c r="G62" s="2" t="s">
        <v>30</v>
      </c>
      <c r="H62" s="2" t="s">
        <v>18</v>
      </c>
      <c r="I62" s="2" t="s">
        <v>19</v>
      </c>
      <c r="J62" s="2" t="s">
        <v>20</v>
      </c>
      <c r="K62" s="2" t="s">
        <v>30</v>
      </c>
      <c r="L62" s="2" t="s">
        <v>210</v>
      </c>
      <c r="M62" s="2" t="s">
        <v>115</v>
      </c>
      <c r="N62" s="2" t="s">
        <v>116</v>
      </c>
      <c r="O62" s="2" t="s">
        <v>224</v>
      </c>
      <c r="P62" s="2" t="s">
        <v>225</v>
      </c>
    </row>
    <row r="63" spans="1:16" ht="15.6" x14ac:dyDescent="0.3">
      <c r="A63" s="4">
        <v>1473450</v>
      </c>
      <c r="B63" s="4" t="s">
        <v>40</v>
      </c>
      <c r="C63" s="4" t="s">
        <v>17</v>
      </c>
      <c r="D63" s="4" t="str">
        <f t="shared" si="0"/>
        <v>IPL-2025</v>
      </c>
      <c r="E63" s="4">
        <f>YEAR('IPL Info'!$F63)</f>
        <v>2025</v>
      </c>
      <c r="F63" s="5">
        <v>45748</v>
      </c>
      <c r="G63" s="4" t="s">
        <v>17</v>
      </c>
      <c r="H63" s="4" t="s">
        <v>18</v>
      </c>
      <c r="I63" s="4" t="s">
        <v>19</v>
      </c>
      <c r="J63" s="4" t="s">
        <v>20</v>
      </c>
      <c r="K63" s="4" t="s">
        <v>17</v>
      </c>
      <c r="L63" s="4" t="s">
        <v>108</v>
      </c>
      <c r="M63" s="4" t="s">
        <v>42</v>
      </c>
      <c r="N63" s="4" t="s">
        <v>43</v>
      </c>
      <c r="O63" s="4" t="s">
        <v>226</v>
      </c>
      <c r="P63" s="4" t="s">
        <v>227</v>
      </c>
    </row>
    <row r="64" spans="1:16" ht="15.6" x14ac:dyDescent="0.3">
      <c r="A64" s="2">
        <v>1473449</v>
      </c>
      <c r="B64" s="2" t="s">
        <v>56</v>
      </c>
      <c r="C64" s="2" t="s">
        <v>26</v>
      </c>
      <c r="D64" s="2" t="str">
        <f t="shared" si="0"/>
        <v>IPL-2025</v>
      </c>
      <c r="E64" s="2">
        <f>YEAR('IPL Info'!$F64)</f>
        <v>2025</v>
      </c>
      <c r="F64" s="3">
        <v>45747</v>
      </c>
      <c r="G64" s="2" t="s">
        <v>26</v>
      </c>
      <c r="H64" s="2" t="s">
        <v>18</v>
      </c>
      <c r="I64" s="2" t="s">
        <v>19</v>
      </c>
      <c r="J64" s="2" t="s">
        <v>20</v>
      </c>
      <c r="K64" s="2" t="s">
        <v>26</v>
      </c>
      <c r="L64" s="2" t="s">
        <v>228</v>
      </c>
      <c r="M64" s="2" t="s">
        <v>73</v>
      </c>
      <c r="N64" s="2" t="s">
        <v>74</v>
      </c>
      <c r="O64" s="2" t="s">
        <v>229</v>
      </c>
      <c r="P64" s="2" t="s">
        <v>230</v>
      </c>
    </row>
    <row r="65" spans="1:16" ht="15.6" x14ac:dyDescent="0.3">
      <c r="A65" s="4">
        <v>1473447</v>
      </c>
      <c r="B65" s="4" t="s">
        <v>55</v>
      </c>
      <c r="C65" s="4" t="s">
        <v>62</v>
      </c>
      <c r="D65" s="4" t="str">
        <f t="shared" si="0"/>
        <v>IPL-2025</v>
      </c>
      <c r="E65" s="4">
        <f>YEAR('IPL Info'!$F65)</f>
        <v>2025</v>
      </c>
      <c r="F65" s="5">
        <v>45746</v>
      </c>
      <c r="G65" s="4" t="s">
        <v>55</v>
      </c>
      <c r="H65" s="4" t="s">
        <v>31</v>
      </c>
      <c r="I65" s="4" t="s">
        <v>19</v>
      </c>
      <c r="J65" s="4" t="s">
        <v>20</v>
      </c>
      <c r="K65" s="4" t="s">
        <v>62</v>
      </c>
      <c r="L65" s="4" t="s">
        <v>174</v>
      </c>
      <c r="M65" s="4" t="s">
        <v>231</v>
      </c>
      <c r="N65" s="4" t="s">
        <v>232</v>
      </c>
      <c r="O65" s="4" t="s">
        <v>233</v>
      </c>
      <c r="P65" s="4" t="s">
        <v>234</v>
      </c>
    </row>
    <row r="66" spans="1:16" ht="15.6" x14ac:dyDescent="0.3">
      <c r="A66" s="2">
        <v>1473448</v>
      </c>
      <c r="B66" s="2" t="s">
        <v>77</v>
      </c>
      <c r="C66" s="2" t="s">
        <v>51</v>
      </c>
      <c r="D66" s="2" t="str">
        <f t="shared" si="0"/>
        <v>IPL-2025</v>
      </c>
      <c r="E66" s="2">
        <f>YEAR('IPL Info'!$F66)</f>
        <v>2025</v>
      </c>
      <c r="F66" s="3">
        <v>45746</v>
      </c>
      <c r="G66" s="2" t="s">
        <v>51</v>
      </c>
      <c r="H66" s="2" t="s">
        <v>18</v>
      </c>
      <c r="I66" s="2" t="s">
        <v>19</v>
      </c>
      <c r="J66" s="2" t="s">
        <v>20</v>
      </c>
      <c r="K66" s="2" t="s">
        <v>77</v>
      </c>
      <c r="L66" s="2" t="s">
        <v>235</v>
      </c>
      <c r="M66" s="2" t="s">
        <v>236</v>
      </c>
      <c r="N66" s="2" t="s">
        <v>237</v>
      </c>
      <c r="O66" s="2" t="s">
        <v>238</v>
      </c>
      <c r="P66" s="2" t="s">
        <v>239</v>
      </c>
    </row>
    <row r="67" spans="1:16" ht="15.6" x14ac:dyDescent="0.3">
      <c r="A67" s="4">
        <v>1473446</v>
      </c>
      <c r="B67" s="4" t="s">
        <v>30</v>
      </c>
      <c r="C67" s="4" t="s">
        <v>26</v>
      </c>
      <c r="D67" s="4" t="str">
        <f t="shared" ref="D67:D130" si="1">_xlfn.SINGLE(_xlfn.CONCAT("IPL-",E67))</f>
        <v>IPL-2025</v>
      </c>
      <c r="E67" s="4">
        <f>YEAR('IPL Info'!$F67)</f>
        <v>2025</v>
      </c>
      <c r="F67" s="5">
        <v>45745</v>
      </c>
      <c r="G67" s="4" t="s">
        <v>26</v>
      </c>
      <c r="H67" s="4" t="s">
        <v>18</v>
      </c>
      <c r="I67" s="4" t="s">
        <v>19</v>
      </c>
      <c r="J67" s="4" t="s">
        <v>20</v>
      </c>
      <c r="K67" s="4" t="s">
        <v>30</v>
      </c>
      <c r="L67" s="4" t="s">
        <v>119</v>
      </c>
      <c r="M67" s="4" t="s">
        <v>22</v>
      </c>
      <c r="N67" s="4" t="s">
        <v>23</v>
      </c>
      <c r="O67" s="4" t="s">
        <v>240</v>
      </c>
      <c r="P67" s="4" t="s">
        <v>241</v>
      </c>
    </row>
    <row r="68" spans="1:16" ht="15.6" x14ac:dyDescent="0.3">
      <c r="A68" s="2">
        <v>1473445</v>
      </c>
      <c r="B68" s="2" t="s">
        <v>16</v>
      </c>
      <c r="C68" s="2" t="s">
        <v>51</v>
      </c>
      <c r="D68" s="2" t="str">
        <f t="shared" si="1"/>
        <v>IPL-2025</v>
      </c>
      <c r="E68" s="2">
        <f>YEAR('IPL Info'!$F68)</f>
        <v>2025</v>
      </c>
      <c r="F68" s="3">
        <v>45744</v>
      </c>
      <c r="G68" s="2" t="s">
        <v>51</v>
      </c>
      <c r="H68" s="2" t="s">
        <v>18</v>
      </c>
      <c r="I68" s="2" t="s">
        <v>19</v>
      </c>
      <c r="J68" s="2" t="s">
        <v>20</v>
      </c>
      <c r="K68" s="2" t="s">
        <v>16</v>
      </c>
      <c r="L68" s="2" t="s">
        <v>207</v>
      </c>
      <c r="M68" s="2" t="s">
        <v>125</v>
      </c>
      <c r="N68" s="2" t="s">
        <v>126</v>
      </c>
      <c r="O68" s="2" t="s">
        <v>188</v>
      </c>
      <c r="P68" s="2" t="s">
        <v>242</v>
      </c>
    </row>
    <row r="69" spans="1:16" ht="15.6" x14ac:dyDescent="0.3">
      <c r="A69" s="4">
        <v>1473444</v>
      </c>
      <c r="B69" s="4" t="s">
        <v>55</v>
      </c>
      <c r="C69" s="4" t="s">
        <v>40</v>
      </c>
      <c r="D69" s="4" t="str">
        <f t="shared" si="1"/>
        <v>IPL-2025</v>
      </c>
      <c r="E69" s="4">
        <f>YEAR('IPL Info'!$F69)</f>
        <v>2025</v>
      </c>
      <c r="F69" s="5">
        <v>45743</v>
      </c>
      <c r="G69" s="4" t="s">
        <v>40</v>
      </c>
      <c r="H69" s="4" t="s">
        <v>18</v>
      </c>
      <c r="I69" s="4" t="s">
        <v>19</v>
      </c>
      <c r="J69" s="4" t="s">
        <v>20</v>
      </c>
      <c r="K69" s="4" t="s">
        <v>40</v>
      </c>
      <c r="L69" s="4" t="s">
        <v>243</v>
      </c>
      <c r="M69" s="4" t="s">
        <v>104</v>
      </c>
      <c r="N69" s="4" t="s">
        <v>105</v>
      </c>
      <c r="O69" s="4" t="s">
        <v>244</v>
      </c>
      <c r="P69" s="4" t="s">
        <v>245</v>
      </c>
    </row>
    <row r="70" spans="1:16" ht="15.6" x14ac:dyDescent="0.3">
      <c r="A70" s="2">
        <v>1473443</v>
      </c>
      <c r="B70" s="2" t="s">
        <v>77</v>
      </c>
      <c r="C70" s="2" t="s">
        <v>56</v>
      </c>
      <c r="D70" s="2" t="str">
        <f t="shared" si="1"/>
        <v>IPL-2025</v>
      </c>
      <c r="E70" s="2">
        <f>YEAR('IPL Info'!$F70)</f>
        <v>2025</v>
      </c>
      <c r="F70" s="3">
        <v>45742</v>
      </c>
      <c r="G70" s="2" t="s">
        <v>56</v>
      </c>
      <c r="H70" s="2" t="s">
        <v>18</v>
      </c>
      <c r="I70" s="2" t="s">
        <v>19</v>
      </c>
      <c r="J70" s="2" t="s">
        <v>20</v>
      </c>
      <c r="K70" s="2" t="s">
        <v>56</v>
      </c>
      <c r="L70" s="2" t="s">
        <v>246</v>
      </c>
      <c r="M70" s="2" t="s">
        <v>236</v>
      </c>
      <c r="N70" s="2" t="s">
        <v>237</v>
      </c>
      <c r="O70" s="2" t="s">
        <v>247</v>
      </c>
      <c r="P70" s="2" t="s">
        <v>248</v>
      </c>
    </row>
    <row r="71" spans="1:16" ht="15.6" x14ac:dyDescent="0.3">
      <c r="A71" s="4">
        <v>1473442</v>
      </c>
      <c r="B71" s="4" t="s">
        <v>17</v>
      </c>
      <c r="C71" s="4" t="s">
        <v>30</v>
      </c>
      <c r="D71" s="4" t="str">
        <f t="shared" si="1"/>
        <v>IPL-2025</v>
      </c>
      <c r="E71" s="4">
        <f>YEAR('IPL Info'!$F71)</f>
        <v>2025</v>
      </c>
      <c r="F71" s="5">
        <v>45741</v>
      </c>
      <c r="G71" s="4" t="s">
        <v>30</v>
      </c>
      <c r="H71" s="4" t="s">
        <v>18</v>
      </c>
      <c r="I71" s="4" t="s">
        <v>19</v>
      </c>
      <c r="J71" s="4" t="s">
        <v>20</v>
      </c>
      <c r="K71" s="4" t="s">
        <v>17</v>
      </c>
      <c r="L71" s="4" t="s">
        <v>27</v>
      </c>
      <c r="M71" s="4" t="s">
        <v>22</v>
      </c>
      <c r="N71" s="4" t="s">
        <v>23</v>
      </c>
      <c r="O71" s="4" t="s">
        <v>249</v>
      </c>
      <c r="P71" s="4" t="s">
        <v>250</v>
      </c>
    </row>
    <row r="72" spans="1:16" ht="15.6" x14ac:dyDescent="0.3">
      <c r="A72" s="2">
        <v>1473441</v>
      </c>
      <c r="B72" s="2" t="s">
        <v>40</v>
      </c>
      <c r="C72" s="2" t="s">
        <v>62</v>
      </c>
      <c r="D72" s="2" t="str">
        <f t="shared" si="1"/>
        <v>IPL-2025</v>
      </c>
      <c r="E72" s="2">
        <f>YEAR('IPL Info'!$F72)</f>
        <v>2025</v>
      </c>
      <c r="F72" s="3">
        <v>45740</v>
      </c>
      <c r="G72" s="2" t="s">
        <v>62</v>
      </c>
      <c r="H72" s="2" t="s">
        <v>18</v>
      </c>
      <c r="I72" s="2" t="s">
        <v>19</v>
      </c>
      <c r="J72" s="2" t="s">
        <v>20</v>
      </c>
      <c r="K72" s="2" t="s">
        <v>62</v>
      </c>
      <c r="L72" s="2" t="s">
        <v>251</v>
      </c>
      <c r="M72" s="2" t="s">
        <v>231</v>
      </c>
      <c r="N72" s="2" t="s">
        <v>232</v>
      </c>
      <c r="O72" s="2" t="s">
        <v>252</v>
      </c>
      <c r="P72" s="2" t="s">
        <v>253</v>
      </c>
    </row>
    <row r="73" spans="1:16" ht="15.6" x14ac:dyDescent="0.3">
      <c r="A73" s="4">
        <v>1473439</v>
      </c>
      <c r="B73" s="4" t="s">
        <v>55</v>
      </c>
      <c r="C73" s="4" t="s">
        <v>77</v>
      </c>
      <c r="D73" s="4" t="str">
        <f t="shared" si="1"/>
        <v>IPL-2025</v>
      </c>
      <c r="E73" s="4">
        <f>YEAR('IPL Info'!$F73)</f>
        <v>2025</v>
      </c>
      <c r="F73" s="5">
        <v>45739</v>
      </c>
      <c r="G73" s="4" t="s">
        <v>77</v>
      </c>
      <c r="H73" s="4" t="s">
        <v>18</v>
      </c>
      <c r="I73" s="4" t="s">
        <v>19</v>
      </c>
      <c r="J73" s="4" t="s">
        <v>20</v>
      </c>
      <c r="K73" s="4" t="s">
        <v>55</v>
      </c>
      <c r="L73" s="4" t="s">
        <v>66</v>
      </c>
      <c r="M73" s="4" t="s">
        <v>104</v>
      </c>
      <c r="N73" s="4" t="s">
        <v>105</v>
      </c>
      <c r="O73" s="4" t="s">
        <v>254</v>
      </c>
      <c r="P73" s="4" t="s">
        <v>255</v>
      </c>
    </row>
    <row r="74" spans="1:16" ht="15.6" x14ac:dyDescent="0.3">
      <c r="A74" s="2">
        <v>1473440</v>
      </c>
      <c r="B74" s="2" t="s">
        <v>26</v>
      </c>
      <c r="C74" s="2" t="s">
        <v>51</v>
      </c>
      <c r="D74" s="2" t="str">
        <f t="shared" si="1"/>
        <v>IPL-2025</v>
      </c>
      <c r="E74" s="2">
        <f>YEAR('IPL Info'!$F74)</f>
        <v>2025</v>
      </c>
      <c r="F74" s="3">
        <v>45739</v>
      </c>
      <c r="G74" s="2" t="s">
        <v>51</v>
      </c>
      <c r="H74" s="2" t="s">
        <v>18</v>
      </c>
      <c r="I74" s="2" t="s">
        <v>19</v>
      </c>
      <c r="J74" s="2" t="s">
        <v>20</v>
      </c>
      <c r="K74" s="2" t="s">
        <v>51</v>
      </c>
      <c r="L74" s="2" t="s">
        <v>96</v>
      </c>
      <c r="M74" s="2" t="s">
        <v>125</v>
      </c>
      <c r="N74" s="2" t="s">
        <v>126</v>
      </c>
      <c r="O74" s="2" t="s">
        <v>256</v>
      </c>
      <c r="P74" s="2" t="s">
        <v>257</v>
      </c>
    </row>
    <row r="75" spans="1:16" ht="15.6" x14ac:dyDescent="0.3">
      <c r="A75" s="4">
        <v>1473438</v>
      </c>
      <c r="B75" s="4" t="s">
        <v>56</v>
      </c>
      <c r="C75" s="4" t="s">
        <v>16</v>
      </c>
      <c r="D75" s="4" t="str">
        <f t="shared" si="1"/>
        <v>IPL-2025</v>
      </c>
      <c r="E75" s="4">
        <f>YEAR('IPL Info'!$F75)</f>
        <v>2025</v>
      </c>
      <c r="F75" s="5">
        <v>45738</v>
      </c>
      <c r="G75" s="4" t="s">
        <v>16</v>
      </c>
      <c r="H75" s="4" t="s">
        <v>18</v>
      </c>
      <c r="I75" s="4" t="s">
        <v>19</v>
      </c>
      <c r="J75" s="4" t="s">
        <v>20</v>
      </c>
      <c r="K75" s="4" t="s">
        <v>16</v>
      </c>
      <c r="L75" s="4" t="s">
        <v>21</v>
      </c>
      <c r="M75" s="4" t="s">
        <v>97</v>
      </c>
      <c r="N75" s="4" t="s">
        <v>98</v>
      </c>
      <c r="O75" s="4" t="s">
        <v>258</v>
      </c>
      <c r="P75" s="4" t="s">
        <v>259</v>
      </c>
    </row>
    <row r="76" spans="1:16" ht="15.6" x14ac:dyDescent="0.3">
      <c r="A76" s="2">
        <v>1426312</v>
      </c>
      <c r="B76" s="2" t="s">
        <v>55</v>
      </c>
      <c r="C76" s="2" t="s">
        <v>56</v>
      </c>
      <c r="D76" s="2" t="str">
        <f t="shared" si="1"/>
        <v>IPL-2024</v>
      </c>
      <c r="E76" s="2">
        <f>YEAR('IPL Info'!$F76)</f>
        <v>2024</v>
      </c>
      <c r="F76" s="3">
        <v>45438</v>
      </c>
      <c r="G76" s="2" t="s">
        <v>55</v>
      </c>
      <c r="H76" s="2" t="s">
        <v>31</v>
      </c>
      <c r="I76" s="2" t="s">
        <v>19</v>
      </c>
      <c r="J76" s="2" t="s">
        <v>20</v>
      </c>
      <c r="K76" s="2" t="s">
        <v>56</v>
      </c>
      <c r="L76" s="2" t="s">
        <v>174</v>
      </c>
      <c r="M76" s="2" t="s">
        <v>125</v>
      </c>
      <c r="N76" s="2" t="s">
        <v>126</v>
      </c>
      <c r="O76" s="2" t="s">
        <v>260</v>
      </c>
      <c r="P76" s="2" t="s">
        <v>261</v>
      </c>
    </row>
    <row r="77" spans="1:16" ht="15.6" x14ac:dyDescent="0.3">
      <c r="A77" s="4">
        <v>1426311</v>
      </c>
      <c r="B77" s="4" t="s">
        <v>55</v>
      </c>
      <c r="C77" s="4" t="s">
        <v>77</v>
      </c>
      <c r="D77" s="4" t="str">
        <f t="shared" si="1"/>
        <v>IPL-2024</v>
      </c>
      <c r="E77" s="4">
        <f>YEAR('IPL Info'!$F77)</f>
        <v>2024</v>
      </c>
      <c r="F77" s="5">
        <v>45436</v>
      </c>
      <c r="G77" s="4" t="s">
        <v>77</v>
      </c>
      <c r="H77" s="4" t="s">
        <v>18</v>
      </c>
      <c r="I77" s="4" t="s">
        <v>19</v>
      </c>
      <c r="J77" s="4" t="s">
        <v>20</v>
      </c>
      <c r="K77" s="4" t="s">
        <v>55</v>
      </c>
      <c r="L77" s="4" t="s">
        <v>262</v>
      </c>
      <c r="M77" s="4" t="s">
        <v>125</v>
      </c>
      <c r="N77" s="4" t="s">
        <v>126</v>
      </c>
      <c r="O77" s="4" t="s">
        <v>263</v>
      </c>
      <c r="P77" s="4" t="s">
        <v>264</v>
      </c>
    </row>
    <row r="78" spans="1:16" ht="15.6" x14ac:dyDescent="0.3">
      <c r="A78" s="2">
        <v>1426310</v>
      </c>
      <c r="B78" s="2" t="s">
        <v>16</v>
      </c>
      <c r="C78" s="2" t="s">
        <v>77</v>
      </c>
      <c r="D78" s="2" t="str">
        <f t="shared" si="1"/>
        <v>IPL-2024</v>
      </c>
      <c r="E78" s="2">
        <f>YEAR('IPL Info'!$F78)</f>
        <v>2024</v>
      </c>
      <c r="F78" s="3">
        <v>45434</v>
      </c>
      <c r="G78" s="2" t="s">
        <v>77</v>
      </c>
      <c r="H78" s="2" t="s">
        <v>18</v>
      </c>
      <c r="I78" s="2" t="s">
        <v>19</v>
      </c>
      <c r="J78" s="2" t="s">
        <v>20</v>
      </c>
      <c r="K78" s="2" t="s">
        <v>77</v>
      </c>
      <c r="L78" s="2" t="s">
        <v>265</v>
      </c>
      <c r="M78" s="2" t="s">
        <v>22</v>
      </c>
      <c r="N78" s="2" t="s">
        <v>23</v>
      </c>
      <c r="O78" s="2" t="s">
        <v>266</v>
      </c>
      <c r="P78" s="2" t="s">
        <v>267</v>
      </c>
    </row>
    <row r="79" spans="1:16" ht="15.6" x14ac:dyDescent="0.3">
      <c r="A79" s="4">
        <v>1426309</v>
      </c>
      <c r="B79" s="4" t="s">
        <v>55</v>
      </c>
      <c r="C79" s="4" t="s">
        <v>56</v>
      </c>
      <c r="D79" s="4" t="str">
        <f t="shared" si="1"/>
        <v>IPL-2024</v>
      </c>
      <c r="E79" s="4">
        <f>YEAR('IPL Info'!$F79)</f>
        <v>2024</v>
      </c>
      <c r="F79" s="5">
        <v>45433</v>
      </c>
      <c r="G79" s="4" t="s">
        <v>55</v>
      </c>
      <c r="H79" s="4" t="s">
        <v>31</v>
      </c>
      <c r="I79" s="4" t="s">
        <v>19</v>
      </c>
      <c r="J79" s="4" t="s">
        <v>20</v>
      </c>
      <c r="K79" s="4" t="s">
        <v>56</v>
      </c>
      <c r="L79" s="4" t="s">
        <v>174</v>
      </c>
      <c r="M79" s="4" t="s">
        <v>22</v>
      </c>
      <c r="N79" s="4" t="s">
        <v>23</v>
      </c>
      <c r="O79" s="4" t="s">
        <v>268</v>
      </c>
      <c r="P79" s="4" t="s">
        <v>261</v>
      </c>
    </row>
    <row r="80" spans="1:16" ht="15.6" x14ac:dyDescent="0.3">
      <c r="A80" s="2">
        <v>1426307</v>
      </c>
      <c r="B80" s="2" t="s">
        <v>17</v>
      </c>
      <c r="C80" s="2" t="s">
        <v>55</v>
      </c>
      <c r="D80" s="2" t="str">
        <f t="shared" si="1"/>
        <v>IPL-2024</v>
      </c>
      <c r="E80" s="2">
        <f>YEAR('IPL Info'!$F80)</f>
        <v>2024</v>
      </c>
      <c r="F80" s="3">
        <v>45431</v>
      </c>
      <c r="G80" s="2" t="s">
        <v>17</v>
      </c>
      <c r="H80" s="2" t="s">
        <v>31</v>
      </c>
      <c r="I80" s="2" t="s">
        <v>19</v>
      </c>
      <c r="J80" s="2" t="s">
        <v>20</v>
      </c>
      <c r="K80" s="2" t="s">
        <v>55</v>
      </c>
      <c r="L80" s="2" t="s">
        <v>81</v>
      </c>
      <c r="M80" s="2" t="s">
        <v>104</v>
      </c>
      <c r="N80" s="2" t="s">
        <v>105</v>
      </c>
      <c r="O80" s="2" t="s">
        <v>269</v>
      </c>
      <c r="P80" s="2" t="s">
        <v>270</v>
      </c>
    </row>
    <row r="81" spans="1:16" ht="15.6" x14ac:dyDescent="0.3">
      <c r="A81" s="4">
        <v>1426306</v>
      </c>
      <c r="B81" s="4" t="s">
        <v>16</v>
      </c>
      <c r="C81" s="4" t="s">
        <v>51</v>
      </c>
      <c r="D81" s="4" t="str">
        <f t="shared" si="1"/>
        <v>IPL-2024</v>
      </c>
      <c r="E81" s="4">
        <f>YEAR('IPL Info'!$F81)</f>
        <v>2024</v>
      </c>
      <c r="F81" s="5">
        <v>45430</v>
      </c>
      <c r="G81" s="4" t="s">
        <v>51</v>
      </c>
      <c r="H81" s="4" t="s">
        <v>18</v>
      </c>
      <c r="I81" s="4" t="s">
        <v>19</v>
      </c>
      <c r="J81" s="4" t="s">
        <v>20</v>
      </c>
      <c r="K81" s="4" t="s">
        <v>16</v>
      </c>
      <c r="L81" s="4" t="s">
        <v>271</v>
      </c>
      <c r="M81" s="4" t="s">
        <v>115</v>
      </c>
      <c r="N81" s="4" t="s">
        <v>116</v>
      </c>
      <c r="O81" s="4" t="s">
        <v>272</v>
      </c>
      <c r="P81" s="4" t="s">
        <v>273</v>
      </c>
    </row>
    <row r="82" spans="1:16" ht="15.6" x14ac:dyDescent="0.3">
      <c r="A82" s="2">
        <v>1426305</v>
      </c>
      <c r="B82" s="2" t="s">
        <v>40</v>
      </c>
      <c r="C82" s="2" t="s">
        <v>26</v>
      </c>
      <c r="D82" s="2" t="str">
        <f t="shared" si="1"/>
        <v>IPL-2024</v>
      </c>
      <c r="E82" s="2">
        <f>YEAR('IPL Info'!$F82)</f>
        <v>2024</v>
      </c>
      <c r="F82" s="3">
        <v>45429</v>
      </c>
      <c r="G82" s="2" t="s">
        <v>26</v>
      </c>
      <c r="H82" s="2" t="s">
        <v>18</v>
      </c>
      <c r="I82" s="2" t="s">
        <v>19</v>
      </c>
      <c r="J82" s="2" t="s">
        <v>20</v>
      </c>
      <c r="K82" s="2" t="s">
        <v>40</v>
      </c>
      <c r="L82" s="2" t="s">
        <v>201</v>
      </c>
      <c r="M82" s="2" t="s">
        <v>73</v>
      </c>
      <c r="N82" s="2" t="s">
        <v>74</v>
      </c>
      <c r="O82" s="2" t="s">
        <v>274</v>
      </c>
      <c r="P82" s="2" t="s">
        <v>275</v>
      </c>
    </row>
    <row r="83" spans="1:16" ht="15.6" x14ac:dyDescent="0.3">
      <c r="A83" s="4">
        <v>1426303</v>
      </c>
      <c r="B83" s="4" t="s">
        <v>77</v>
      </c>
      <c r="C83" s="4" t="s">
        <v>17</v>
      </c>
      <c r="D83" s="4" t="str">
        <f t="shared" si="1"/>
        <v>IPL-2024</v>
      </c>
      <c r="E83" s="4">
        <f>YEAR('IPL Info'!$F83)</f>
        <v>2024</v>
      </c>
      <c r="F83" s="5">
        <v>45427</v>
      </c>
      <c r="G83" s="4" t="s">
        <v>77</v>
      </c>
      <c r="H83" s="4" t="s">
        <v>31</v>
      </c>
      <c r="I83" s="4" t="s">
        <v>19</v>
      </c>
      <c r="J83" s="4" t="s">
        <v>20</v>
      </c>
      <c r="K83" s="4" t="s">
        <v>17</v>
      </c>
      <c r="L83" s="4" t="s">
        <v>276</v>
      </c>
      <c r="M83" s="4" t="s">
        <v>236</v>
      </c>
      <c r="N83" s="4" t="s">
        <v>237</v>
      </c>
      <c r="O83" s="4" t="s">
        <v>277</v>
      </c>
      <c r="P83" s="4" t="s">
        <v>278</v>
      </c>
    </row>
    <row r="84" spans="1:16" ht="15.6" x14ac:dyDescent="0.3">
      <c r="A84" s="2">
        <v>1426302</v>
      </c>
      <c r="B84" s="2" t="s">
        <v>62</v>
      </c>
      <c r="C84" s="2" t="s">
        <v>40</v>
      </c>
      <c r="D84" s="2" t="str">
        <f t="shared" si="1"/>
        <v>IPL-2024</v>
      </c>
      <c r="E84" s="2">
        <f>YEAR('IPL Info'!$F84)</f>
        <v>2024</v>
      </c>
      <c r="F84" s="3">
        <v>45426</v>
      </c>
      <c r="G84" s="2" t="s">
        <v>40</v>
      </c>
      <c r="H84" s="2" t="s">
        <v>18</v>
      </c>
      <c r="I84" s="2" t="s">
        <v>19</v>
      </c>
      <c r="J84" s="2" t="s">
        <v>20</v>
      </c>
      <c r="K84" s="2" t="s">
        <v>62</v>
      </c>
      <c r="L84" s="2" t="s">
        <v>279</v>
      </c>
      <c r="M84" s="2" t="s">
        <v>58</v>
      </c>
      <c r="N84" s="2" t="s">
        <v>59</v>
      </c>
      <c r="O84" s="2" t="s">
        <v>280</v>
      </c>
      <c r="P84" s="2" t="s">
        <v>281</v>
      </c>
    </row>
    <row r="85" spans="1:16" ht="15.6" x14ac:dyDescent="0.3">
      <c r="A85" s="4">
        <v>1426300</v>
      </c>
      <c r="B85" s="4" t="s">
        <v>16</v>
      </c>
      <c r="C85" s="4" t="s">
        <v>62</v>
      </c>
      <c r="D85" s="4" t="str">
        <f t="shared" si="1"/>
        <v>IPL-2024</v>
      </c>
      <c r="E85" s="4">
        <f>YEAR('IPL Info'!$F85)</f>
        <v>2024</v>
      </c>
      <c r="F85" s="5">
        <v>45424</v>
      </c>
      <c r="G85" s="4" t="s">
        <v>62</v>
      </c>
      <c r="H85" s="4" t="s">
        <v>18</v>
      </c>
      <c r="I85" s="4" t="s">
        <v>19</v>
      </c>
      <c r="J85" s="4" t="s">
        <v>20</v>
      </c>
      <c r="K85" s="4" t="s">
        <v>16</v>
      </c>
      <c r="L85" s="4" t="s">
        <v>282</v>
      </c>
      <c r="M85" s="4" t="s">
        <v>115</v>
      </c>
      <c r="N85" s="4" t="s">
        <v>116</v>
      </c>
      <c r="O85" s="4" t="s">
        <v>283</v>
      </c>
      <c r="P85" s="4" t="s">
        <v>284</v>
      </c>
    </row>
    <row r="86" spans="1:16" ht="15.6" x14ac:dyDescent="0.3">
      <c r="A86" s="2">
        <v>1426299</v>
      </c>
      <c r="B86" s="2" t="s">
        <v>77</v>
      </c>
      <c r="C86" s="2" t="s">
        <v>51</v>
      </c>
      <c r="D86" s="2" t="str">
        <f t="shared" si="1"/>
        <v>IPL-2024</v>
      </c>
      <c r="E86" s="2">
        <f>YEAR('IPL Info'!$F86)</f>
        <v>2024</v>
      </c>
      <c r="F86" s="3">
        <v>45424</v>
      </c>
      <c r="G86" s="2" t="s">
        <v>77</v>
      </c>
      <c r="H86" s="2" t="s">
        <v>31</v>
      </c>
      <c r="I86" s="2" t="s">
        <v>19</v>
      </c>
      <c r="J86" s="2" t="s">
        <v>20</v>
      </c>
      <c r="K86" s="2" t="s">
        <v>51</v>
      </c>
      <c r="L86" s="2" t="s">
        <v>285</v>
      </c>
      <c r="M86" s="2" t="s">
        <v>125</v>
      </c>
      <c r="N86" s="2" t="s">
        <v>126</v>
      </c>
      <c r="O86" s="2" t="s">
        <v>286</v>
      </c>
      <c r="P86" s="2" t="s">
        <v>287</v>
      </c>
    </row>
    <row r="87" spans="1:16" ht="15.6" x14ac:dyDescent="0.3">
      <c r="A87" s="4">
        <v>1426298</v>
      </c>
      <c r="B87" s="4" t="s">
        <v>56</v>
      </c>
      <c r="C87" s="4" t="s">
        <v>26</v>
      </c>
      <c r="D87" s="4" t="str">
        <f t="shared" si="1"/>
        <v>IPL-2024</v>
      </c>
      <c r="E87" s="4">
        <f>YEAR('IPL Info'!$F87)</f>
        <v>2024</v>
      </c>
      <c r="F87" s="5">
        <v>45423</v>
      </c>
      <c r="G87" s="4" t="s">
        <v>26</v>
      </c>
      <c r="H87" s="4" t="s">
        <v>18</v>
      </c>
      <c r="I87" s="4" t="s">
        <v>19</v>
      </c>
      <c r="J87" s="4" t="s">
        <v>20</v>
      </c>
      <c r="K87" s="4" t="s">
        <v>56</v>
      </c>
      <c r="L87" s="4" t="s">
        <v>288</v>
      </c>
      <c r="M87" s="4" t="s">
        <v>97</v>
      </c>
      <c r="N87" s="4" t="s">
        <v>98</v>
      </c>
      <c r="O87" s="4" t="s">
        <v>289</v>
      </c>
      <c r="P87" s="4" t="s">
        <v>290</v>
      </c>
    </row>
    <row r="88" spans="1:16" ht="15.6" x14ac:dyDescent="0.3">
      <c r="A88" s="2">
        <v>1426297</v>
      </c>
      <c r="B88" s="2" t="s">
        <v>30</v>
      </c>
      <c r="C88" s="2" t="s">
        <v>51</v>
      </c>
      <c r="D88" s="2" t="str">
        <f t="shared" si="1"/>
        <v>IPL-2024</v>
      </c>
      <c r="E88" s="2">
        <f>YEAR('IPL Info'!$F88)</f>
        <v>2024</v>
      </c>
      <c r="F88" s="3">
        <v>45422</v>
      </c>
      <c r="G88" s="2" t="s">
        <v>51</v>
      </c>
      <c r="H88" s="2" t="s">
        <v>18</v>
      </c>
      <c r="I88" s="2" t="s">
        <v>19</v>
      </c>
      <c r="J88" s="2" t="s">
        <v>20</v>
      </c>
      <c r="K88" s="2" t="s">
        <v>30</v>
      </c>
      <c r="L88" s="2" t="s">
        <v>101</v>
      </c>
      <c r="M88" s="2" t="s">
        <v>22</v>
      </c>
      <c r="N88" s="2" t="s">
        <v>23</v>
      </c>
      <c r="O88" s="2" t="s">
        <v>291</v>
      </c>
      <c r="P88" s="2" t="s">
        <v>292</v>
      </c>
    </row>
    <row r="89" spans="1:16" ht="15.6" x14ac:dyDescent="0.3">
      <c r="A89" s="4">
        <v>1426296</v>
      </c>
      <c r="B89" s="4" t="s">
        <v>16</v>
      </c>
      <c r="C89" s="4" t="s">
        <v>17</v>
      </c>
      <c r="D89" s="4" t="str">
        <f t="shared" si="1"/>
        <v>IPL-2024</v>
      </c>
      <c r="E89" s="4">
        <f>YEAR('IPL Info'!$F89)</f>
        <v>2024</v>
      </c>
      <c r="F89" s="5">
        <v>45421</v>
      </c>
      <c r="G89" s="4" t="s">
        <v>17</v>
      </c>
      <c r="H89" s="4" t="s">
        <v>18</v>
      </c>
      <c r="I89" s="4" t="s">
        <v>19</v>
      </c>
      <c r="J89" s="4" t="s">
        <v>20</v>
      </c>
      <c r="K89" s="4" t="s">
        <v>16</v>
      </c>
      <c r="L89" s="4" t="s">
        <v>158</v>
      </c>
      <c r="M89" s="4" t="s">
        <v>92</v>
      </c>
      <c r="N89" s="4" t="s">
        <v>93</v>
      </c>
      <c r="O89" s="4" t="s">
        <v>293</v>
      </c>
      <c r="P89" s="4" t="s">
        <v>294</v>
      </c>
    </row>
    <row r="90" spans="1:16" ht="15.6" x14ac:dyDescent="0.3">
      <c r="A90" s="2">
        <v>1426295</v>
      </c>
      <c r="B90" s="2" t="s">
        <v>40</v>
      </c>
      <c r="C90" s="2" t="s">
        <v>55</v>
      </c>
      <c r="D90" s="2" t="str">
        <f t="shared" si="1"/>
        <v>IPL-2024</v>
      </c>
      <c r="E90" s="2">
        <f>YEAR('IPL Info'!$F90)</f>
        <v>2024</v>
      </c>
      <c r="F90" s="3">
        <v>45420</v>
      </c>
      <c r="G90" s="2" t="s">
        <v>40</v>
      </c>
      <c r="H90" s="2" t="s">
        <v>31</v>
      </c>
      <c r="I90" s="2" t="s">
        <v>19</v>
      </c>
      <c r="J90" s="2" t="s">
        <v>20</v>
      </c>
      <c r="K90" s="2" t="s">
        <v>55</v>
      </c>
      <c r="L90" s="2" t="s">
        <v>295</v>
      </c>
      <c r="M90" s="2" t="s">
        <v>104</v>
      </c>
      <c r="N90" s="2" t="s">
        <v>105</v>
      </c>
      <c r="O90" s="2" t="s">
        <v>296</v>
      </c>
      <c r="P90" s="2" t="s">
        <v>297</v>
      </c>
    </row>
    <row r="91" spans="1:16" ht="15.6" x14ac:dyDescent="0.3">
      <c r="A91" s="4">
        <v>1426294</v>
      </c>
      <c r="B91" s="4" t="s">
        <v>62</v>
      </c>
      <c r="C91" s="4" t="s">
        <v>77</v>
      </c>
      <c r="D91" s="4" t="str">
        <f t="shared" si="1"/>
        <v>IPL-2024</v>
      </c>
      <c r="E91" s="4">
        <f>YEAR('IPL Info'!$F91)</f>
        <v>2024</v>
      </c>
      <c r="F91" s="5">
        <v>45419</v>
      </c>
      <c r="G91" s="4" t="s">
        <v>77</v>
      </c>
      <c r="H91" s="4" t="s">
        <v>18</v>
      </c>
      <c r="I91" s="4" t="s">
        <v>19</v>
      </c>
      <c r="J91" s="4" t="s">
        <v>20</v>
      </c>
      <c r="K91" s="4" t="s">
        <v>62</v>
      </c>
      <c r="L91" s="4" t="s">
        <v>298</v>
      </c>
      <c r="M91" s="4" t="s">
        <v>58</v>
      </c>
      <c r="N91" s="4" t="s">
        <v>59</v>
      </c>
      <c r="O91" s="4" t="s">
        <v>299</v>
      </c>
      <c r="P91" s="4" t="s">
        <v>300</v>
      </c>
    </row>
    <row r="92" spans="1:16" ht="15.6" x14ac:dyDescent="0.3">
      <c r="A92" s="2">
        <v>1426293</v>
      </c>
      <c r="B92" s="2" t="s">
        <v>55</v>
      </c>
      <c r="C92" s="2" t="s">
        <v>26</v>
      </c>
      <c r="D92" s="2" t="str">
        <f t="shared" si="1"/>
        <v>IPL-2024</v>
      </c>
      <c r="E92" s="2">
        <f>YEAR('IPL Info'!$F92)</f>
        <v>2024</v>
      </c>
      <c r="F92" s="3">
        <v>45418</v>
      </c>
      <c r="G92" s="2" t="s">
        <v>26</v>
      </c>
      <c r="H92" s="2" t="s">
        <v>18</v>
      </c>
      <c r="I92" s="2" t="s">
        <v>19</v>
      </c>
      <c r="J92" s="2" t="s">
        <v>20</v>
      </c>
      <c r="K92" s="2" t="s">
        <v>26</v>
      </c>
      <c r="L92" s="2" t="s">
        <v>72</v>
      </c>
      <c r="M92" s="2" t="s">
        <v>73</v>
      </c>
      <c r="N92" s="2" t="s">
        <v>74</v>
      </c>
      <c r="O92" s="2" t="s">
        <v>301</v>
      </c>
      <c r="P92" s="2" t="s">
        <v>302</v>
      </c>
    </row>
    <row r="93" spans="1:16" ht="15.6" x14ac:dyDescent="0.3">
      <c r="A93" s="4">
        <v>1426292</v>
      </c>
      <c r="B93" s="4" t="s">
        <v>56</v>
      </c>
      <c r="C93" s="4" t="s">
        <v>40</v>
      </c>
      <c r="D93" s="4" t="str">
        <f t="shared" si="1"/>
        <v>IPL-2024</v>
      </c>
      <c r="E93" s="4">
        <f>YEAR('IPL Info'!$F93)</f>
        <v>2024</v>
      </c>
      <c r="F93" s="5">
        <v>45417</v>
      </c>
      <c r="G93" s="4" t="s">
        <v>40</v>
      </c>
      <c r="H93" s="4" t="s">
        <v>18</v>
      </c>
      <c r="I93" s="4" t="s">
        <v>19</v>
      </c>
      <c r="J93" s="4" t="s">
        <v>20</v>
      </c>
      <c r="K93" s="4" t="s">
        <v>56</v>
      </c>
      <c r="L93" s="4" t="s">
        <v>129</v>
      </c>
      <c r="M93" s="4" t="s">
        <v>42</v>
      </c>
      <c r="N93" s="4" t="s">
        <v>43</v>
      </c>
      <c r="O93" s="4" t="s">
        <v>303</v>
      </c>
      <c r="P93" s="4" t="s">
        <v>304</v>
      </c>
    </row>
    <row r="94" spans="1:16" ht="15.6" x14ac:dyDescent="0.3">
      <c r="A94" s="2">
        <v>1426291</v>
      </c>
      <c r="B94" s="2" t="s">
        <v>51</v>
      </c>
      <c r="C94" s="2" t="s">
        <v>17</v>
      </c>
      <c r="D94" s="2" t="str">
        <f t="shared" si="1"/>
        <v>IPL-2024</v>
      </c>
      <c r="E94" s="2">
        <f>YEAR('IPL Info'!$F94)</f>
        <v>2024</v>
      </c>
      <c r="F94" s="3">
        <v>45417</v>
      </c>
      <c r="G94" s="2" t="s">
        <v>17</v>
      </c>
      <c r="H94" s="2" t="s">
        <v>18</v>
      </c>
      <c r="I94" s="2" t="s">
        <v>19</v>
      </c>
      <c r="J94" s="2" t="s">
        <v>20</v>
      </c>
      <c r="K94" s="2" t="s">
        <v>51</v>
      </c>
      <c r="L94" s="2" t="s">
        <v>305</v>
      </c>
      <c r="M94" s="2" t="s">
        <v>92</v>
      </c>
      <c r="N94" s="2" t="s">
        <v>93</v>
      </c>
      <c r="O94" s="2" t="s">
        <v>306</v>
      </c>
      <c r="P94" s="2" t="s">
        <v>307</v>
      </c>
    </row>
    <row r="95" spans="1:16" ht="15.6" x14ac:dyDescent="0.3">
      <c r="A95" s="4">
        <v>1426290</v>
      </c>
      <c r="B95" s="4" t="s">
        <v>30</v>
      </c>
      <c r="C95" s="4" t="s">
        <v>16</v>
      </c>
      <c r="D95" s="4" t="str">
        <f t="shared" si="1"/>
        <v>IPL-2024</v>
      </c>
      <c r="E95" s="4">
        <f>YEAR('IPL Info'!$F95)</f>
        <v>2024</v>
      </c>
      <c r="F95" s="5">
        <v>45416</v>
      </c>
      <c r="G95" s="4" t="s">
        <v>16</v>
      </c>
      <c r="H95" s="4" t="s">
        <v>18</v>
      </c>
      <c r="I95" s="4" t="s">
        <v>19</v>
      </c>
      <c r="J95" s="4" t="s">
        <v>20</v>
      </c>
      <c r="K95" s="4" t="s">
        <v>16</v>
      </c>
      <c r="L95" s="4" t="s">
        <v>210</v>
      </c>
      <c r="M95" s="4" t="s">
        <v>115</v>
      </c>
      <c r="N95" s="4" t="s">
        <v>116</v>
      </c>
      <c r="O95" s="4" t="s">
        <v>308</v>
      </c>
      <c r="P95" s="4" t="s">
        <v>309</v>
      </c>
    </row>
    <row r="96" spans="1:16" ht="15.6" x14ac:dyDescent="0.3">
      <c r="A96" s="2">
        <v>1426289</v>
      </c>
      <c r="B96" s="2" t="s">
        <v>56</v>
      </c>
      <c r="C96" s="2" t="s">
        <v>26</v>
      </c>
      <c r="D96" s="2" t="str">
        <f t="shared" si="1"/>
        <v>IPL-2024</v>
      </c>
      <c r="E96" s="2">
        <f>YEAR('IPL Info'!$F96)</f>
        <v>2024</v>
      </c>
      <c r="F96" s="3">
        <v>45415</v>
      </c>
      <c r="G96" s="2" t="s">
        <v>26</v>
      </c>
      <c r="H96" s="2" t="s">
        <v>18</v>
      </c>
      <c r="I96" s="2" t="s">
        <v>19</v>
      </c>
      <c r="J96" s="2" t="s">
        <v>20</v>
      </c>
      <c r="K96" s="2" t="s">
        <v>56</v>
      </c>
      <c r="L96" s="2" t="s">
        <v>310</v>
      </c>
      <c r="M96" s="2" t="s">
        <v>73</v>
      </c>
      <c r="N96" s="2" t="s">
        <v>74</v>
      </c>
      <c r="O96" s="2" t="s">
        <v>311</v>
      </c>
      <c r="P96" s="2" t="s">
        <v>312</v>
      </c>
    </row>
    <row r="97" spans="1:16" ht="15.6" x14ac:dyDescent="0.3">
      <c r="A97" s="4">
        <v>1426288</v>
      </c>
      <c r="B97" s="4" t="s">
        <v>55</v>
      </c>
      <c r="C97" s="4" t="s">
        <v>77</v>
      </c>
      <c r="D97" s="4" t="str">
        <f t="shared" si="1"/>
        <v>IPL-2024</v>
      </c>
      <c r="E97" s="4">
        <f>YEAR('IPL Info'!$F97)</f>
        <v>2024</v>
      </c>
      <c r="F97" s="5">
        <v>45414</v>
      </c>
      <c r="G97" s="4" t="s">
        <v>55</v>
      </c>
      <c r="H97" s="4" t="s">
        <v>31</v>
      </c>
      <c r="I97" s="4" t="s">
        <v>19</v>
      </c>
      <c r="J97" s="4" t="s">
        <v>20</v>
      </c>
      <c r="K97" s="4" t="s">
        <v>55</v>
      </c>
      <c r="L97" s="4" t="s">
        <v>313</v>
      </c>
      <c r="M97" s="4" t="s">
        <v>104</v>
      </c>
      <c r="N97" s="4" t="s">
        <v>105</v>
      </c>
      <c r="O97" s="4" t="s">
        <v>314</v>
      </c>
      <c r="P97" s="4" t="s">
        <v>315</v>
      </c>
    </row>
    <row r="98" spans="1:16" ht="15.6" x14ac:dyDescent="0.3">
      <c r="A98" s="2">
        <v>1426287</v>
      </c>
      <c r="B98" s="2" t="s">
        <v>51</v>
      </c>
      <c r="C98" s="2" t="s">
        <v>17</v>
      </c>
      <c r="D98" s="2" t="str">
        <f t="shared" si="1"/>
        <v>IPL-2024</v>
      </c>
      <c r="E98" s="2">
        <f>YEAR('IPL Info'!$F98)</f>
        <v>2024</v>
      </c>
      <c r="F98" s="3">
        <v>45413</v>
      </c>
      <c r="G98" s="2" t="s">
        <v>17</v>
      </c>
      <c r="H98" s="2" t="s">
        <v>18</v>
      </c>
      <c r="I98" s="2" t="s">
        <v>19</v>
      </c>
      <c r="J98" s="2" t="s">
        <v>20</v>
      </c>
      <c r="K98" s="2" t="s">
        <v>17</v>
      </c>
      <c r="L98" s="2" t="s">
        <v>87</v>
      </c>
      <c r="M98" s="2" t="s">
        <v>125</v>
      </c>
      <c r="N98" s="2" t="s">
        <v>126</v>
      </c>
      <c r="O98" s="2" t="s">
        <v>316</v>
      </c>
      <c r="P98" s="2" t="s">
        <v>317</v>
      </c>
    </row>
    <row r="99" spans="1:16" ht="15.6" x14ac:dyDescent="0.3">
      <c r="A99" s="4">
        <v>1426286</v>
      </c>
      <c r="B99" s="4" t="s">
        <v>26</v>
      </c>
      <c r="C99" s="4" t="s">
        <v>40</v>
      </c>
      <c r="D99" s="4" t="str">
        <f t="shared" si="1"/>
        <v>IPL-2024</v>
      </c>
      <c r="E99" s="4">
        <f>YEAR('IPL Info'!$F99)</f>
        <v>2024</v>
      </c>
      <c r="F99" s="5">
        <v>45412</v>
      </c>
      <c r="G99" s="4" t="s">
        <v>40</v>
      </c>
      <c r="H99" s="4" t="s">
        <v>18</v>
      </c>
      <c r="I99" s="4" t="s">
        <v>19</v>
      </c>
      <c r="J99" s="4" t="s">
        <v>20</v>
      </c>
      <c r="K99" s="4" t="s">
        <v>40</v>
      </c>
      <c r="L99" s="4" t="s">
        <v>318</v>
      </c>
      <c r="M99" s="4" t="s">
        <v>42</v>
      </c>
      <c r="N99" s="4" t="s">
        <v>43</v>
      </c>
      <c r="O99" s="4" t="s">
        <v>319</v>
      </c>
      <c r="P99" s="4" t="s">
        <v>320</v>
      </c>
    </row>
    <row r="100" spans="1:16" ht="15.6" x14ac:dyDescent="0.3">
      <c r="A100" s="2">
        <v>1426285</v>
      </c>
      <c r="B100" s="2" t="s">
        <v>62</v>
      </c>
      <c r="C100" s="2" t="s">
        <v>56</v>
      </c>
      <c r="D100" s="2" t="str">
        <f t="shared" si="1"/>
        <v>IPL-2024</v>
      </c>
      <c r="E100" s="2">
        <f>YEAR('IPL Info'!$F100)</f>
        <v>2024</v>
      </c>
      <c r="F100" s="3">
        <v>45411</v>
      </c>
      <c r="G100" s="2" t="s">
        <v>62</v>
      </c>
      <c r="H100" s="2" t="s">
        <v>31</v>
      </c>
      <c r="I100" s="2" t="s">
        <v>19</v>
      </c>
      <c r="J100" s="2" t="s">
        <v>20</v>
      </c>
      <c r="K100" s="2" t="s">
        <v>56</v>
      </c>
      <c r="L100" s="2" t="s">
        <v>288</v>
      </c>
      <c r="M100" s="2" t="s">
        <v>97</v>
      </c>
      <c r="N100" s="2" t="s">
        <v>98</v>
      </c>
      <c r="O100" s="2" t="s">
        <v>321</v>
      </c>
      <c r="P100" s="2" t="s">
        <v>322</v>
      </c>
    </row>
    <row r="101" spans="1:16" ht="15.6" x14ac:dyDescent="0.3">
      <c r="A101" s="4">
        <v>1426283</v>
      </c>
      <c r="B101" s="4" t="s">
        <v>30</v>
      </c>
      <c r="C101" s="4" t="s">
        <v>16</v>
      </c>
      <c r="D101" s="4" t="str">
        <f t="shared" si="1"/>
        <v>IPL-2024</v>
      </c>
      <c r="E101" s="4">
        <f>YEAR('IPL Info'!$F101)</f>
        <v>2024</v>
      </c>
      <c r="F101" s="5">
        <v>45410</v>
      </c>
      <c r="G101" s="4" t="s">
        <v>16</v>
      </c>
      <c r="H101" s="4" t="s">
        <v>18</v>
      </c>
      <c r="I101" s="4" t="s">
        <v>19</v>
      </c>
      <c r="J101" s="4" t="s">
        <v>20</v>
      </c>
      <c r="K101" s="4" t="s">
        <v>16</v>
      </c>
      <c r="L101" s="4" t="s">
        <v>137</v>
      </c>
      <c r="M101" s="4" t="s">
        <v>22</v>
      </c>
      <c r="N101" s="4" t="s">
        <v>23</v>
      </c>
      <c r="O101" s="4" t="s">
        <v>323</v>
      </c>
      <c r="P101" s="4" t="s">
        <v>324</v>
      </c>
    </row>
    <row r="102" spans="1:16" ht="15.6" x14ac:dyDescent="0.3">
      <c r="A102" s="2">
        <v>1426284</v>
      </c>
      <c r="B102" s="2" t="s">
        <v>51</v>
      </c>
      <c r="C102" s="2" t="s">
        <v>55</v>
      </c>
      <c r="D102" s="2" t="str">
        <f t="shared" si="1"/>
        <v>IPL-2024</v>
      </c>
      <c r="E102" s="2">
        <f>YEAR('IPL Info'!$F102)</f>
        <v>2024</v>
      </c>
      <c r="F102" s="3">
        <v>45410</v>
      </c>
      <c r="G102" s="2" t="s">
        <v>55</v>
      </c>
      <c r="H102" s="2" t="s">
        <v>18</v>
      </c>
      <c r="I102" s="2" t="s">
        <v>19</v>
      </c>
      <c r="J102" s="2" t="s">
        <v>20</v>
      </c>
      <c r="K102" s="2" t="s">
        <v>51</v>
      </c>
      <c r="L102" s="2" t="s">
        <v>325</v>
      </c>
      <c r="M102" s="2" t="s">
        <v>125</v>
      </c>
      <c r="N102" s="2" t="s">
        <v>126</v>
      </c>
      <c r="O102" s="2" t="s">
        <v>326</v>
      </c>
      <c r="P102" s="2" t="s">
        <v>327</v>
      </c>
    </row>
    <row r="103" spans="1:16" ht="15.6" x14ac:dyDescent="0.3">
      <c r="A103" s="4">
        <v>1426281</v>
      </c>
      <c r="B103" s="4" t="s">
        <v>62</v>
      </c>
      <c r="C103" s="4" t="s">
        <v>26</v>
      </c>
      <c r="D103" s="4" t="str">
        <f t="shared" si="1"/>
        <v>IPL-2024</v>
      </c>
      <c r="E103" s="4">
        <f>YEAR('IPL Info'!$F103)</f>
        <v>2024</v>
      </c>
      <c r="F103" s="5">
        <v>45409</v>
      </c>
      <c r="G103" s="4" t="s">
        <v>26</v>
      </c>
      <c r="H103" s="4" t="s">
        <v>18</v>
      </c>
      <c r="I103" s="4" t="s">
        <v>19</v>
      </c>
      <c r="J103" s="4" t="s">
        <v>20</v>
      </c>
      <c r="K103" s="4" t="s">
        <v>62</v>
      </c>
      <c r="L103" s="4" t="s">
        <v>328</v>
      </c>
      <c r="M103" s="4" t="s">
        <v>58</v>
      </c>
      <c r="N103" s="4" t="s">
        <v>59</v>
      </c>
      <c r="O103" s="4" t="s">
        <v>329</v>
      </c>
      <c r="P103" s="4" t="s">
        <v>330</v>
      </c>
    </row>
    <row r="104" spans="1:16" ht="15.6" x14ac:dyDescent="0.3">
      <c r="A104" s="2">
        <v>1426282</v>
      </c>
      <c r="B104" s="2" t="s">
        <v>40</v>
      </c>
      <c r="C104" s="2" t="s">
        <v>77</v>
      </c>
      <c r="D104" s="2" t="str">
        <f t="shared" si="1"/>
        <v>IPL-2024</v>
      </c>
      <c r="E104" s="2">
        <f>YEAR('IPL Info'!$F104)</f>
        <v>2024</v>
      </c>
      <c r="F104" s="3">
        <v>45409</v>
      </c>
      <c r="G104" s="2" t="s">
        <v>77</v>
      </c>
      <c r="H104" s="2" t="s">
        <v>18</v>
      </c>
      <c r="I104" s="2" t="s">
        <v>19</v>
      </c>
      <c r="J104" s="2" t="s">
        <v>20</v>
      </c>
      <c r="K104" s="2" t="s">
        <v>77</v>
      </c>
      <c r="L104" s="2" t="s">
        <v>331</v>
      </c>
      <c r="M104" s="2" t="s">
        <v>42</v>
      </c>
      <c r="N104" s="2" t="s">
        <v>43</v>
      </c>
      <c r="O104" s="2" t="s">
        <v>332</v>
      </c>
      <c r="P104" s="2" t="s">
        <v>333</v>
      </c>
    </row>
    <row r="105" spans="1:16" ht="15.6" x14ac:dyDescent="0.3">
      <c r="A105" s="4">
        <v>1426280</v>
      </c>
      <c r="B105" s="4" t="s">
        <v>56</v>
      </c>
      <c r="C105" s="4" t="s">
        <v>17</v>
      </c>
      <c r="D105" s="4" t="str">
        <f t="shared" si="1"/>
        <v>IPL-2024</v>
      </c>
      <c r="E105" s="4">
        <f>YEAR('IPL Info'!$F105)</f>
        <v>2024</v>
      </c>
      <c r="F105" s="5">
        <v>45408</v>
      </c>
      <c r="G105" s="4" t="s">
        <v>17</v>
      </c>
      <c r="H105" s="4" t="s">
        <v>18</v>
      </c>
      <c r="I105" s="4" t="s">
        <v>19</v>
      </c>
      <c r="J105" s="4" t="s">
        <v>20</v>
      </c>
      <c r="K105" s="4" t="s">
        <v>17</v>
      </c>
      <c r="L105" s="4" t="s">
        <v>334</v>
      </c>
      <c r="M105" s="4" t="s">
        <v>97</v>
      </c>
      <c r="N105" s="4" t="s">
        <v>98</v>
      </c>
      <c r="O105" s="4" t="s">
        <v>335</v>
      </c>
      <c r="P105" s="4" t="s">
        <v>336</v>
      </c>
    </row>
    <row r="106" spans="1:16" ht="15.6" x14ac:dyDescent="0.3">
      <c r="A106" s="2">
        <v>1426279</v>
      </c>
      <c r="B106" s="2" t="s">
        <v>16</v>
      </c>
      <c r="C106" s="2" t="s">
        <v>55</v>
      </c>
      <c r="D106" s="2" t="str">
        <f t="shared" si="1"/>
        <v>IPL-2024</v>
      </c>
      <c r="E106" s="2">
        <f>YEAR('IPL Info'!$F106)</f>
        <v>2024</v>
      </c>
      <c r="F106" s="3">
        <v>45407</v>
      </c>
      <c r="G106" s="2" t="s">
        <v>16</v>
      </c>
      <c r="H106" s="2" t="s">
        <v>31</v>
      </c>
      <c r="I106" s="2" t="s">
        <v>19</v>
      </c>
      <c r="J106" s="2" t="s">
        <v>20</v>
      </c>
      <c r="K106" s="2" t="s">
        <v>16</v>
      </c>
      <c r="L106" s="2" t="s">
        <v>207</v>
      </c>
      <c r="M106" s="2" t="s">
        <v>104</v>
      </c>
      <c r="N106" s="2" t="s">
        <v>105</v>
      </c>
      <c r="O106" s="2" t="s">
        <v>337</v>
      </c>
      <c r="P106" s="2" t="s">
        <v>338</v>
      </c>
    </row>
    <row r="107" spans="1:16" ht="15.6" x14ac:dyDescent="0.3">
      <c r="A107" s="4">
        <v>1426278</v>
      </c>
      <c r="B107" s="4" t="s">
        <v>62</v>
      </c>
      <c r="C107" s="4" t="s">
        <v>30</v>
      </c>
      <c r="D107" s="4" t="str">
        <f t="shared" si="1"/>
        <v>IPL-2024</v>
      </c>
      <c r="E107" s="4">
        <f>YEAR('IPL Info'!$F107)</f>
        <v>2024</v>
      </c>
      <c r="F107" s="5">
        <v>45406</v>
      </c>
      <c r="G107" s="4" t="s">
        <v>30</v>
      </c>
      <c r="H107" s="4" t="s">
        <v>18</v>
      </c>
      <c r="I107" s="4" t="s">
        <v>19</v>
      </c>
      <c r="J107" s="4" t="s">
        <v>20</v>
      </c>
      <c r="K107" s="4" t="s">
        <v>62</v>
      </c>
      <c r="L107" s="4" t="s">
        <v>339</v>
      </c>
      <c r="M107" s="4" t="s">
        <v>58</v>
      </c>
      <c r="N107" s="4" t="s">
        <v>59</v>
      </c>
      <c r="O107" s="4" t="s">
        <v>340</v>
      </c>
      <c r="P107" s="4" t="s">
        <v>341</v>
      </c>
    </row>
    <row r="108" spans="1:16" ht="15.6" x14ac:dyDescent="0.3">
      <c r="A108" s="2">
        <v>1426277</v>
      </c>
      <c r="B108" s="2" t="s">
        <v>51</v>
      </c>
      <c r="C108" s="2" t="s">
        <v>40</v>
      </c>
      <c r="D108" s="2" t="str">
        <f t="shared" si="1"/>
        <v>IPL-2024</v>
      </c>
      <c r="E108" s="2">
        <f>YEAR('IPL Info'!$F108)</f>
        <v>2024</v>
      </c>
      <c r="F108" s="3">
        <v>45405</v>
      </c>
      <c r="G108" s="2" t="s">
        <v>40</v>
      </c>
      <c r="H108" s="2" t="s">
        <v>18</v>
      </c>
      <c r="I108" s="2" t="s">
        <v>19</v>
      </c>
      <c r="J108" s="2" t="s">
        <v>20</v>
      </c>
      <c r="K108" s="2" t="s">
        <v>40</v>
      </c>
      <c r="L108" s="2" t="s">
        <v>318</v>
      </c>
      <c r="M108" s="2" t="s">
        <v>125</v>
      </c>
      <c r="N108" s="2" t="s">
        <v>126</v>
      </c>
      <c r="O108" s="2" t="s">
        <v>342</v>
      </c>
      <c r="P108" s="2" t="s">
        <v>343</v>
      </c>
    </row>
    <row r="109" spans="1:16" ht="15.6" x14ac:dyDescent="0.3">
      <c r="A109" s="4">
        <v>1426276</v>
      </c>
      <c r="B109" s="4" t="s">
        <v>26</v>
      </c>
      <c r="C109" s="4" t="s">
        <v>77</v>
      </c>
      <c r="D109" s="4" t="str">
        <f t="shared" si="1"/>
        <v>IPL-2024</v>
      </c>
      <c r="E109" s="4">
        <f>YEAR('IPL Info'!$F109)</f>
        <v>2024</v>
      </c>
      <c r="F109" s="5">
        <v>45404</v>
      </c>
      <c r="G109" s="4" t="s">
        <v>26</v>
      </c>
      <c r="H109" s="4" t="s">
        <v>31</v>
      </c>
      <c r="I109" s="4" t="s">
        <v>19</v>
      </c>
      <c r="J109" s="4" t="s">
        <v>20</v>
      </c>
      <c r="K109" s="4" t="s">
        <v>77</v>
      </c>
      <c r="L109" s="4" t="s">
        <v>344</v>
      </c>
      <c r="M109" s="4" t="s">
        <v>47</v>
      </c>
      <c r="N109" s="4" t="s">
        <v>48</v>
      </c>
      <c r="O109" s="4" t="s">
        <v>345</v>
      </c>
      <c r="P109" s="4" t="s">
        <v>346</v>
      </c>
    </row>
    <row r="110" spans="1:16" ht="15.6" x14ac:dyDescent="0.3">
      <c r="A110" s="2">
        <v>1426275</v>
      </c>
      <c r="B110" s="2" t="s">
        <v>17</v>
      </c>
      <c r="C110" s="2" t="s">
        <v>30</v>
      </c>
      <c r="D110" s="2" t="str">
        <f t="shared" si="1"/>
        <v>IPL-2024</v>
      </c>
      <c r="E110" s="2">
        <f>YEAR('IPL Info'!$F110)</f>
        <v>2024</v>
      </c>
      <c r="F110" s="3">
        <v>45403</v>
      </c>
      <c r="G110" s="2" t="s">
        <v>17</v>
      </c>
      <c r="H110" s="2" t="s">
        <v>31</v>
      </c>
      <c r="I110" s="2" t="s">
        <v>19</v>
      </c>
      <c r="J110" s="2" t="s">
        <v>20</v>
      </c>
      <c r="K110" s="2" t="s">
        <v>30</v>
      </c>
      <c r="L110" s="2" t="s">
        <v>347</v>
      </c>
      <c r="M110" s="2" t="s">
        <v>38</v>
      </c>
      <c r="N110" s="2" t="s">
        <v>159</v>
      </c>
      <c r="O110" s="2" t="s">
        <v>348</v>
      </c>
      <c r="P110" s="2" t="s">
        <v>349</v>
      </c>
    </row>
    <row r="111" spans="1:16" ht="15.6" x14ac:dyDescent="0.3">
      <c r="A111" s="4">
        <v>1426274</v>
      </c>
      <c r="B111" s="4" t="s">
        <v>56</v>
      </c>
      <c r="C111" s="4" t="s">
        <v>16</v>
      </c>
      <c r="D111" s="4" t="str">
        <f t="shared" si="1"/>
        <v>IPL-2024</v>
      </c>
      <c r="E111" s="4">
        <f>YEAR('IPL Info'!$F111)</f>
        <v>2024</v>
      </c>
      <c r="F111" s="5">
        <v>45403</v>
      </c>
      <c r="G111" s="4" t="s">
        <v>16</v>
      </c>
      <c r="H111" s="4" t="s">
        <v>18</v>
      </c>
      <c r="I111" s="4" t="s">
        <v>19</v>
      </c>
      <c r="J111" s="4" t="s">
        <v>20</v>
      </c>
      <c r="K111" s="4" t="s">
        <v>56</v>
      </c>
      <c r="L111" s="4" t="s">
        <v>111</v>
      </c>
      <c r="M111" s="4" t="s">
        <v>97</v>
      </c>
      <c r="N111" s="4" t="s">
        <v>98</v>
      </c>
      <c r="O111" s="4" t="s">
        <v>350</v>
      </c>
      <c r="P111" s="4" t="s">
        <v>351</v>
      </c>
    </row>
    <row r="112" spans="1:16" ht="15.6" x14ac:dyDescent="0.3">
      <c r="A112" s="2">
        <v>1426273</v>
      </c>
      <c r="B112" s="2" t="s">
        <v>55</v>
      </c>
      <c r="C112" s="2" t="s">
        <v>62</v>
      </c>
      <c r="D112" s="2" t="str">
        <f t="shared" si="1"/>
        <v>IPL-2024</v>
      </c>
      <c r="E112" s="2">
        <f>YEAR('IPL Info'!$F112)</f>
        <v>2024</v>
      </c>
      <c r="F112" s="3">
        <v>45402</v>
      </c>
      <c r="G112" s="2" t="s">
        <v>62</v>
      </c>
      <c r="H112" s="2" t="s">
        <v>18</v>
      </c>
      <c r="I112" s="2" t="s">
        <v>19</v>
      </c>
      <c r="J112" s="2" t="s">
        <v>20</v>
      </c>
      <c r="K112" s="2" t="s">
        <v>55</v>
      </c>
      <c r="L112" s="2" t="s">
        <v>295</v>
      </c>
      <c r="M112" s="2" t="s">
        <v>58</v>
      </c>
      <c r="N112" s="2" t="s">
        <v>59</v>
      </c>
      <c r="O112" s="2" t="s">
        <v>352</v>
      </c>
      <c r="P112" s="2" t="s">
        <v>353</v>
      </c>
    </row>
    <row r="113" spans="1:16" ht="15.6" x14ac:dyDescent="0.3">
      <c r="A113" s="4">
        <v>1426272</v>
      </c>
      <c r="B113" s="4" t="s">
        <v>51</v>
      </c>
      <c r="C113" s="4" t="s">
        <v>40</v>
      </c>
      <c r="D113" s="4" t="str">
        <f t="shared" si="1"/>
        <v>IPL-2024</v>
      </c>
      <c r="E113" s="4">
        <f>YEAR('IPL Info'!$F113)</f>
        <v>2024</v>
      </c>
      <c r="F113" s="5">
        <v>45401</v>
      </c>
      <c r="G113" s="4" t="s">
        <v>40</v>
      </c>
      <c r="H113" s="4" t="s">
        <v>18</v>
      </c>
      <c r="I113" s="4" t="s">
        <v>19</v>
      </c>
      <c r="J113" s="4" t="s">
        <v>20</v>
      </c>
      <c r="K113" s="4" t="s">
        <v>40</v>
      </c>
      <c r="L113" s="4" t="s">
        <v>196</v>
      </c>
      <c r="M113" s="4" t="s">
        <v>42</v>
      </c>
      <c r="N113" s="4" t="s">
        <v>43</v>
      </c>
      <c r="O113" s="4" t="s">
        <v>354</v>
      </c>
      <c r="P113" s="4" t="s">
        <v>355</v>
      </c>
    </row>
    <row r="114" spans="1:16" ht="15.6" x14ac:dyDescent="0.3">
      <c r="A114" s="2">
        <v>1426271</v>
      </c>
      <c r="B114" s="2" t="s">
        <v>26</v>
      </c>
      <c r="C114" s="2" t="s">
        <v>17</v>
      </c>
      <c r="D114" s="2" t="str">
        <f t="shared" si="1"/>
        <v>IPL-2024</v>
      </c>
      <c r="E114" s="2">
        <f>YEAR('IPL Info'!$F114)</f>
        <v>2024</v>
      </c>
      <c r="F114" s="3">
        <v>45400</v>
      </c>
      <c r="G114" s="2" t="s">
        <v>17</v>
      </c>
      <c r="H114" s="2" t="s">
        <v>18</v>
      </c>
      <c r="I114" s="2" t="s">
        <v>19</v>
      </c>
      <c r="J114" s="2" t="s">
        <v>20</v>
      </c>
      <c r="K114" s="2" t="s">
        <v>26</v>
      </c>
      <c r="L114" s="2" t="s">
        <v>356</v>
      </c>
      <c r="M114" s="2" t="s">
        <v>38</v>
      </c>
      <c r="N114" s="2" t="s">
        <v>159</v>
      </c>
      <c r="O114" s="2" t="s">
        <v>357</v>
      </c>
      <c r="P114" s="2" t="s">
        <v>358</v>
      </c>
    </row>
    <row r="115" spans="1:16" ht="15.6" x14ac:dyDescent="0.3">
      <c r="A115" s="4">
        <v>1426270</v>
      </c>
      <c r="B115" s="4" t="s">
        <v>30</v>
      </c>
      <c r="C115" s="4" t="s">
        <v>62</v>
      </c>
      <c r="D115" s="4" t="str">
        <f t="shared" si="1"/>
        <v>IPL-2024</v>
      </c>
      <c r="E115" s="4">
        <f>YEAR('IPL Info'!$F115)</f>
        <v>2024</v>
      </c>
      <c r="F115" s="5">
        <v>45399</v>
      </c>
      <c r="G115" s="4" t="s">
        <v>62</v>
      </c>
      <c r="H115" s="4" t="s">
        <v>18</v>
      </c>
      <c r="I115" s="4" t="s">
        <v>19</v>
      </c>
      <c r="J115" s="4" t="s">
        <v>20</v>
      </c>
      <c r="K115" s="4" t="s">
        <v>62</v>
      </c>
      <c r="L115" s="4" t="s">
        <v>339</v>
      </c>
      <c r="M115" s="4" t="s">
        <v>22</v>
      </c>
      <c r="N115" s="4" t="s">
        <v>23</v>
      </c>
      <c r="O115" s="4" t="s">
        <v>359</v>
      </c>
      <c r="P115" s="4" t="s">
        <v>360</v>
      </c>
    </row>
    <row r="116" spans="1:16" ht="15.6" x14ac:dyDescent="0.3">
      <c r="A116" s="2">
        <v>1426269</v>
      </c>
      <c r="B116" s="2" t="s">
        <v>56</v>
      </c>
      <c r="C116" s="2" t="s">
        <v>77</v>
      </c>
      <c r="D116" s="2" t="str">
        <f t="shared" si="1"/>
        <v>IPL-2024</v>
      </c>
      <c r="E116" s="2">
        <f>YEAR('IPL Info'!$F116)</f>
        <v>2024</v>
      </c>
      <c r="F116" s="3">
        <v>45398</v>
      </c>
      <c r="G116" s="2" t="s">
        <v>77</v>
      </c>
      <c r="H116" s="2" t="s">
        <v>18</v>
      </c>
      <c r="I116" s="2" t="s">
        <v>19</v>
      </c>
      <c r="J116" s="2" t="s">
        <v>20</v>
      </c>
      <c r="K116" s="2" t="s">
        <v>77</v>
      </c>
      <c r="L116" s="2" t="s">
        <v>165</v>
      </c>
      <c r="M116" s="2" t="s">
        <v>97</v>
      </c>
      <c r="N116" s="2" t="s">
        <v>98</v>
      </c>
      <c r="O116" s="2" t="s">
        <v>361</v>
      </c>
      <c r="P116" s="2" t="s">
        <v>362</v>
      </c>
    </row>
    <row r="117" spans="1:16" ht="15.6" x14ac:dyDescent="0.3">
      <c r="A117" s="4">
        <v>1426268</v>
      </c>
      <c r="B117" s="4" t="s">
        <v>55</v>
      </c>
      <c r="C117" s="4" t="s">
        <v>16</v>
      </c>
      <c r="D117" s="4" t="str">
        <f t="shared" si="1"/>
        <v>IPL-2024</v>
      </c>
      <c r="E117" s="4">
        <f>YEAR('IPL Info'!$F117)</f>
        <v>2024</v>
      </c>
      <c r="F117" s="5">
        <v>45397</v>
      </c>
      <c r="G117" s="4" t="s">
        <v>16</v>
      </c>
      <c r="H117" s="4" t="s">
        <v>18</v>
      </c>
      <c r="I117" s="4" t="s">
        <v>19</v>
      </c>
      <c r="J117" s="4" t="s">
        <v>20</v>
      </c>
      <c r="K117" s="4" t="s">
        <v>55</v>
      </c>
      <c r="L117" s="4" t="s">
        <v>295</v>
      </c>
      <c r="M117" s="4" t="s">
        <v>115</v>
      </c>
      <c r="N117" s="4" t="s">
        <v>116</v>
      </c>
      <c r="O117" s="4" t="s">
        <v>363</v>
      </c>
      <c r="P117" s="4" t="s">
        <v>364</v>
      </c>
    </row>
    <row r="118" spans="1:16" ht="15.6" x14ac:dyDescent="0.3">
      <c r="A118" s="2">
        <v>1426266</v>
      </c>
      <c r="B118" s="2" t="s">
        <v>40</v>
      </c>
      <c r="C118" s="2" t="s">
        <v>56</v>
      </c>
      <c r="D118" s="2" t="str">
        <f t="shared" si="1"/>
        <v>IPL-2024</v>
      </c>
      <c r="E118" s="2">
        <f>YEAR('IPL Info'!$F118)</f>
        <v>2024</v>
      </c>
      <c r="F118" s="3">
        <v>45396</v>
      </c>
      <c r="G118" s="2" t="s">
        <v>56</v>
      </c>
      <c r="H118" s="2" t="s">
        <v>18</v>
      </c>
      <c r="I118" s="2" t="s">
        <v>19</v>
      </c>
      <c r="J118" s="2" t="s">
        <v>20</v>
      </c>
      <c r="K118" s="2" t="s">
        <v>56</v>
      </c>
      <c r="L118" s="2" t="s">
        <v>186</v>
      </c>
      <c r="M118" s="2" t="s">
        <v>97</v>
      </c>
      <c r="N118" s="2" t="s">
        <v>98</v>
      </c>
      <c r="O118" s="2" t="s">
        <v>365</v>
      </c>
      <c r="P118" s="2" t="s">
        <v>366</v>
      </c>
    </row>
    <row r="119" spans="1:16" ht="15.6" x14ac:dyDescent="0.3">
      <c r="A119" s="4">
        <v>1426267</v>
      </c>
      <c r="B119" s="4" t="s">
        <v>51</v>
      </c>
      <c r="C119" s="4" t="s">
        <v>26</v>
      </c>
      <c r="D119" s="4" t="str">
        <f t="shared" si="1"/>
        <v>IPL-2024</v>
      </c>
      <c r="E119" s="4">
        <f>YEAR('IPL Info'!$F119)</f>
        <v>2024</v>
      </c>
      <c r="F119" s="5">
        <v>45396</v>
      </c>
      <c r="G119" s="4" t="s">
        <v>26</v>
      </c>
      <c r="H119" s="4" t="s">
        <v>18</v>
      </c>
      <c r="I119" s="4" t="s">
        <v>19</v>
      </c>
      <c r="J119" s="4" t="s">
        <v>20</v>
      </c>
      <c r="K119" s="4" t="s">
        <v>51</v>
      </c>
      <c r="L119" s="4" t="s">
        <v>367</v>
      </c>
      <c r="M119" s="4" t="s">
        <v>73</v>
      </c>
      <c r="N119" s="4" t="s">
        <v>74</v>
      </c>
      <c r="O119" s="4" t="s">
        <v>368</v>
      </c>
      <c r="P119" s="4" t="s">
        <v>369</v>
      </c>
    </row>
    <row r="120" spans="1:16" ht="15.6" x14ac:dyDescent="0.3">
      <c r="A120" s="2">
        <v>1426265</v>
      </c>
      <c r="B120" s="2" t="s">
        <v>17</v>
      </c>
      <c r="C120" s="2" t="s">
        <v>77</v>
      </c>
      <c r="D120" s="2" t="str">
        <f t="shared" si="1"/>
        <v>IPL-2024</v>
      </c>
      <c r="E120" s="2">
        <f>YEAR('IPL Info'!$F120)</f>
        <v>2024</v>
      </c>
      <c r="F120" s="3">
        <v>45395</v>
      </c>
      <c r="G120" s="2" t="s">
        <v>77</v>
      </c>
      <c r="H120" s="2" t="s">
        <v>18</v>
      </c>
      <c r="I120" s="2" t="s">
        <v>19</v>
      </c>
      <c r="J120" s="2" t="s">
        <v>20</v>
      </c>
      <c r="K120" s="2" t="s">
        <v>77</v>
      </c>
      <c r="L120" s="2" t="s">
        <v>370</v>
      </c>
      <c r="M120" s="2" t="s">
        <v>38</v>
      </c>
      <c r="N120" s="2" t="s">
        <v>159</v>
      </c>
      <c r="O120" s="2" t="s">
        <v>371</v>
      </c>
      <c r="P120" s="2" t="s">
        <v>372</v>
      </c>
    </row>
    <row r="121" spans="1:16" ht="15.6" x14ac:dyDescent="0.3">
      <c r="A121" s="4">
        <v>1426264</v>
      </c>
      <c r="B121" s="4" t="s">
        <v>40</v>
      </c>
      <c r="C121" s="4" t="s">
        <v>62</v>
      </c>
      <c r="D121" s="4" t="str">
        <f t="shared" si="1"/>
        <v>IPL-2024</v>
      </c>
      <c r="E121" s="4">
        <f>YEAR('IPL Info'!$F121)</f>
        <v>2024</v>
      </c>
      <c r="F121" s="5">
        <v>45394</v>
      </c>
      <c r="G121" s="4" t="s">
        <v>40</v>
      </c>
      <c r="H121" s="4" t="s">
        <v>31</v>
      </c>
      <c r="I121" s="4" t="s">
        <v>19</v>
      </c>
      <c r="J121" s="4" t="s">
        <v>20</v>
      </c>
      <c r="K121" s="4" t="s">
        <v>62</v>
      </c>
      <c r="L121" s="4" t="s">
        <v>298</v>
      </c>
      <c r="M121" s="4" t="s">
        <v>42</v>
      </c>
      <c r="N121" s="4" t="s">
        <v>43</v>
      </c>
      <c r="O121" s="4" t="s">
        <v>373</v>
      </c>
      <c r="P121" s="4" t="s">
        <v>374</v>
      </c>
    </row>
    <row r="122" spans="1:16" ht="15.6" x14ac:dyDescent="0.3">
      <c r="A122" s="2">
        <v>1426263</v>
      </c>
      <c r="B122" s="2" t="s">
        <v>16</v>
      </c>
      <c r="C122" s="2" t="s">
        <v>26</v>
      </c>
      <c r="D122" s="2" t="str">
        <f t="shared" si="1"/>
        <v>IPL-2024</v>
      </c>
      <c r="E122" s="2">
        <f>YEAR('IPL Info'!$F122)</f>
        <v>2024</v>
      </c>
      <c r="F122" s="3">
        <v>45393</v>
      </c>
      <c r="G122" s="2" t="s">
        <v>26</v>
      </c>
      <c r="H122" s="2" t="s">
        <v>18</v>
      </c>
      <c r="I122" s="2" t="s">
        <v>19</v>
      </c>
      <c r="J122" s="2" t="s">
        <v>20</v>
      </c>
      <c r="K122" s="2" t="s">
        <v>26</v>
      </c>
      <c r="L122" s="2" t="s">
        <v>356</v>
      </c>
      <c r="M122" s="2" t="s">
        <v>73</v>
      </c>
      <c r="N122" s="2" t="s">
        <v>74</v>
      </c>
      <c r="O122" s="2" t="s">
        <v>375</v>
      </c>
      <c r="P122" s="2" t="s">
        <v>376</v>
      </c>
    </row>
    <row r="123" spans="1:16" ht="15.6" x14ac:dyDescent="0.3">
      <c r="A123" s="4">
        <v>1426262</v>
      </c>
      <c r="B123" s="4" t="s">
        <v>77</v>
      </c>
      <c r="C123" s="4" t="s">
        <v>30</v>
      </c>
      <c r="D123" s="4" t="str">
        <f t="shared" si="1"/>
        <v>IPL-2024</v>
      </c>
      <c r="E123" s="4">
        <f>YEAR('IPL Info'!$F123)</f>
        <v>2024</v>
      </c>
      <c r="F123" s="5">
        <v>45392</v>
      </c>
      <c r="G123" s="4" t="s">
        <v>30</v>
      </c>
      <c r="H123" s="4" t="s">
        <v>18</v>
      </c>
      <c r="I123" s="4" t="s">
        <v>19</v>
      </c>
      <c r="J123" s="4" t="s">
        <v>20</v>
      </c>
      <c r="K123" s="4" t="s">
        <v>30</v>
      </c>
      <c r="L123" s="4" t="s">
        <v>377</v>
      </c>
      <c r="M123" s="4" t="s">
        <v>47</v>
      </c>
      <c r="N123" s="4" t="s">
        <v>48</v>
      </c>
      <c r="O123" s="4" t="s">
        <v>378</v>
      </c>
      <c r="P123" s="4" t="s">
        <v>379</v>
      </c>
    </row>
    <row r="124" spans="1:16" ht="15.6" x14ac:dyDescent="0.3">
      <c r="A124" s="2">
        <v>1426261</v>
      </c>
      <c r="B124" s="2" t="s">
        <v>55</v>
      </c>
      <c r="C124" s="2" t="s">
        <v>17</v>
      </c>
      <c r="D124" s="2" t="str">
        <f t="shared" si="1"/>
        <v>IPL-2024</v>
      </c>
      <c r="E124" s="2">
        <f>YEAR('IPL Info'!$F124)</f>
        <v>2024</v>
      </c>
      <c r="F124" s="3">
        <v>45391</v>
      </c>
      <c r="G124" s="2" t="s">
        <v>17</v>
      </c>
      <c r="H124" s="2" t="s">
        <v>18</v>
      </c>
      <c r="I124" s="2" t="s">
        <v>19</v>
      </c>
      <c r="J124" s="2" t="s">
        <v>20</v>
      </c>
      <c r="K124" s="2" t="s">
        <v>55</v>
      </c>
      <c r="L124" s="2" t="s">
        <v>380</v>
      </c>
      <c r="M124" s="2" t="s">
        <v>38</v>
      </c>
      <c r="N124" s="2" t="s">
        <v>159</v>
      </c>
      <c r="O124" s="2" t="s">
        <v>381</v>
      </c>
      <c r="P124" s="2" t="s">
        <v>382</v>
      </c>
    </row>
    <row r="125" spans="1:16" ht="15.6" x14ac:dyDescent="0.3">
      <c r="A125" s="4">
        <v>1426260</v>
      </c>
      <c r="B125" s="4" t="s">
        <v>56</v>
      </c>
      <c r="C125" s="4" t="s">
        <v>51</v>
      </c>
      <c r="D125" s="4" t="str">
        <f t="shared" si="1"/>
        <v>IPL-2024</v>
      </c>
      <c r="E125" s="4">
        <f>YEAR('IPL Info'!$F125)</f>
        <v>2024</v>
      </c>
      <c r="F125" s="5">
        <v>45390</v>
      </c>
      <c r="G125" s="4" t="s">
        <v>51</v>
      </c>
      <c r="H125" s="4" t="s">
        <v>18</v>
      </c>
      <c r="I125" s="4" t="s">
        <v>19</v>
      </c>
      <c r="J125" s="4" t="s">
        <v>20</v>
      </c>
      <c r="K125" s="4" t="s">
        <v>51</v>
      </c>
      <c r="L125" s="4" t="s">
        <v>305</v>
      </c>
      <c r="M125" s="4" t="s">
        <v>125</v>
      </c>
      <c r="N125" s="4" t="s">
        <v>126</v>
      </c>
      <c r="O125" s="4" t="s">
        <v>383</v>
      </c>
      <c r="P125" s="4" t="s">
        <v>384</v>
      </c>
    </row>
    <row r="126" spans="1:16" ht="15.6" x14ac:dyDescent="0.3">
      <c r="A126" s="2">
        <v>1422138</v>
      </c>
      <c r="B126" s="2" t="s">
        <v>26</v>
      </c>
      <c r="C126" s="2" t="s">
        <v>62</v>
      </c>
      <c r="D126" s="2" t="str">
        <f t="shared" si="1"/>
        <v>IPL-2024</v>
      </c>
      <c r="E126" s="2">
        <f>YEAR('IPL Info'!$F126)</f>
        <v>2024</v>
      </c>
      <c r="F126" s="3">
        <v>45389</v>
      </c>
      <c r="G126" s="2" t="s">
        <v>62</v>
      </c>
      <c r="H126" s="2" t="s">
        <v>18</v>
      </c>
      <c r="I126" s="2" t="s">
        <v>19</v>
      </c>
      <c r="J126" s="2" t="s">
        <v>20</v>
      </c>
      <c r="K126" s="2" t="s">
        <v>26</v>
      </c>
      <c r="L126" s="2" t="s">
        <v>114</v>
      </c>
      <c r="M126" s="2" t="s">
        <v>73</v>
      </c>
      <c r="N126" s="2" t="s">
        <v>74</v>
      </c>
      <c r="O126" s="2" t="s">
        <v>385</v>
      </c>
      <c r="P126" s="2" t="s">
        <v>386</v>
      </c>
    </row>
    <row r="127" spans="1:16" ht="15.6" x14ac:dyDescent="0.3">
      <c r="A127" s="4">
        <v>1422139</v>
      </c>
      <c r="B127" s="4" t="s">
        <v>40</v>
      </c>
      <c r="C127" s="4" t="s">
        <v>30</v>
      </c>
      <c r="D127" s="4" t="str">
        <f t="shared" si="1"/>
        <v>IPL-2024</v>
      </c>
      <c r="E127" s="4">
        <f>YEAR('IPL Info'!$F127)</f>
        <v>2024</v>
      </c>
      <c r="F127" s="5">
        <v>45389</v>
      </c>
      <c r="G127" s="4" t="s">
        <v>40</v>
      </c>
      <c r="H127" s="4" t="s">
        <v>31</v>
      </c>
      <c r="I127" s="4" t="s">
        <v>19</v>
      </c>
      <c r="J127" s="4" t="s">
        <v>20</v>
      </c>
      <c r="K127" s="4" t="s">
        <v>40</v>
      </c>
      <c r="L127" s="4" t="s">
        <v>387</v>
      </c>
      <c r="M127" s="4" t="s">
        <v>42</v>
      </c>
      <c r="N127" s="4" t="s">
        <v>43</v>
      </c>
      <c r="O127" s="4" t="s">
        <v>388</v>
      </c>
      <c r="P127" s="4" t="s">
        <v>389</v>
      </c>
    </row>
    <row r="128" spans="1:16" ht="15.6" x14ac:dyDescent="0.3">
      <c r="A128" s="2">
        <v>1422137</v>
      </c>
      <c r="B128" s="2" t="s">
        <v>16</v>
      </c>
      <c r="C128" s="2" t="s">
        <v>77</v>
      </c>
      <c r="D128" s="2" t="str">
        <f t="shared" si="1"/>
        <v>IPL-2024</v>
      </c>
      <c r="E128" s="2">
        <f>YEAR('IPL Info'!$F128)</f>
        <v>2024</v>
      </c>
      <c r="F128" s="3">
        <v>45388</v>
      </c>
      <c r="G128" s="2" t="s">
        <v>77</v>
      </c>
      <c r="H128" s="2" t="s">
        <v>18</v>
      </c>
      <c r="I128" s="2" t="s">
        <v>19</v>
      </c>
      <c r="J128" s="2" t="s">
        <v>20</v>
      </c>
      <c r="K128" s="2" t="s">
        <v>77</v>
      </c>
      <c r="L128" s="2" t="s">
        <v>165</v>
      </c>
      <c r="M128" s="2" t="s">
        <v>47</v>
      </c>
      <c r="N128" s="2" t="s">
        <v>48</v>
      </c>
      <c r="O128" s="2" t="s">
        <v>390</v>
      </c>
      <c r="P128" s="2" t="s">
        <v>391</v>
      </c>
    </row>
    <row r="129" spans="1:16" ht="15.6" x14ac:dyDescent="0.3">
      <c r="A129" s="4">
        <v>1422136</v>
      </c>
      <c r="B129" s="4" t="s">
        <v>51</v>
      </c>
      <c r="C129" s="4" t="s">
        <v>55</v>
      </c>
      <c r="D129" s="4" t="str">
        <f t="shared" si="1"/>
        <v>IPL-2024</v>
      </c>
      <c r="E129" s="4">
        <f>YEAR('IPL Info'!$F129)</f>
        <v>2024</v>
      </c>
      <c r="F129" s="5">
        <v>45387</v>
      </c>
      <c r="G129" s="4" t="s">
        <v>55</v>
      </c>
      <c r="H129" s="4" t="s">
        <v>18</v>
      </c>
      <c r="I129" s="4" t="s">
        <v>19</v>
      </c>
      <c r="J129" s="4" t="s">
        <v>20</v>
      </c>
      <c r="K129" s="4" t="s">
        <v>55</v>
      </c>
      <c r="L129" s="4" t="s">
        <v>81</v>
      </c>
      <c r="M129" s="4" t="s">
        <v>104</v>
      </c>
      <c r="N129" s="4" t="s">
        <v>105</v>
      </c>
      <c r="O129" s="4" t="s">
        <v>392</v>
      </c>
      <c r="P129" s="4" t="s">
        <v>393</v>
      </c>
    </row>
    <row r="130" spans="1:16" ht="15.6" x14ac:dyDescent="0.3">
      <c r="A130" s="2">
        <v>1422135</v>
      </c>
      <c r="B130" s="2" t="s">
        <v>30</v>
      </c>
      <c r="C130" s="2" t="s">
        <v>17</v>
      </c>
      <c r="D130" s="2" t="str">
        <f t="shared" si="1"/>
        <v>IPL-2024</v>
      </c>
      <c r="E130" s="2">
        <f>YEAR('IPL Info'!$F130)</f>
        <v>2024</v>
      </c>
      <c r="F130" s="3">
        <v>45386</v>
      </c>
      <c r="G130" s="2" t="s">
        <v>17</v>
      </c>
      <c r="H130" s="2" t="s">
        <v>18</v>
      </c>
      <c r="I130" s="2" t="s">
        <v>19</v>
      </c>
      <c r="J130" s="2" t="s">
        <v>20</v>
      </c>
      <c r="K130" s="2" t="s">
        <v>17</v>
      </c>
      <c r="L130" s="2" t="s">
        <v>394</v>
      </c>
      <c r="M130" s="2" t="s">
        <v>22</v>
      </c>
      <c r="N130" s="2" t="s">
        <v>23</v>
      </c>
      <c r="O130" s="2" t="s">
        <v>395</v>
      </c>
      <c r="P130" s="2" t="s">
        <v>382</v>
      </c>
    </row>
    <row r="131" spans="1:16" ht="15.6" x14ac:dyDescent="0.3">
      <c r="A131" s="4">
        <v>1422134</v>
      </c>
      <c r="B131" s="4" t="s">
        <v>56</v>
      </c>
      <c r="C131" s="4" t="s">
        <v>62</v>
      </c>
      <c r="D131" s="4" t="str">
        <f t="shared" ref="D131:D194" si="2">_xlfn.SINGLE(_xlfn.CONCAT("IPL-",E131))</f>
        <v>IPL-2024</v>
      </c>
      <c r="E131" s="4">
        <f>YEAR('IPL Info'!$F131)</f>
        <v>2024</v>
      </c>
      <c r="F131" s="5">
        <v>45385</v>
      </c>
      <c r="G131" s="4" t="s">
        <v>56</v>
      </c>
      <c r="H131" s="4" t="s">
        <v>31</v>
      </c>
      <c r="I131" s="4" t="s">
        <v>19</v>
      </c>
      <c r="J131" s="4" t="s">
        <v>20</v>
      </c>
      <c r="K131" s="4" t="s">
        <v>56</v>
      </c>
      <c r="L131" s="4" t="s">
        <v>129</v>
      </c>
      <c r="M131" s="4" t="s">
        <v>231</v>
      </c>
      <c r="N131" s="4" t="s">
        <v>232</v>
      </c>
      <c r="O131" s="4" t="s">
        <v>396</v>
      </c>
      <c r="P131" s="4" t="s">
        <v>397</v>
      </c>
    </row>
    <row r="132" spans="1:16" ht="15.6" x14ac:dyDescent="0.3">
      <c r="A132" s="2">
        <v>1422133</v>
      </c>
      <c r="B132" s="2" t="s">
        <v>40</v>
      </c>
      <c r="C132" s="2" t="s">
        <v>16</v>
      </c>
      <c r="D132" s="2" t="str">
        <f t="shared" si="2"/>
        <v>IPL-2024</v>
      </c>
      <c r="E132" s="2">
        <f>YEAR('IPL Info'!$F132)</f>
        <v>2024</v>
      </c>
      <c r="F132" s="3">
        <v>45384</v>
      </c>
      <c r="G132" s="2" t="s">
        <v>16</v>
      </c>
      <c r="H132" s="2" t="s">
        <v>18</v>
      </c>
      <c r="I132" s="2" t="s">
        <v>19</v>
      </c>
      <c r="J132" s="2" t="s">
        <v>20</v>
      </c>
      <c r="K132" s="2" t="s">
        <v>40</v>
      </c>
      <c r="L132" s="2" t="s">
        <v>398</v>
      </c>
      <c r="M132" s="2" t="s">
        <v>115</v>
      </c>
      <c r="N132" s="2" t="s">
        <v>116</v>
      </c>
      <c r="O132" s="2" t="s">
        <v>399</v>
      </c>
      <c r="P132" s="2" t="s">
        <v>400</v>
      </c>
    </row>
    <row r="133" spans="1:16" ht="15.6" x14ac:dyDescent="0.3">
      <c r="A133" s="4">
        <v>1422132</v>
      </c>
      <c r="B133" s="4" t="s">
        <v>26</v>
      </c>
      <c r="C133" s="4" t="s">
        <v>77</v>
      </c>
      <c r="D133" s="4" t="str">
        <f t="shared" si="2"/>
        <v>IPL-2024</v>
      </c>
      <c r="E133" s="4">
        <f>YEAR('IPL Info'!$F133)</f>
        <v>2024</v>
      </c>
      <c r="F133" s="5">
        <v>45383</v>
      </c>
      <c r="G133" s="4" t="s">
        <v>77</v>
      </c>
      <c r="H133" s="4" t="s">
        <v>18</v>
      </c>
      <c r="I133" s="4" t="s">
        <v>19</v>
      </c>
      <c r="J133" s="4" t="s">
        <v>20</v>
      </c>
      <c r="K133" s="4" t="s">
        <v>77</v>
      </c>
      <c r="L133" s="4" t="s">
        <v>148</v>
      </c>
      <c r="M133" s="4" t="s">
        <v>73</v>
      </c>
      <c r="N133" s="4" t="s">
        <v>74</v>
      </c>
      <c r="O133" s="4" t="s">
        <v>401</v>
      </c>
      <c r="P133" s="4" t="s">
        <v>402</v>
      </c>
    </row>
    <row r="134" spans="1:16" ht="15.6" x14ac:dyDescent="0.3">
      <c r="A134" s="2">
        <v>1422130</v>
      </c>
      <c r="B134" s="2" t="s">
        <v>55</v>
      </c>
      <c r="C134" s="2" t="s">
        <v>30</v>
      </c>
      <c r="D134" s="2" t="str">
        <f t="shared" si="2"/>
        <v>IPL-2024</v>
      </c>
      <c r="E134" s="2">
        <f>YEAR('IPL Info'!$F134)</f>
        <v>2024</v>
      </c>
      <c r="F134" s="3">
        <v>45382</v>
      </c>
      <c r="G134" s="2" t="s">
        <v>55</v>
      </c>
      <c r="H134" s="2" t="s">
        <v>31</v>
      </c>
      <c r="I134" s="2" t="s">
        <v>19</v>
      </c>
      <c r="J134" s="2" t="s">
        <v>20</v>
      </c>
      <c r="K134" s="2" t="s">
        <v>30</v>
      </c>
      <c r="L134" s="2" t="s">
        <v>403</v>
      </c>
      <c r="M134" s="2" t="s">
        <v>22</v>
      </c>
      <c r="N134" s="2" t="s">
        <v>23</v>
      </c>
      <c r="O134" s="2" t="s">
        <v>404</v>
      </c>
      <c r="P134" s="2" t="s">
        <v>405</v>
      </c>
    </row>
    <row r="135" spans="1:16" ht="15.6" x14ac:dyDescent="0.3">
      <c r="A135" s="4">
        <v>1422131</v>
      </c>
      <c r="B135" s="4" t="s">
        <v>62</v>
      </c>
      <c r="C135" s="4" t="s">
        <v>51</v>
      </c>
      <c r="D135" s="4" t="str">
        <f t="shared" si="2"/>
        <v>IPL-2024</v>
      </c>
      <c r="E135" s="4">
        <f>YEAR('IPL Info'!$F135)</f>
        <v>2024</v>
      </c>
      <c r="F135" s="5">
        <v>45382</v>
      </c>
      <c r="G135" s="4" t="s">
        <v>62</v>
      </c>
      <c r="H135" s="4" t="s">
        <v>31</v>
      </c>
      <c r="I135" s="4" t="s">
        <v>19</v>
      </c>
      <c r="J135" s="4" t="s">
        <v>20</v>
      </c>
      <c r="K135" s="4" t="s">
        <v>62</v>
      </c>
      <c r="L135" s="4" t="s">
        <v>406</v>
      </c>
      <c r="M135" s="4" t="s">
        <v>231</v>
      </c>
      <c r="N135" s="4" t="s">
        <v>232</v>
      </c>
      <c r="O135" s="4" t="s">
        <v>407</v>
      </c>
      <c r="P135" s="4" t="s">
        <v>408</v>
      </c>
    </row>
    <row r="136" spans="1:16" ht="15.6" x14ac:dyDescent="0.3">
      <c r="A136" s="2">
        <v>1422129</v>
      </c>
      <c r="B136" s="2" t="s">
        <v>40</v>
      </c>
      <c r="C136" s="2" t="s">
        <v>17</v>
      </c>
      <c r="D136" s="2" t="str">
        <f t="shared" si="2"/>
        <v>IPL-2024</v>
      </c>
      <c r="E136" s="2">
        <f>YEAR('IPL Info'!$F136)</f>
        <v>2024</v>
      </c>
      <c r="F136" s="3">
        <v>45381</v>
      </c>
      <c r="G136" s="2" t="s">
        <v>40</v>
      </c>
      <c r="H136" s="2" t="s">
        <v>31</v>
      </c>
      <c r="I136" s="2" t="s">
        <v>19</v>
      </c>
      <c r="J136" s="2" t="s">
        <v>20</v>
      </c>
      <c r="K136" s="2" t="s">
        <v>40</v>
      </c>
      <c r="L136" s="2" t="s">
        <v>398</v>
      </c>
      <c r="M136" s="2" t="s">
        <v>42</v>
      </c>
      <c r="N136" s="2" t="s">
        <v>43</v>
      </c>
      <c r="O136" s="2" t="s">
        <v>409</v>
      </c>
      <c r="P136" s="2" t="s">
        <v>410</v>
      </c>
    </row>
    <row r="137" spans="1:16" ht="15.6" x14ac:dyDescent="0.3">
      <c r="A137" s="4">
        <v>1422128</v>
      </c>
      <c r="B137" s="4" t="s">
        <v>16</v>
      </c>
      <c r="C137" s="4" t="s">
        <v>56</v>
      </c>
      <c r="D137" s="4" t="str">
        <f t="shared" si="2"/>
        <v>IPL-2024</v>
      </c>
      <c r="E137" s="4">
        <f>YEAR('IPL Info'!$F137)</f>
        <v>2024</v>
      </c>
      <c r="F137" s="5">
        <v>45380</v>
      </c>
      <c r="G137" s="4" t="s">
        <v>56</v>
      </c>
      <c r="H137" s="4" t="s">
        <v>18</v>
      </c>
      <c r="I137" s="4" t="s">
        <v>19</v>
      </c>
      <c r="J137" s="4" t="s">
        <v>20</v>
      </c>
      <c r="K137" s="4" t="s">
        <v>56</v>
      </c>
      <c r="L137" s="4" t="s">
        <v>129</v>
      </c>
      <c r="M137" s="4" t="s">
        <v>115</v>
      </c>
      <c r="N137" s="4" t="s">
        <v>116</v>
      </c>
      <c r="O137" s="4" t="s">
        <v>411</v>
      </c>
      <c r="P137" s="4" t="s">
        <v>412</v>
      </c>
    </row>
    <row r="138" spans="1:16" ht="15.6" x14ac:dyDescent="0.3">
      <c r="A138" s="2">
        <v>1422127</v>
      </c>
      <c r="B138" s="2" t="s">
        <v>77</v>
      </c>
      <c r="C138" s="2" t="s">
        <v>62</v>
      </c>
      <c r="D138" s="2" t="str">
        <f t="shared" si="2"/>
        <v>IPL-2024</v>
      </c>
      <c r="E138" s="2">
        <f>YEAR('IPL Info'!$F138)</f>
        <v>2024</v>
      </c>
      <c r="F138" s="3">
        <v>45379</v>
      </c>
      <c r="G138" s="2" t="s">
        <v>62</v>
      </c>
      <c r="H138" s="2" t="s">
        <v>18</v>
      </c>
      <c r="I138" s="2" t="s">
        <v>19</v>
      </c>
      <c r="J138" s="2" t="s">
        <v>20</v>
      </c>
      <c r="K138" s="2" t="s">
        <v>77</v>
      </c>
      <c r="L138" s="2" t="s">
        <v>413</v>
      </c>
      <c r="M138" s="2" t="s">
        <v>47</v>
      </c>
      <c r="N138" s="2" t="s">
        <v>48</v>
      </c>
      <c r="O138" s="2" t="s">
        <v>414</v>
      </c>
      <c r="P138" s="2" t="s">
        <v>415</v>
      </c>
    </row>
    <row r="139" spans="1:16" ht="15.6" x14ac:dyDescent="0.3">
      <c r="A139" s="4">
        <v>1422126</v>
      </c>
      <c r="B139" s="4" t="s">
        <v>55</v>
      </c>
      <c r="C139" s="4" t="s">
        <v>26</v>
      </c>
      <c r="D139" s="4" t="str">
        <f t="shared" si="2"/>
        <v>IPL-2024</v>
      </c>
      <c r="E139" s="4">
        <f>YEAR('IPL Info'!$F139)</f>
        <v>2024</v>
      </c>
      <c r="F139" s="5">
        <v>45378</v>
      </c>
      <c r="G139" s="4" t="s">
        <v>26</v>
      </c>
      <c r="H139" s="4" t="s">
        <v>18</v>
      </c>
      <c r="I139" s="4" t="s">
        <v>19</v>
      </c>
      <c r="J139" s="4" t="s">
        <v>20</v>
      </c>
      <c r="K139" s="4" t="s">
        <v>55</v>
      </c>
      <c r="L139" s="4" t="s">
        <v>81</v>
      </c>
      <c r="M139" s="4" t="s">
        <v>104</v>
      </c>
      <c r="N139" s="4" t="s">
        <v>105</v>
      </c>
      <c r="O139" s="4" t="s">
        <v>416</v>
      </c>
      <c r="P139" s="4" t="s">
        <v>417</v>
      </c>
    </row>
    <row r="140" spans="1:16" ht="15.6" x14ac:dyDescent="0.3">
      <c r="A140" s="2">
        <v>1422125</v>
      </c>
      <c r="B140" s="2" t="s">
        <v>51</v>
      </c>
      <c r="C140" s="2" t="s">
        <v>30</v>
      </c>
      <c r="D140" s="2" t="str">
        <f t="shared" si="2"/>
        <v>IPL-2024</v>
      </c>
      <c r="E140" s="2">
        <f>YEAR('IPL Info'!$F140)</f>
        <v>2024</v>
      </c>
      <c r="F140" s="3">
        <v>45377</v>
      </c>
      <c r="G140" s="2" t="s">
        <v>30</v>
      </c>
      <c r="H140" s="2" t="s">
        <v>18</v>
      </c>
      <c r="I140" s="2" t="s">
        <v>19</v>
      </c>
      <c r="J140" s="2" t="s">
        <v>20</v>
      </c>
      <c r="K140" s="2" t="s">
        <v>51</v>
      </c>
      <c r="L140" s="2" t="s">
        <v>418</v>
      </c>
      <c r="M140" s="2" t="s">
        <v>125</v>
      </c>
      <c r="N140" s="2" t="s">
        <v>126</v>
      </c>
      <c r="O140" s="2" t="s">
        <v>419</v>
      </c>
      <c r="P140" s="2" t="s">
        <v>420</v>
      </c>
    </row>
    <row r="141" spans="1:16" ht="15.6" x14ac:dyDescent="0.3">
      <c r="A141" s="4">
        <v>1422124</v>
      </c>
      <c r="B141" s="4" t="s">
        <v>17</v>
      </c>
      <c r="C141" s="4" t="s">
        <v>16</v>
      </c>
      <c r="D141" s="4" t="str">
        <f t="shared" si="2"/>
        <v>IPL-2024</v>
      </c>
      <c r="E141" s="4">
        <f>YEAR('IPL Info'!$F141)</f>
        <v>2024</v>
      </c>
      <c r="F141" s="5">
        <v>45376</v>
      </c>
      <c r="G141" s="4" t="s">
        <v>16</v>
      </c>
      <c r="H141" s="4" t="s">
        <v>18</v>
      </c>
      <c r="I141" s="4" t="s">
        <v>19</v>
      </c>
      <c r="J141" s="4" t="s">
        <v>20</v>
      </c>
      <c r="K141" s="4" t="s">
        <v>16</v>
      </c>
      <c r="L141" s="4" t="s">
        <v>158</v>
      </c>
      <c r="M141" s="4" t="s">
        <v>115</v>
      </c>
      <c r="N141" s="4" t="s">
        <v>116</v>
      </c>
      <c r="O141" s="4" t="s">
        <v>421</v>
      </c>
      <c r="P141" s="4" t="s">
        <v>422</v>
      </c>
    </row>
    <row r="142" spans="1:16" ht="15.6" x14ac:dyDescent="0.3">
      <c r="A142" s="2">
        <v>1422123</v>
      </c>
      <c r="B142" s="2" t="s">
        <v>30</v>
      </c>
      <c r="C142" s="2" t="s">
        <v>26</v>
      </c>
      <c r="D142" s="2" t="str">
        <f t="shared" si="2"/>
        <v>IPL-2024</v>
      </c>
      <c r="E142" s="2">
        <f>YEAR('IPL Info'!$F142)</f>
        <v>2024</v>
      </c>
      <c r="F142" s="3">
        <v>45375</v>
      </c>
      <c r="G142" s="2" t="s">
        <v>26</v>
      </c>
      <c r="H142" s="2" t="s">
        <v>18</v>
      </c>
      <c r="I142" s="2" t="s">
        <v>19</v>
      </c>
      <c r="J142" s="2" t="s">
        <v>20</v>
      </c>
      <c r="K142" s="2" t="s">
        <v>30</v>
      </c>
      <c r="L142" s="2" t="s">
        <v>84</v>
      </c>
      <c r="M142" s="2" t="s">
        <v>22</v>
      </c>
      <c r="N142" s="2" t="s">
        <v>23</v>
      </c>
      <c r="O142" s="2" t="s">
        <v>423</v>
      </c>
      <c r="P142" s="2" t="s">
        <v>424</v>
      </c>
    </row>
    <row r="143" spans="1:16" ht="15.6" x14ac:dyDescent="0.3">
      <c r="A143" s="4">
        <v>1422122</v>
      </c>
      <c r="B143" s="4" t="s">
        <v>77</v>
      </c>
      <c r="C143" s="4" t="s">
        <v>40</v>
      </c>
      <c r="D143" s="4" t="str">
        <f t="shared" si="2"/>
        <v>IPL-2024</v>
      </c>
      <c r="E143" s="4">
        <f>YEAR('IPL Info'!$F143)</f>
        <v>2024</v>
      </c>
      <c r="F143" s="5">
        <v>45375</v>
      </c>
      <c r="G143" s="4" t="s">
        <v>77</v>
      </c>
      <c r="H143" s="4" t="s">
        <v>31</v>
      </c>
      <c r="I143" s="4" t="s">
        <v>19</v>
      </c>
      <c r="J143" s="4" t="s">
        <v>20</v>
      </c>
      <c r="K143" s="4" t="s">
        <v>77</v>
      </c>
      <c r="L143" s="4" t="s">
        <v>331</v>
      </c>
      <c r="M143" s="4" t="s">
        <v>47</v>
      </c>
      <c r="N143" s="4" t="s">
        <v>48</v>
      </c>
      <c r="O143" s="4" t="s">
        <v>425</v>
      </c>
      <c r="P143" s="4" t="s">
        <v>426</v>
      </c>
    </row>
    <row r="144" spans="1:16" ht="15.6" x14ac:dyDescent="0.3">
      <c r="A144" s="2">
        <v>1422121</v>
      </c>
      <c r="B144" s="2" t="s">
        <v>56</v>
      </c>
      <c r="C144" s="2" t="s">
        <v>55</v>
      </c>
      <c r="D144" s="2" t="str">
        <f t="shared" si="2"/>
        <v>IPL-2024</v>
      </c>
      <c r="E144" s="2">
        <f>YEAR('IPL Info'!$F144)</f>
        <v>2024</v>
      </c>
      <c r="F144" s="3">
        <v>45374</v>
      </c>
      <c r="G144" s="2" t="s">
        <v>55</v>
      </c>
      <c r="H144" s="2" t="s">
        <v>18</v>
      </c>
      <c r="I144" s="2" t="s">
        <v>19</v>
      </c>
      <c r="J144" s="2" t="s">
        <v>20</v>
      </c>
      <c r="K144" s="2" t="s">
        <v>56</v>
      </c>
      <c r="L144" s="2" t="s">
        <v>111</v>
      </c>
      <c r="M144" s="2" t="s">
        <v>97</v>
      </c>
      <c r="N144" s="2" t="s">
        <v>98</v>
      </c>
      <c r="O144" s="2" t="s">
        <v>427</v>
      </c>
      <c r="P144" s="2" t="s">
        <v>428</v>
      </c>
    </row>
    <row r="145" spans="1:16" ht="15.6" x14ac:dyDescent="0.3">
      <c r="A145" s="4">
        <v>1422120</v>
      </c>
      <c r="B145" s="4" t="s">
        <v>62</v>
      </c>
      <c r="C145" s="4" t="s">
        <v>17</v>
      </c>
      <c r="D145" s="4" t="str">
        <f t="shared" si="2"/>
        <v>IPL-2024</v>
      </c>
      <c r="E145" s="4">
        <f>YEAR('IPL Info'!$F145)</f>
        <v>2024</v>
      </c>
      <c r="F145" s="5">
        <v>45374</v>
      </c>
      <c r="G145" s="4" t="s">
        <v>17</v>
      </c>
      <c r="H145" s="4" t="s">
        <v>18</v>
      </c>
      <c r="I145" s="4" t="s">
        <v>19</v>
      </c>
      <c r="J145" s="4" t="s">
        <v>20</v>
      </c>
      <c r="K145" s="4" t="s">
        <v>17</v>
      </c>
      <c r="L145" s="4" t="s">
        <v>276</v>
      </c>
      <c r="M145" s="4" t="s">
        <v>38</v>
      </c>
      <c r="N145" s="4" t="s">
        <v>159</v>
      </c>
      <c r="O145" s="4" t="s">
        <v>429</v>
      </c>
      <c r="P145" s="4" t="s">
        <v>430</v>
      </c>
    </row>
    <row r="146" spans="1:16" ht="15.6" x14ac:dyDescent="0.3">
      <c r="A146" s="2">
        <v>1422119</v>
      </c>
      <c r="B146" s="2" t="s">
        <v>16</v>
      </c>
      <c r="C146" s="2" t="s">
        <v>51</v>
      </c>
      <c r="D146" s="2" t="str">
        <f t="shared" si="2"/>
        <v>IPL-2024</v>
      </c>
      <c r="E146" s="2">
        <f>YEAR('IPL Info'!$F146)</f>
        <v>2024</v>
      </c>
      <c r="F146" s="3">
        <v>45373</v>
      </c>
      <c r="G146" s="2" t="s">
        <v>16</v>
      </c>
      <c r="H146" s="2" t="s">
        <v>31</v>
      </c>
      <c r="I146" s="2" t="s">
        <v>19</v>
      </c>
      <c r="J146" s="2" t="s">
        <v>20</v>
      </c>
      <c r="K146" s="2" t="s">
        <v>51</v>
      </c>
      <c r="L146" s="2" t="s">
        <v>431</v>
      </c>
      <c r="M146" s="2" t="s">
        <v>125</v>
      </c>
      <c r="N146" s="2" t="s">
        <v>126</v>
      </c>
      <c r="O146" s="2" t="s">
        <v>432</v>
      </c>
      <c r="P146" s="2" t="s">
        <v>433</v>
      </c>
    </row>
    <row r="147" spans="1:16" ht="15.6" x14ac:dyDescent="0.3">
      <c r="A147" s="4">
        <v>1370353</v>
      </c>
      <c r="B147" s="4" t="s">
        <v>30</v>
      </c>
      <c r="C147" s="4" t="s">
        <v>51</v>
      </c>
      <c r="D147" s="4" t="str">
        <f t="shared" si="2"/>
        <v>IPL-2023</v>
      </c>
      <c r="E147" s="4">
        <f>YEAR('IPL Info'!$F147)</f>
        <v>2023</v>
      </c>
      <c r="F147" s="5">
        <v>45075</v>
      </c>
      <c r="G147" s="4" t="s">
        <v>51</v>
      </c>
      <c r="H147" s="4" t="s">
        <v>18</v>
      </c>
      <c r="I147" s="4" t="s">
        <v>19</v>
      </c>
      <c r="J147" s="4" t="s">
        <v>20</v>
      </c>
      <c r="K147" s="4" t="s">
        <v>51</v>
      </c>
      <c r="L147" s="4" t="s">
        <v>434</v>
      </c>
      <c r="M147" s="4" t="s">
        <v>22</v>
      </c>
      <c r="N147" s="4" t="s">
        <v>23</v>
      </c>
      <c r="O147" s="4" t="s">
        <v>435</v>
      </c>
      <c r="P147" s="4" t="s">
        <v>436</v>
      </c>
    </row>
    <row r="148" spans="1:16" ht="15.6" x14ac:dyDescent="0.3">
      <c r="A148" s="2">
        <v>1370352</v>
      </c>
      <c r="B148" s="2" t="s">
        <v>30</v>
      </c>
      <c r="C148" s="2" t="s">
        <v>26</v>
      </c>
      <c r="D148" s="2" t="str">
        <f t="shared" si="2"/>
        <v>IPL-2023</v>
      </c>
      <c r="E148" s="2">
        <f>YEAR('IPL Info'!$F148)</f>
        <v>2023</v>
      </c>
      <c r="F148" s="3">
        <v>45072</v>
      </c>
      <c r="G148" s="2" t="s">
        <v>26</v>
      </c>
      <c r="H148" s="2" t="s">
        <v>18</v>
      </c>
      <c r="I148" s="2" t="s">
        <v>19</v>
      </c>
      <c r="J148" s="2" t="s">
        <v>20</v>
      </c>
      <c r="K148" s="2" t="s">
        <v>30</v>
      </c>
      <c r="L148" s="2" t="s">
        <v>101</v>
      </c>
      <c r="M148" s="2" t="s">
        <v>22</v>
      </c>
      <c r="N148" s="2" t="s">
        <v>23</v>
      </c>
      <c r="O148" s="2" t="s">
        <v>437</v>
      </c>
      <c r="P148" s="2" t="s">
        <v>438</v>
      </c>
    </row>
    <row r="149" spans="1:16" ht="15.6" x14ac:dyDescent="0.3">
      <c r="A149" s="4">
        <v>1370351</v>
      </c>
      <c r="B149" s="4" t="s">
        <v>26</v>
      </c>
      <c r="C149" s="4" t="s">
        <v>40</v>
      </c>
      <c r="D149" s="4" t="str">
        <f t="shared" si="2"/>
        <v>IPL-2023</v>
      </c>
      <c r="E149" s="4">
        <f>YEAR('IPL Info'!$F149)</f>
        <v>2023</v>
      </c>
      <c r="F149" s="5">
        <v>45070</v>
      </c>
      <c r="G149" s="4" t="s">
        <v>26</v>
      </c>
      <c r="H149" s="4" t="s">
        <v>31</v>
      </c>
      <c r="I149" s="4" t="s">
        <v>19</v>
      </c>
      <c r="J149" s="4" t="s">
        <v>20</v>
      </c>
      <c r="K149" s="4" t="s">
        <v>26</v>
      </c>
      <c r="L149" s="4" t="s">
        <v>78</v>
      </c>
      <c r="M149" s="4" t="s">
        <v>125</v>
      </c>
      <c r="N149" s="4" t="s">
        <v>126</v>
      </c>
      <c r="O149" s="4" t="s">
        <v>439</v>
      </c>
      <c r="P149" s="4" t="s">
        <v>440</v>
      </c>
    </row>
    <row r="150" spans="1:16" ht="15.6" x14ac:dyDescent="0.3">
      <c r="A150" s="2">
        <v>1370350</v>
      </c>
      <c r="B150" s="2" t="s">
        <v>51</v>
      </c>
      <c r="C150" s="2" t="s">
        <v>30</v>
      </c>
      <c r="D150" s="2" t="str">
        <f t="shared" si="2"/>
        <v>IPL-2023</v>
      </c>
      <c r="E150" s="2">
        <f>YEAR('IPL Info'!$F150)</f>
        <v>2023</v>
      </c>
      <c r="F150" s="3">
        <v>45069</v>
      </c>
      <c r="G150" s="2" t="s">
        <v>30</v>
      </c>
      <c r="H150" s="2" t="s">
        <v>18</v>
      </c>
      <c r="I150" s="2" t="s">
        <v>19</v>
      </c>
      <c r="J150" s="2" t="s">
        <v>20</v>
      </c>
      <c r="K150" s="2" t="s">
        <v>51</v>
      </c>
      <c r="L150" s="2" t="s">
        <v>325</v>
      </c>
      <c r="M150" s="2" t="s">
        <v>125</v>
      </c>
      <c r="N150" s="2" t="s">
        <v>126</v>
      </c>
      <c r="O150" s="2" t="s">
        <v>441</v>
      </c>
      <c r="P150" s="2" t="s">
        <v>442</v>
      </c>
    </row>
    <row r="151" spans="1:16" ht="15.6" x14ac:dyDescent="0.3">
      <c r="A151" s="4">
        <v>1359543</v>
      </c>
      <c r="B151" s="4" t="s">
        <v>55</v>
      </c>
      <c r="C151" s="4" t="s">
        <v>26</v>
      </c>
      <c r="D151" s="4" t="str">
        <f t="shared" si="2"/>
        <v>IPL-2023</v>
      </c>
      <c r="E151" s="4">
        <f>YEAR('IPL Info'!$F151)</f>
        <v>2023</v>
      </c>
      <c r="F151" s="5">
        <v>45067</v>
      </c>
      <c r="G151" s="4" t="s">
        <v>26</v>
      </c>
      <c r="H151" s="4" t="s">
        <v>18</v>
      </c>
      <c r="I151" s="4" t="s">
        <v>19</v>
      </c>
      <c r="J151" s="4" t="s">
        <v>20</v>
      </c>
      <c r="K151" s="4" t="s">
        <v>26</v>
      </c>
      <c r="L151" s="4" t="s">
        <v>282</v>
      </c>
      <c r="M151" s="4" t="s">
        <v>73</v>
      </c>
      <c r="N151" s="4" t="s">
        <v>74</v>
      </c>
      <c r="O151" s="4" t="s">
        <v>443</v>
      </c>
      <c r="P151" s="4" t="s">
        <v>444</v>
      </c>
    </row>
    <row r="152" spans="1:16" ht="15.6" x14ac:dyDescent="0.3">
      <c r="A152" s="2">
        <v>1359544</v>
      </c>
      <c r="B152" s="2" t="s">
        <v>445</v>
      </c>
      <c r="C152" s="2" t="s">
        <v>30</v>
      </c>
      <c r="D152" s="2" t="str">
        <f t="shared" si="2"/>
        <v>IPL-2023</v>
      </c>
      <c r="E152" s="2">
        <f>YEAR('IPL Info'!$F152)</f>
        <v>2023</v>
      </c>
      <c r="F152" s="3">
        <v>45067</v>
      </c>
      <c r="G152" s="2" t="s">
        <v>30</v>
      </c>
      <c r="H152" s="2" t="s">
        <v>18</v>
      </c>
      <c r="I152" s="2" t="s">
        <v>19</v>
      </c>
      <c r="J152" s="2" t="s">
        <v>20</v>
      </c>
      <c r="K152" s="2" t="s">
        <v>30</v>
      </c>
      <c r="L152" s="2" t="s">
        <v>101</v>
      </c>
      <c r="M152" s="2" t="s">
        <v>115</v>
      </c>
      <c r="N152" s="2" t="s">
        <v>116</v>
      </c>
      <c r="O152" s="2" t="s">
        <v>446</v>
      </c>
      <c r="P152" s="2" t="s">
        <v>447</v>
      </c>
    </row>
    <row r="153" spans="1:16" ht="15.6" x14ac:dyDescent="0.3">
      <c r="A153" s="4">
        <v>1359542</v>
      </c>
      <c r="B153" s="4" t="s">
        <v>40</v>
      </c>
      <c r="C153" s="4" t="s">
        <v>56</v>
      </c>
      <c r="D153" s="4" t="str">
        <f t="shared" si="2"/>
        <v>IPL-2023</v>
      </c>
      <c r="E153" s="4">
        <f>YEAR('IPL Info'!$F153)</f>
        <v>2023</v>
      </c>
      <c r="F153" s="5">
        <v>45066</v>
      </c>
      <c r="G153" s="4" t="s">
        <v>56</v>
      </c>
      <c r="H153" s="4" t="s">
        <v>18</v>
      </c>
      <c r="I153" s="4" t="s">
        <v>19</v>
      </c>
      <c r="J153" s="4" t="s">
        <v>20</v>
      </c>
      <c r="K153" s="4" t="s">
        <v>40</v>
      </c>
      <c r="L153" s="4" t="s">
        <v>201</v>
      </c>
      <c r="M153" s="4" t="s">
        <v>97</v>
      </c>
      <c r="N153" s="4" t="s">
        <v>98</v>
      </c>
      <c r="O153" s="4" t="s">
        <v>448</v>
      </c>
      <c r="P153" s="4" t="s">
        <v>449</v>
      </c>
    </row>
    <row r="154" spans="1:16" ht="15.6" x14ac:dyDescent="0.3">
      <c r="A154" s="2">
        <v>1359541</v>
      </c>
      <c r="B154" s="2" t="s">
        <v>51</v>
      </c>
      <c r="C154" s="2" t="s">
        <v>62</v>
      </c>
      <c r="D154" s="2" t="str">
        <f t="shared" si="2"/>
        <v>IPL-2023</v>
      </c>
      <c r="E154" s="2">
        <f>YEAR('IPL Info'!$F154)</f>
        <v>2023</v>
      </c>
      <c r="F154" s="3">
        <v>45066</v>
      </c>
      <c r="G154" s="2" t="s">
        <v>51</v>
      </c>
      <c r="H154" s="2" t="s">
        <v>31</v>
      </c>
      <c r="I154" s="2" t="s">
        <v>19</v>
      </c>
      <c r="J154" s="2" t="s">
        <v>20</v>
      </c>
      <c r="K154" s="2" t="s">
        <v>51</v>
      </c>
      <c r="L154" s="2" t="s">
        <v>325</v>
      </c>
      <c r="M154" s="2" t="s">
        <v>58</v>
      </c>
      <c r="N154" s="2" t="s">
        <v>59</v>
      </c>
      <c r="O154" s="2" t="s">
        <v>450</v>
      </c>
      <c r="P154" s="2" t="s">
        <v>451</v>
      </c>
    </row>
    <row r="155" spans="1:16" ht="15.6" x14ac:dyDescent="0.3">
      <c r="A155" s="4">
        <v>1359540</v>
      </c>
      <c r="B155" s="4" t="s">
        <v>17</v>
      </c>
      <c r="C155" s="4" t="s">
        <v>77</v>
      </c>
      <c r="D155" s="4" t="str">
        <f t="shared" si="2"/>
        <v>IPL-2023</v>
      </c>
      <c r="E155" s="4">
        <f>YEAR('IPL Info'!$F155)</f>
        <v>2023</v>
      </c>
      <c r="F155" s="5">
        <v>45065</v>
      </c>
      <c r="G155" s="4" t="s">
        <v>77</v>
      </c>
      <c r="H155" s="4" t="s">
        <v>18</v>
      </c>
      <c r="I155" s="4" t="s">
        <v>19</v>
      </c>
      <c r="J155" s="4" t="s">
        <v>20</v>
      </c>
      <c r="K155" s="4" t="s">
        <v>77</v>
      </c>
      <c r="L155" s="4" t="s">
        <v>452</v>
      </c>
      <c r="M155" s="4" t="s">
        <v>92</v>
      </c>
      <c r="N155" s="4" t="s">
        <v>93</v>
      </c>
      <c r="O155" s="4" t="s">
        <v>453</v>
      </c>
      <c r="P155" s="4" t="s">
        <v>454</v>
      </c>
    </row>
    <row r="156" spans="1:16" ht="15.6" x14ac:dyDescent="0.3">
      <c r="A156" s="2">
        <v>1359539</v>
      </c>
      <c r="B156" s="2" t="s">
        <v>55</v>
      </c>
      <c r="C156" s="2" t="s">
        <v>445</v>
      </c>
      <c r="D156" s="2" t="str">
        <f t="shared" si="2"/>
        <v>IPL-2023</v>
      </c>
      <c r="E156" s="2">
        <f>YEAR('IPL Info'!$F156)</f>
        <v>2023</v>
      </c>
      <c r="F156" s="3">
        <v>45064</v>
      </c>
      <c r="G156" s="2" t="s">
        <v>445</v>
      </c>
      <c r="H156" s="2" t="s">
        <v>18</v>
      </c>
      <c r="I156" s="2" t="s">
        <v>19</v>
      </c>
      <c r="J156" s="2" t="s">
        <v>20</v>
      </c>
      <c r="K156" s="2" t="s">
        <v>445</v>
      </c>
      <c r="L156" s="2" t="s">
        <v>158</v>
      </c>
      <c r="M156" s="2" t="s">
        <v>104</v>
      </c>
      <c r="N156" s="2" t="s">
        <v>105</v>
      </c>
      <c r="O156" s="2" t="s">
        <v>455</v>
      </c>
      <c r="P156" s="2" t="s">
        <v>456</v>
      </c>
    </row>
    <row r="157" spans="1:16" ht="15.6" x14ac:dyDescent="0.3">
      <c r="A157" s="4">
        <v>1359538</v>
      </c>
      <c r="B157" s="4" t="s">
        <v>62</v>
      </c>
      <c r="C157" s="4" t="s">
        <v>17</v>
      </c>
      <c r="D157" s="4" t="str">
        <f t="shared" si="2"/>
        <v>IPL-2023</v>
      </c>
      <c r="E157" s="4">
        <f>YEAR('IPL Info'!$F157)</f>
        <v>2023</v>
      </c>
      <c r="F157" s="5">
        <v>45063</v>
      </c>
      <c r="G157" s="4" t="s">
        <v>17</v>
      </c>
      <c r="H157" s="4" t="s">
        <v>18</v>
      </c>
      <c r="I157" s="4" t="s">
        <v>19</v>
      </c>
      <c r="J157" s="4" t="s">
        <v>20</v>
      </c>
      <c r="K157" s="4" t="s">
        <v>62</v>
      </c>
      <c r="L157" s="4" t="s">
        <v>457</v>
      </c>
      <c r="M157" s="4" t="s">
        <v>92</v>
      </c>
      <c r="N157" s="4" t="s">
        <v>93</v>
      </c>
      <c r="O157" s="4" t="s">
        <v>458</v>
      </c>
      <c r="P157" s="4" t="s">
        <v>459</v>
      </c>
    </row>
    <row r="158" spans="1:16" ht="15.6" x14ac:dyDescent="0.3">
      <c r="A158" s="2">
        <v>1359537</v>
      </c>
      <c r="B158" s="2" t="s">
        <v>40</v>
      </c>
      <c r="C158" s="2" t="s">
        <v>26</v>
      </c>
      <c r="D158" s="2" t="str">
        <f t="shared" si="2"/>
        <v>IPL-2023</v>
      </c>
      <c r="E158" s="2">
        <f>YEAR('IPL Info'!$F158)</f>
        <v>2023</v>
      </c>
      <c r="F158" s="3">
        <v>45062</v>
      </c>
      <c r="G158" s="2" t="s">
        <v>26</v>
      </c>
      <c r="H158" s="2" t="s">
        <v>18</v>
      </c>
      <c r="I158" s="2" t="s">
        <v>19</v>
      </c>
      <c r="J158" s="2" t="s">
        <v>20</v>
      </c>
      <c r="K158" s="2" t="s">
        <v>40</v>
      </c>
      <c r="L158" s="2" t="s">
        <v>318</v>
      </c>
      <c r="M158" s="2" t="s">
        <v>42</v>
      </c>
      <c r="N158" s="2" t="s">
        <v>43</v>
      </c>
      <c r="O158" s="2" t="s">
        <v>460</v>
      </c>
      <c r="P158" s="2" t="s">
        <v>461</v>
      </c>
    </row>
    <row r="159" spans="1:16" ht="15.6" x14ac:dyDescent="0.3">
      <c r="A159" s="4">
        <v>1359536</v>
      </c>
      <c r="B159" s="4" t="s">
        <v>30</v>
      </c>
      <c r="C159" s="4" t="s">
        <v>55</v>
      </c>
      <c r="D159" s="4" t="str">
        <f t="shared" si="2"/>
        <v>IPL-2023</v>
      </c>
      <c r="E159" s="4">
        <f>YEAR('IPL Info'!$F159)</f>
        <v>2023</v>
      </c>
      <c r="F159" s="5">
        <v>45061</v>
      </c>
      <c r="G159" s="4" t="s">
        <v>55</v>
      </c>
      <c r="H159" s="4" t="s">
        <v>18</v>
      </c>
      <c r="I159" s="4" t="s">
        <v>19</v>
      </c>
      <c r="J159" s="4" t="s">
        <v>20</v>
      </c>
      <c r="K159" s="4" t="s">
        <v>30</v>
      </c>
      <c r="L159" s="4" t="s">
        <v>101</v>
      </c>
      <c r="M159" s="4" t="s">
        <v>22</v>
      </c>
      <c r="N159" s="4" t="s">
        <v>23</v>
      </c>
      <c r="O159" s="4" t="s">
        <v>462</v>
      </c>
      <c r="P159" s="4" t="s">
        <v>463</v>
      </c>
    </row>
    <row r="160" spans="1:16" ht="15.6" x14ac:dyDescent="0.3">
      <c r="A160" s="2">
        <v>1359534</v>
      </c>
      <c r="B160" s="2" t="s">
        <v>445</v>
      </c>
      <c r="C160" s="2" t="s">
        <v>77</v>
      </c>
      <c r="D160" s="2" t="str">
        <f t="shared" si="2"/>
        <v>IPL-2023</v>
      </c>
      <c r="E160" s="2">
        <f>YEAR('IPL Info'!$F160)</f>
        <v>2023</v>
      </c>
      <c r="F160" s="3">
        <v>45060</v>
      </c>
      <c r="G160" s="2" t="s">
        <v>445</v>
      </c>
      <c r="H160" s="2" t="s">
        <v>31</v>
      </c>
      <c r="I160" s="2" t="s">
        <v>19</v>
      </c>
      <c r="J160" s="2" t="s">
        <v>20</v>
      </c>
      <c r="K160" s="2" t="s">
        <v>445</v>
      </c>
      <c r="L160" s="2" t="s">
        <v>464</v>
      </c>
      <c r="M160" s="2" t="s">
        <v>47</v>
      </c>
      <c r="N160" s="2" t="s">
        <v>48</v>
      </c>
      <c r="O160" s="2" t="s">
        <v>465</v>
      </c>
      <c r="P160" s="2" t="s">
        <v>466</v>
      </c>
    </row>
    <row r="161" spans="1:16" ht="15.6" x14ac:dyDescent="0.3">
      <c r="A161" s="4">
        <v>1359535</v>
      </c>
      <c r="B161" s="4" t="s">
        <v>51</v>
      </c>
      <c r="C161" s="4" t="s">
        <v>56</v>
      </c>
      <c r="D161" s="4" t="str">
        <f t="shared" si="2"/>
        <v>IPL-2023</v>
      </c>
      <c r="E161" s="4">
        <f>YEAR('IPL Info'!$F161)</f>
        <v>2023</v>
      </c>
      <c r="F161" s="5">
        <v>45060</v>
      </c>
      <c r="G161" s="4" t="s">
        <v>51</v>
      </c>
      <c r="H161" s="4" t="s">
        <v>31</v>
      </c>
      <c r="I161" s="4" t="s">
        <v>19</v>
      </c>
      <c r="J161" s="4" t="s">
        <v>20</v>
      </c>
      <c r="K161" s="4" t="s">
        <v>56</v>
      </c>
      <c r="L161" s="4" t="s">
        <v>467</v>
      </c>
      <c r="M161" s="4" t="s">
        <v>125</v>
      </c>
      <c r="N161" s="4" t="s">
        <v>126</v>
      </c>
      <c r="O161" s="4" t="s">
        <v>468</v>
      </c>
      <c r="P161" s="4" t="s">
        <v>469</v>
      </c>
    </row>
    <row r="162" spans="1:16" ht="15.6" x14ac:dyDescent="0.3">
      <c r="A162" s="2">
        <v>1359533</v>
      </c>
      <c r="B162" s="2" t="s">
        <v>17</v>
      </c>
      <c r="C162" s="2" t="s">
        <v>62</v>
      </c>
      <c r="D162" s="2" t="str">
        <f t="shared" si="2"/>
        <v>IPL-2023</v>
      </c>
      <c r="E162" s="2">
        <f>YEAR('IPL Info'!$F162)</f>
        <v>2023</v>
      </c>
      <c r="F162" s="3">
        <v>45059</v>
      </c>
      <c r="G162" s="2" t="s">
        <v>62</v>
      </c>
      <c r="H162" s="2" t="s">
        <v>18</v>
      </c>
      <c r="I162" s="2" t="s">
        <v>19</v>
      </c>
      <c r="J162" s="2" t="s">
        <v>20</v>
      </c>
      <c r="K162" s="2" t="s">
        <v>17</v>
      </c>
      <c r="L162" s="2" t="s">
        <v>108</v>
      </c>
      <c r="M162" s="2" t="s">
        <v>58</v>
      </c>
      <c r="N162" s="2" t="s">
        <v>59</v>
      </c>
      <c r="O162" s="2" t="s">
        <v>470</v>
      </c>
      <c r="P162" s="2" t="s">
        <v>471</v>
      </c>
    </row>
    <row r="163" spans="1:16" ht="15.6" x14ac:dyDescent="0.3">
      <c r="A163" s="4">
        <v>1359532</v>
      </c>
      <c r="B163" s="4" t="s">
        <v>55</v>
      </c>
      <c r="C163" s="4" t="s">
        <v>40</v>
      </c>
      <c r="D163" s="4" t="str">
        <f t="shared" si="2"/>
        <v>IPL-2023</v>
      </c>
      <c r="E163" s="4">
        <f>YEAR('IPL Info'!$F163)</f>
        <v>2023</v>
      </c>
      <c r="F163" s="5">
        <v>45059</v>
      </c>
      <c r="G163" s="4" t="s">
        <v>55</v>
      </c>
      <c r="H163" s="4" t="s">
        <v>31</v>
      </c>
      <c r="I163" s="4" t="s">
        <v>19</v>
      </c>
      <c r="J163" s="4" t="s">
        <v>20</v>
      </c>
      <c r="K163" s="4" t="s">
        <v>40</v>
      </c>
      <c r="L163" s="4" t="s">
        <v>472</v>
      </c>
      <c r="M163" s="4" t="s">
        <v>104</v>
      </c>
      <c r="N163" s="4" t="s">
        <v>105</v>
      </c>
      <c r="O163" s="4" t="s">
        <v>473</v>
      </c>
      <c r="P163" s="4" t="s">
        <v>474</v>
      </c>
    </row>
    <row r="164" spans="1:16" ht="15.6" x14ac:dyDescent="0.3">
      <c r="A164" s="2">
        <v>1359531</v>
      </c>
      <c r="B164" s="2" t="s">
        <v>26</v>
      </c>
      <c r="C164" s="2" t="s">
        <v>30</v>
      </c>
      <c r="D164" s="2" t="str">
        <f t="shared" si="2"/>
        <v>IPL-2023</v>
      </c>
      <c r="E164" s="2">
        <f>YEAR('IPL Info'!$F164)</f>
        <v>2023</v>
      </c>
      <c r="F164" s="3">
        <v>45058</v>
      </c>
      <c r="G164" s="2" t="s">
        <v>30</v>
      </c>
      <c r="H164" s="2" t="s">
        <v>18</v>
      </c>
      <c r="I164" s="2" t="s">
        <v>19</v>
      </c>
      <c r="J164" s="2" t="s">
        <v>20</v>
      </c>
      <c r="K164" s="2" t="s">
        <v>26</v>
      </c>
      <c r="L164" s="2" t="s">
        <v>72</v>
      </c>
      <c r="M164" s="2" t="s">
        <v>73</v>
      </c>
      <c r="N164" s="2" t="s">
        <v>74</v>
      </c>
      <c r="O164" s="2" t="s">
        <v>475</v>
      </c>
      <c r="P164" s="2" t="s">
        <v>476</v>
      </c>
    </row>
    <row r="165" spans="1:16" ht="15.6" x14ac:dyDescent="0.3">
      <c r="A165" s="4">
        <v>1359530</v>
      </c>
      <c r="B165" s="4" t="s">
        <v>56</v>
      </c>
      <c r="C165" s="4" t="s">
        <v>77</v>
      </c>
      <c r="D165" s="4" t="str">
        <f t="shared" si="2"/>
        <v>IPL-2023</v>
      </c>
      <c r="E165" s="4">
        <f>YEAR('IPL Info'!$F165)</f>
        <v>2023</v>
      </c>
      <c r="F165" s="5">
        <v>45057</v>
      </c>
      <c r="G165" s="4" t="s">
        <v>77</v>
      </c>
      <c r="H165" s="4" t="s">
        <v>18</v>
      </c>
      <c r="I165" s="4" t="s">
        <v>19</v>
      </c>
      <c r="J165" s="4" t="s">
        <v>20</v>
      </c>
      <c r="K165" s="4" t="s">
        <v>77</v>
      </c>
      <c r="L165" s="4" t="s">
        <v>477</v>
      </c>
      <c r="M165" s="4" t="s">
        <v>97</v>
      </c>
      <c r="N165" s="4" t="s">
        <v>98</v>
      </c>
      <c r="O165" s="4" t="s">
        <v>478</v>
      </c>
      <c r="P165" s="4" t="s">
        <v>479</v>
      </c>
    </row>
    <row r="166" spans="1:16" ht="15.6" x14ac:dyDescent="0.3">
      <c r="A166" s="2">
        <v>1359529</v>
      </c>
      <c r="B166" s="2" t="s">
        <v>51</v>
      </c>
      <c r="C166" s="2" t="s">
        <v>62</v>
      </c>
      <c r="D166" s="2" t="str">
        <f t="shared" si="2"/>
        <v>IPL-2023</v>
      </c>
      <c r="E166" s="2">
        <f>YEAR('IPL Info'!$F166)</f>
        <v>2023</v>
      </c>
      <c r="F166" s="3">
        <v>45056</v>
      </c>
      <c r="G166" s="2" t="s">
        <v>51</v>
      </c>
      <c r="H166" s="2" t="s">
        <v>31</v>
      </c>
      <c r="I166" s="2" t="s">
        <v>19</v>
      </c>
      <c r="J166" s="2" t="s">
        <v>20</v>
      </c>
      <c r="K166" s="2" t="s">
        <v>51</v>
      </c>
      <c r="L166" s="2" t="s">
        <v>305</v>
      </c>
      <c r="M166" s="2" t="s">
        <v>125</v>
      </c>
      <c r="N166" s="2" t="s">
        <v>126</v>
      </c>
      <c r="O166" s="2" t="s">
        <v>480</v>
      </c>
      <c r="P166" s="2" t="s">
        <v>481</v>
      </c>
    </row>
    <row r="167" spans="1:16" ht="15.6" x14ac:dyDescent="0.3">
      <c r="A167" s="4">
        <v>1359528</v>
      </c>
      <c r="B167" s="4" t="s">
        <v>445</v>
      </c>
      <c r="C167" s="4" t="s">
        <v>26</v>
      </c>
      <c r="D167" s="4" t="str">
        <f t="shared" si="2"/>
        <v>IPL-2023</v>
      </c>
      <c r="E167" s="4">
        <f>YEAR('IPL Info'!$F167)</f>
        <v>2023</v>
      </c>
      <c r="F167" s="5">
        <v>45055</v>
      </c>
      <c r="G167" s="4" t="s">
        <v>26</v>
      </c>
      <c r="H167" s="4" t="s">
        <v>18</v>
      </c>
      <c r="I167" s="4" t="s">
        <v>19</v>
      </c>
      <c r="J167" s="4" t="s">
        <v>20</v>
      </c>
      <c r="K167" s="4" t="s">
        <v>26</v>
      </c>
      <c r="L167" s="4" t="s">
        <v>72</v>
      </c>
      <c r="M167" s="4" t="s">
        <v>73</v>
      </c>
      <c r="N167" s="4" t="s">
        <v>74</v>
      </c>
      <c r="O167" s="4" t="s">
        <v>482</v>
      </c>
      <c r="P167" s="4" t="s">
        <v>483</v>
      </c>
    </row>
    <row r="168" spans="1:16" ht="15.6" x14ac:dyDescent="0.3">
      <c r="A168" s="2">
        <v>1359527</v>
      </c>
      <c r="B168" s="2" t="s">
        <v>17</v>
      </c>
      <c r="C168" s="2" t="s">
        <v>56</v>
      </c>
      <c r="D168" s="2" t="str">
        <f t="shared" si="2"/>
        <v>IPL-2023</v>
      </c>
      <c r="E168" s="2">
        <f>YEAR('IPL Info'!$F168)</f>
        <v>2023</v>
      </c>
      <c r="F168" s="3">
        <v>45054</v>
      </c>
      <c r="G168" s="2" t="s">
        <v>17</v>
      </c>
      <c r="H168" s="2" t="s">
        <v>31</v>
      </c>
      <c r="I168" s="2" t="s">
        <v>19</v>
      </c>
      <c r="J168" s="2" t="s">
        <v>20</v>
      </c>
      <c r="K168" s="2" t="s">
        <v>56</v>
      </c>
      <c r="L168" s="2" t="s">
        <v>111</v>
      </c>
      <c r="M168" s="2" t="s">
        <v>97</v>
      </c>
      <c r="N168" s="2" t="s">
        <v>98</v>
      </c>
      <c r="O168" s="2" t="s">
        <v>484</v>
      </c>
      <c r="P168" s="2" t="s">
        <v>485</v>
      </c>
    </row>
    <row r="169" spans="1:16" ht="15.6" x14ac:dyDescent="0.3">
      <c r="A169" s="4">
        <v>1359525</v>
      </c>
      <c r="B169" s="4" t="s">
        <v>30</v>
      </c>
      <c r="C169" s="4" t="s">
        <v>40</v>
      </c>
      <c r="D169" s="4" t="str">
        <f t="shared" si="2"/>
        <v>IPL-2023</v>
      </c>
      <c r="E169" s="4">
        <f>YEAR('IPL Info'!$F169)</f>
        <v>2023</v>
      </c>
      <c r="F169" s="5">
        <v>45053</v>
      </c>
      <c r="G169" s="4" t="s">
        <v>40</v>
      </c>
      <c r="H169" s="4" t="s">
        <v>18</v>
      </c>
      <c r="I169" s="4" t="s">
        <v>19</v>
      </c>
      <c r="J169" s="4" t="s">
        <v>20</v>
      </c>
      <c r="K169" s="4" t="s">
        <v>30</v>
      </c>
      <c r="L169" s="4" t="s">
        <v>101</v>
      </c>
      <c r="M169" s="4" t="s">
        <v>22</v>
      </c>
      <c r="N169" s="4" t="s">
        <v>23</v>
      </c>
      <c r="O169" s="4" t="s">
        <v>486</v>
      </c>
      <c r="P169" s="4" t="s">
        <v>487</v>
      </c>
    </row>
    <row r="170" spans="1:16" ht="15.6" x14ac:dyDescent="0.3">
      <c r="A170" s="2">
        <v>1359526</v>
      </c>
      <c r="B170" s="2" t="s">
        <v>77</v>
      </c>
      <c r="C170" s="2" t="s">
        <v>55</v>
      </c>
      <c r="D170" s="2" t="str">
        <f t="shared" si="2"/>
        <v>IPL-2023</v>
      </c>
      <c r="E170" s="2">
        <f>YEAR('IPL Info'!$F170)</f>
        <v>2023</v>
      </c>
      <c r="F170" s="3">
        <v>45053</v>
      </c>
      <c r="G170" s="2" t="s">
        <v>77</v>
      </c>
      <c r="H170" s="2" t="s">
        <v>31</v>
      </c>
      <c r="I170" s="2" t="s">
        <v>19</v>
      </c>
      <c r="J170" s="2" t="s">
        <v>20</v>
      </c>
      <c r="K170" s="2" t="s">
        <v>55</v>
      </c>
      <c r="L170" s="2" t="s">
        <v>488</v>
      </c>
      <c r="M170" s="2" t="s">
        <v>47</v>
      </c>
      <c r="N170" s="2" t="s">
        <v>48</v>
      </c>
      <c r="O170" s="2" t="s">
        <v>489</v>
      </c>
      <c r="P170" s="2" t="s">
        <v>490</v>
      </c>
    </row>
    <row r="171" spans="1:16" ht="15.6" x14ac:dyDescent="0.3">
      <c r="A171" s="4">
        <v>1359523</v>
      </c>
      <c r="B171" s="4" t="s">
        <v>26</v>
      </c>
      <c r="C171" s="4" t="s">
        <v>51</v>
      </c>
      <c r="D171" s="4" t="str">
        <f t="shared" si="2"/>
        <v>IPL-2023</v>
      </c>
      <c r="E171" s="4">
        <f>YEAR('IPL Info'!$F171)</f>
        <v>2023</v>
      </c>
      <c r="F171" s="5">
        <v>45052</v>
      </c>
      <c r="G171" s="4" t="s">
        <v>51</v>
      </c>
      <c r="H171" s="4" t="s">
        <v>18</v>
      </c>
      <c r="I171" s="4" t="s">
        <v>19</v>
      </c>
      <c r="J171" s="4" t="s">
        <v>20</v>
      </c>
      <c r="K171" s="4" t="s">
        <v>51</v>
      </c>
      <c r="L171" s="4" t="s">
        <v>367</v>
      </c>
      <c r="M171" s="4" t="s">
        <v>125</v>
      </c>
      <c r="N171" s="4" t="s">
        <v>126</v>
      </c>
      <c r="O171" s="4" t="s">
        <v>491</v>
      </c>
      <c r="P171" s="4" t="s">
        <v>492</v>
      </c>
    </row>
    <row r="172" spans="1:16" ht="15.6" x14ac:dyDescent="0.3">
      <c r="A172" s="2">
        <v>1359524</v>
      </c>
      <c r="B172" s="2" t="s">
        <v>445</v>
      </c>
      <c r="C172" s="2" t="s">
        <v>62</v>
      </c>
      <c r="D172" s="2" t="str">
        <f t="shared" si="2"/>
        <v>IPL-2023</v>
      </c>
      <c r="E172" s="2">
        <f>YEAR('IPL Info'!$F172)</f>
        <v>2023</v>
      </c>
      <c r="F172" s="3">
        <v>45052</v>
      </c>
      <c r="G172" s="2" t="s">
        <v>445</v>
      </c>
      <c r="H172" s="2" t="s">
        <v>31</v>
      </c>
      <c r="I172" s="2" t="s">
        <v>19</v>
      </c>
      <c r="J172" s="2" t="s">
        <v>20</v>
      </c>
      <c r="K172" s="2" t="s">
        <v>62</v>
      </c>
      <c r="L172" s="2" t="s">
        <v>186</v>
      </c>
      <c r="M172" s="2" t="s">
        <v>58</v>
      </c>
      <c r="N172" s="2" t="s">
        <v>59</v>
      </c>
      <c r="O172" s="2" t="s">
        <v>493</v>
      </c>
      <c r="P172" s="2" t="s">
        <v>494</v>
      </c>
    </row>
    <row r="173" spans="1:16" ht="15.6" x14ac:dyDescent="0.3">
      <c r="A173" s="4">
        <v>1359522</v>
      </c>
      <c r="B173" s="4" t="s">
        <v>77</v>
      </c>
      <c r="C173" s="4" t="s">
        <v>30</v>
      </c>
      <c r="D173" s="4" t="str">
        <f t="shared" si="2"/>
        <v>IPL-2023</v>
      </c>
      <c r="E173" s="4">
        <f>YEAR('IPL Info'!$F173)</f>
        <v>2023</v>
      </c>
      <c r="F173" s="5">
        <v>45051</v>
      </c>
      <c r="G173" s="4" t="s">
        <v>77</v>
      </c>
      <c r="H173" s="4" t="s">
        <v>31</v>
      </c>
      <c r="I173" s="4" t="s">
        <v>19</v>
      </c>
      <c r="J173" s="4" t="s">
        <v>20</v>
      </c>
      <c r="K173" s="4" t="s">
        <v>30</v>
      </c>
      <c r="L173" s="4" t="s">
        <v>377</v>
      </c>
      <c r="M173" s="4" t="s">
        <v>47</v>
      </c>
      <c r="N173" s="4" t="s">
        <v>48</v>
      </c>
      <c r="O173" s="4" t="s">
        <v>495</v>
      </c>
      <c r="P173" s="4" t="s">
        <v>496</v>
      </c>
    </row>
    <row r="174" spans="1:16" ht="15.6" x14ac:dyDescent="0.3">
      <c r="A174" s="2">
        <v>1359521</v>
      </c>
      <c r="B174" s="2" t="s">
        <v>56</v>
      </c>
      <c r="C174" s="2" t="s">
        <v>55</v>
      </c>
      <c r="D174" s="2" t="str">
        <f t="shared" si="2"/>
        <v>IPL-2023</v>
      </c>
      <c r="E174" s="2">
        <f>YEAR('IPL Info'!$F174)</f>
        <v>2023</v>
      </c>
      <c r="F174" s="3">
        <v>45050</v>
      </c>
      <c r="G174" s="2" t="s">
        <v>56</v>
      </c>
      <c r="H174" s="2" t="s">
        <v>31</v>
      </c>
      <c r="I174" s="2" t="s">
        <v>19</v>
      </c>
      <c r="J174" s="2" t="s">
        <v>20</v>
      </c>
      <c r="K174" s="2" t="s">
        <v>56</v>
      </c>
      <c r="L174" s="2" t="s">
        <v>288</v>
      </c>
      <c r="M174" s="2" t="s">
        <v>104</v>
      </c>
      <c r="N174" s="2" t="s">
        <v>105</v>
      </c>
      <c r="O174" s="2" t="s">
        <v>497</v>
      </c>
      <c r="P174" s="2" t="s">
        <v>498</v>
      </c>
    </row>
    <row r="175" spans="1:16" ht="15.6" x14ac:dyDescent="0.3">
      <c r="A175" s="4">
        <v>1359519</v>
      </c>
      <c r="B175" s="4" t="s">
        <v>40</v>
      </c>
      <c r="C175" s="4" t="s">
        <v>51</v>
      </c>
      <c r="D175" s="4" t="str">
        <f t="shared" si="2"/>
        <v>IPL-2023</v>
      </c>
      <c r="E175" s="4">
        <f>YEAR('IPL Info'!$F175)</f>
        <v>2023</v>
      </c>
      <c r="F175" s="5">
        <v>45049</v>
      </c>
      <c r="G175" s="4" t="s">
        <v>51</v>
      </c>
      <c r="H175" s="4" t="s">
        <v>18</v>
      </c>
      <c r="I175" s="4" t="s">
        <v>90</v>
      </c>
      <c r="J175" s="4" t="s">
        <v>20</v>
      </c>
      <c r="K175" s="4" t="s">
        <v>20</v>
      </c>
      <c r="L175" s="4" t="s">
        <v>91</v>
      </c>
      <c r="M175" s="4" t="s">
        <v>42</v>
      </c>
      <c r="N175" s="4" t="s">
        <v>43</v>
      </c>
      <c r="O175" s="4" t="s">
        <v>499</v>
      </c>
      <c r="P175" s="4" t="s">
        <v>500</v>
      </c>
    </row>
    <row r="176" spans="1:16" ht="15.6" x14ac:dyDescent="0.3">
      <c r="A176" s="2">
        <v>1359520</v>
      </c>
      <c r="B176" s="2" t="s">
        <v>17</v>
      </c>
      <c r="C176" s="2" t="s">
        <v>26</v>
      </c>
      <c r="D176" s="2" t="str">
        <f t="shared" si="2"/>
        <v>IPL-2023</v>
      </c>
      <c r="E176" s="2">
        <f>YEAR('IPL Info'!$F176)</f>
        <v>2023</v>
      </c>
      <c r="F176" s="3">
        <v>45049</v>
      </c>
      <c r="G176" s="2" t="s">
        <v>26</v>
      </c>
      <c r="H176" s="2" t="s">
        <v>18</v>
      </c>
      <c r="I176" s="2" t="s">
        <v>19</v>
      </c>
      <c r="J176" s="2" t="s">
        <v>20</v>
      </c>
      <c r="K176" s="2" t="s">
        <v>26</v>
      </c>
      <c r="L176" s="2" t="s">
        <v>66</v>
      </c>
      <c r="M176" s="2" t="s">
        <v>501</v>
      </c>
      <c r="N176" s="2" t="s">
        <v>502</v>
      </c>
      <c r="O176" s="2" t="s">
        <v>503</v>
      </c>
      <c r="P176" s="2" t="s">
        <v>504</v>
      </c>
    </row>
    <row r="177" spans="1:16" ht="15.6" x14ac:dyDescent="0.3">
      <c r="A177" s="4">
        <v>1359518</v>
      </c>
      <c r="B177" s="4" t="s">
        <v>62</v>
      </c>
      <c r="C177" s="4" t="s">
        <v>30</v>
      </c>
      <c r="D177" s="4" t="str">
        <f t="shared" si="2"/>
        <v>IPL-2023</v>
      </c>
      <c r="E177" s="4">
        <f>YEAR('IPL Info'!$F177)</f>
        <v>2023</v>
      </c>
      <c r="F177" s="5">
        <v>45048</v>
      </c>
      <c r="G177" s="4" t="s">
        <v>62</v>
      </c>
      <c r="H177" s="4" t="s">
        <v>31</v>
      </c>
      <c r="I177" s="4" t="s">
        <v>19</v>
      </c>
      <c r="J177" s="4" t="s">
        <v>20</v>
      </c>
      <c r="K177" s="4" t="s">
        <v>62</v>
      </c>
      <c r="L177" s="4" t="s">
        <v>505</v>
      </c>
      <c r="M177" s="4" t="s">
        <v>22</v>
      </c>
      <c r="N177" s="4" t="s">
        <v>23</v>
      </c>
      <c r="O177" s="4" t="s">
        <v>506</v>
      </c>
      <c r="P177" s="4" t="s">
        <v>507</v>
      </c>
    </row>
    <row r="178" spans="1:16" ht="15.6" x14ac:dyDescent="0.3">
      <c r="A178" s="2">
        <v>1359517</v>
      </c>
      <c r="B178" s="2" t="s">
        <v>445</v>
      </c>
      <c r="C178" s="2" t="s">
        <v>40</v>
      </c>
      <c r="D178" s="2" t="str">
        <f t="shared" si="2"/>
        <v>IPL-2023</v>
      </c>
      <c r="E178" s="2">
        <f>YEAR('IPL Info'!$F178)</f>
        <v>2023</v>
      </c>
      <c r="F178" s="3">
        <v>45047</v>
      </c>
      <c r="G178" s="2" t="s">
        <v>445</v>
      </c>
      <c r="H178" s="2" t="s">
        <v>31</v>
      </c>
      <c r="I178" s="2" t="s">
        <v>19</v>
      </c>
      <c r="J178" s="2" t="s">
        <v>20</v>
      </c>
      <c r="K178" s="2" t="s">
        <v>445</v>
      </c>
      <c r="L178" s="2" t="s">
        <v>271</v>
      </c>
      <c r="M178" s="2" t="s">
        <v>42</v>
      </c>
      <c r="N178" s="2" t="s">
        <v>43</v>
      </c>
      <c r="O178" s="2" t="s">
        <v>508</v>
      </c>
      <c r="P178" s="2" t="s">
        <v>509</v>
      </c>
    </row>
    <row r="179" spans="1:16" ht="15.6" x14ac:dyDescent="0.3">
      <c r="A179" s="4">
        <v>1359515</v>
      </c>
      <c r="B179" s="4" t="s">
        <v>51</v>
      </c>
      <c r="C179" s="4" t="s">
        <v>17</v>
      </c>
      <c r="D179" s="4" t="str">
        <f t="shared" si="2"/>
        <v>IPL-2023</v>
      </c>
      <c r="E179" s="4">
        <f>YEAR('IPL Info'!$F179)</f>
        <v>2023</v>
      </c>
      <c r="F179" s="5">
        <v>45046</v>
      </c>
      <c r="G179" s="4" t="s">
        <v>51</v>
      </c>
      <c r="H179" s="4" t="s">
        <v>31</v>
      </c>
      <c r="I179" s="4" t="s">
        <v>19</v>
      </c>
      <c r="J179" s="4" t="s">
        <v>20</v>
      </c>
      <c r="K179" s="4" t="s">
        <v>17</v>
      </c>
      <c r="L179" s="4" t="s">
        <v>434</v>
      </c>
      <c r="M179" s="4" t="s">
        <v>125</v>
      </c>
      <c r="N179" s="4" t="s">
        <v>126</v>
      </c>
      <c r="O179" s="4" t="s">
        <v>510</v>
      </c>
      <c r="P179" s="4" t="s">
        <v>511</v>
      </c>
    </row>
    <row r="180" spans="1:16" ht="15.6" x14ac:dyDescent="0.3">
      <c r="A180" s="2">
        <v>1359516</v>
      </c>
      <c r="B180" s="2" t="s">
        <v>77</v>
      </c>
      <c r="C180" s="2" t="s">
        <v>26</v>
      </c>
      <c r="D180" s="2" t="str">
        <f t="shared" si="2"/>
        <v>IPL-2023</v>
      </c>
      <c r="E180" s="2">
        <f>YEAR('IPL Info'!$F180)</f>
        <v>2023</v>
      </c>
      <c r="F180" s="3">
        <v>45046</v>
      </c>
      <c r="G180" s="2" t="s">
        <v>77</v>
      </c>
      <c r="H180" s="2" t="s">
        <v>31</v>
      </c>
      <c r="I180" s="2" t="s">
        <v>19</v>
      </c>
      <c r="J180" s="2" t="s">
        <v>20</v>
      </c>
      <c r="K180" s="2" t="s">
        <v>26</v>
      </c>
      <c r="L180" s="2" t="s">
        <v>477</v>
      </c>
      <c r="M180" s="2" t="s">
        <v>73</v>
      </c>
      <c r="N180" s="2" t="s">
        <v>74</v>
      </c>
      <c r="O180" s="2" t="s">
        <v>512</v>
      </c>
      <c r="P180" s="2" t="s">
        <v>513</v>
      </c>
    </row>
    <row r="181" spans="1:16" ht="15.6" x14ac:dyDescent="0.3">
      <c r="A181" s="4">
        <v>1359514</v>
      </c>
      <c r="B181" s="4" t="s">
        <v>55</v>
      </c>
      <c r="C181" s="4" t="s">
        <v>62</v>
      </c>
      <c r="D181" s="4" t="str">
        <f t="shared" si="2"/>
        <v>IPL-2023</v>
      </c>
      <c r="E181" s="4">
        <f>YEAR('IPL Info'!$F181)</f>
        <v>2023</v>
      </c>
      <c r="F181" s="5">
        <v>45045</v>
      </c>
      <c r="G181" s="4" t="s">
        <v>55</v>
      </c>
      <c r="H181" s="4" t="s">
        <v>31</v>
      </c>
      <c r="I181" s="4" t="s">
        <v>19</v>
      </c>
      <c r="J181" s="4" t="s">
        <v>20</v>
      </c>
      <c r="K181" s="4" t="s">
        <v>55</v>
      </c>
      <c r="L181" s="4" t="s">
        <v>69</v>
      </c>
      <c r="M181" s="4" t="s">
        <v>58</v>
      </c>
      <c r="N181" s="4" t="s">
        <v>59</v>
      </c>
      <c r="O181" s="4" t="s">
        <v>514</v>
      </c>
      <c r="P181" s="4" t="s">
        <v>515</v>
      </c>
    </row>
    <row r="182" spans="1:16" ht="15.6" x14ac:dyDescent="0.3">
      <c r="A182" s="2">
        <v>1359513</v>
      </c>
      <c r="B182" s="2" t="s">
        <v>56</v>
      </c>
      <c r="C182" s="2" t="s">
        <v>30</v>
      </c>
      <c r="D182" s="2" t="str">
        <f t="shared" si="2"/>
        <v>IPL-2023</v>
      </c>
      <c r="E182" s="2">
        <f>YEAR('IPL Info'!$F182)</f>
        <v>2023</v>
      </c>
      <c r="F182" s="3">
        <v>45045</v>
      </c>
      <c r="G182" s="2" t="s">
        <v>30</v>
      </c>
      <c r="H182" s="2" t="s">
        <v>18</v>
      </c>
      <c r="I182" s="2" t="s">
        <v>19</v>
      </c>
      <c r="J182" s="2" t="s">
        <v>20</v>
      </c>
      <c r="K182" s="2" t="s">
        <v>30</v>
      </c>
      <c r="L182" s="2" t="s">
        <v>516</v>
      </c>
      <c r="M182" s="2" t="s">
        <v>97</v>
      </c>
      <c r="N182" s="2" t="s">
        <v>98</v>
      </c>
      <c r="O182" s="2" t="s">
        <v>517</v>
      </c>
      <c r="P182" s="2" t="s">
        <v>507</v>
      </c>
    </row>
    <row r="183" spans="1:16" ht="15.6" x14ac:dyDescent="0.3">
      <c r="A183" s="4">
        <v>1359512</v>
      </c>
      <c r="B183" s="4" t="s">
        <v>40</v>
      </c>
      <c r="C183" s="4" t="s">
        <v>17</v>
      </c>
      <c r="D183" s="4" t="str">
        <f t="shared" si="2"/>
        <v>IPL-2023</v>
      </c>
      <c r="E183" s="4">
        <f>YEAR('IPL Info'!$F183)</f>
        <v>2023</v>
      </c>
      <c r="F183" s="5">
        <v>45044</v>
      </c>
      <c r="G183" s="4" t="s">
        <v>17</v>
      </c>
      <c r="H183" s="4" t="s">
        <v>18</v>
      </c>
      <c r="I183" s="4" t="s">
        <v>19</v>
      </c>
      <c r="J183" s="4" t="s">
        <v>20</v>
      </c>
      <c r="K183" s="4" t="s">
        <v>40</v>
      </c>
      <c r="L183" s="4" t="s">
        <v>318</v>
      </c>
      <c r="M183" s="4" t="s">
        <v>501</v>
      </c>
      <c r="N183" s="4" t="s">
        <v>502</v>
      </c>
      <c r="O183" s="4" t="s">
        <v>518</v>
      </c>
      <c r="P183" s="4" t="s">
        <v>519</v>
      </c>
    </row>
    <row r="184" spans="1:16" ht="15.6" x14ac:dyDescent="0.3">
      <c r="A184" s="2">
        <v>1359511</v>
      </c>
      <c r="B184" s="2" t="s">
        <v>77</v>
      </c>
      <c r="C184" s="2" t="s">
        <v>51</v>
      </c>
      <c r="D184" s="2" t="str">
        <f t="shared" si="2"/>
        <v>IPL-2023</v>
      </c>
      <c r="E184" s="2">
        <f>YEAR('IPL Info'!$F184)</f>
        <v>2023</v>
      </c>
      <c r="F184" s="3">
        <v>45043</v>
      </c>
      <c r="G184" s="2" t="s">
        <v>77</v>
      </c>
      <c r="H184" s="2" t="s">
        <v>31</v>
      </c>
      <c r="I184" s="2" t="s">
        <v>19</v>
      </c>
      <c r="J184" s="2" t="s">
        <v>20</v>
      </c>
      <c r="K184" s="2" t="s">
        <v>77</v>
      </c>
      <c r="L184" s="2" t="s">
        <v>477</v>
      </c>
      <c r="M184" s="2" t="s">
        <v>47</v>
      </c>
      <c r="N184" s="2" t="s">
        <v>48</v>
      </c>
      <c r="O184" s="2" t="s">
        <v>520</v>
      </c>
      <c r="P184" s="2" t="s">
        <v>521</v>
      </c>
    </row>
    <row r="185" spans="1:16" ht="15.6" x14ac:dyDescent="0.3">
      <c r="A185" s="4">
        <v>1359510</v>
      </c>
      <c r="B185" s="4" t="s">
        <v>56</v>
      </c>
      <c r="C185" s="4" t="s">
        <v>445</v>
      </c>
      <c r="D185" s="4" t="str">
        <f t="shared" si="2"/>
        <v>IPL-2023</v>
      </c>
      <c r="E185" s="4">
        <f>YEAR('IPL Info'!$F185)</f>
        <v>2023</v>
      </c>
      <c r="F185" s="5">
        <v>45042</v>
      </c>
      <c r="G185" s="4" t="s">
        <v>445</v>
      </c>
      <c r="H185" s="4" t="s">
        <v>18</v>
      </c>
      <c r="I185" s="4" t="s">
        <v>19</v>
      </c>
      <c r="J185" s="4" t="s">
        <v>20</v>
      </c>
      <c r="K185" s="4" t="s">
        <v>56</v>
      </c>
      <c r="L185" s="4" t="s">
        <v>288</v>
      </c>
      <c r="M185" s="4" t="s">
        <v>115</v>
      </c>
      <c r="N185" s="4" t="s">
        <v>116</v>
      </c>
      <c r="O185" s="4" t="s">
        <v>522</v>
      </c>
      <c r="P185" s="4" t="s">
        <v>523</v>
      </c>
    </row>
    <row r="186" spans="1:16" ht="15.6" x14ac:dyDescent="0.3">
      <c r="A186" s="2">
        <v>1359509</v>
      </c>
      <c r="B186" s="2" t="s">
        <v>30</v>
      </c>
      <c r="C186" s="2" t="s">
        <v>26</v>
      </c>
      <c r="D186" s="2" t="str">
        <f t="shared" si="2"/>
        <v>IPL-2023</v>
      </c>
      <c r="E186" s="2">
        <f>YEAR('IPL Info'!$F186)</f>
        <v>2023</v>
      </c>
      <c r="F186" s="3">
        <v>45041</v>
      </c>
      <c r="G186" s="2" t="s">
        <v>26</v>
      </c>
      <c r="H186" s="2" t="s">
        <v>18</v>
      </c>
      <c r="I186" s="2" t="s">
        <v>19</v>
      </c>
      <c r="J186" s="2" t="s">
        <v>20</v>
      </c>
      <c r="K186" s="2" t="s">
        <v>30</v>
      </c>
      <c r="L186" s="2" t="s">
        <v>524</v>
      </c>
      <c r="M186" s="2" t="s">
        <v>22</v>
      </c>
      <c r="N186" s="2" t="s">
        <v>23</v>
      </c>
      <c r="O186" s="2" t="s">
        <v>525</v>
      </c>
      <c r="P186" s="2" t="s">
        <v>526</v>
      </c>
    </row>
    <row r="187" spans="1:16" ht="15.6" x14ac:dyDescent="0.3">
      <c r="A187" s="4">
        <v>1359508</v>
      </c>
      <c r="B187" s="4" t="s">
        <v>62</v>
      </c>
      <c r="C187" s="4" t="s">
        <v>55</v>
      </c>
      <c r="D187" s="4" t="str">
        <f t="shared" si="2"/>
        <v>IPL-2023</v>
      </c>
      <c r="E187" s="4">
        <f>YEAR('IPL Info'!$F187)</f>
        <v>2023</v>
      </c>
      <c r="F187" s="5">
        <v>45040</v>
      </c>
      <c r="G187" s="4" t="s">
        <v>62</v>
      </c>
      <c r="H187" s="4" t="s">
        <v>31</v>
      </c>
      <c r="I187" s="4" t="s">
        <v>19</v>
      </c>
      <c r="J187" s="4" t="s">
        <v>20</v>
      </c>
      <c r="K187" s="4" t="s">
        <v>62</v>
      </c>
      <c r="L187" s="4" t="s">
        <v>527</v>
      </c>
      <c r="M187" s="4" t="s">
        <v>104</v>
      </c>
      <c r="N187" s="4" t="s">
        <v>105</v>
      </c>
      <c r="O187" s="4" t="s">
        <v>528</v>
      </c>
      <c r="P187" s="4" t="s">
        <v>529</v>
      </c>
    </row>
    <row r="188" spans="1:16" ht="15.6" x14ac:dyDescent="0.3">
      <c r="A188" s="2">
        <v>1359507</v>
      </c>
      <c r="B188" s="2" t="s">
        <v>51</v>
      </c>
      <c r="C188" s="2" t="s">
        <v>56</v>
      </c>
      <c r="D188" s="2" t="str">
        <f t="shared" si="2"/>
        <v>IPL-2023</v>
      </c>
      <c r="E188" s="2">
        <f>YEAR('IPL Info'!$F188)</f>
        <v>2023</v>
      </c>
      <c r="F188" s="3">
        <v>45039</v>
      </c>
      <c r="G188" s="2" t="s">
        <v>56</v>
      </c>
      <c r="H188" s="2" t="s">
        <v>18</v>
      </c>
      <c r="I188" s="2" t="s">
        <v>19</v>
      </c>
      <c r="J188" s="2" t="s">
        <v>20</v>
      </c>
      <c r="K188" s="2" t="s">
        <v>51</v>
      </c>
      <c r="L188" s="2" t="s">
        <v>530</v>
      </c>
      <c r="M188" s="2" t="s">
        <v>97</v>
      </c>
      <c r="N188" s="2" t="s">
        <v>98</v>
      </c>
      <c r="O188" s="2" t="s">
        <v>531</v>
      </c>
      <c r="P188" s="2" t="s">
        <v>532</v>
      </c>
    </row>
    <row r="189" spans="1:16" ht="15.6" x14ac:dyDescent="0.3">
      <c r="A189" s="4">
        <v>1359506</v>
      </c>
      <c r="B189" s="4" t="s">
        <v>445</v>
      </c>
      <c r="C189" s="4" t="s">
        <v>77</v>
      </c>
      <c r="D189" s="4" t="str">
        <f t="shared" si="2"/>
        <v>IPL-2023</v>
      </c>
      <c r="E189" s="4">
        <f>YEAR('IPL Info'!$F189)</f>
        <v>2023</v>
      </c>
      <c r="F189" s="5">
        <v>45039</v>
      </c>
      <c r="G189" s="4" t="s">
        <v>77</v>
      </c>
      <c r="H189" s="4" t="s">
        <v>18</v>
      </c>
      <c r="I189" s="4" t="s">
        <v>19</v>
      </c>
      <c r="J189" s="4" t="s">
        <v>20</v>
      </c>
      <c r="K189" s="4" t="s">
        <v>445</v>
      </c>
      <c r="L189" s="4" t="s">
        <v>533</v>
      </c>
      <c r="M189" s="4" t="s">
        <v>115</v>
      </c>
      <c r="N189" s="4" t="s">
        <v>116</v>
      </c>
      <c r="O189" s="4" t="s">
        <v>523</v>
      </c>
      <c r="P189" s="4" t="s">
        <v>534</v>
      </c>
    </row>
    <row r="190" spans="1:16" ht="15.6" x14ac:dyDescent="0.3">
      <c r="A190" s="2">
        <v>1359504</v>
      </c>
      <c r="B190" s="2" t="s">
        <v>30</v>
      </c>
      <c r="C190" s="2" t="s">
        <v>40</v>
      </c>
      <c r="D190" s="2" t="str">
        <f t="shared" si="2"/>
        <v>IPL-2023</v>
      </c>
      <c r="E190" s="2">
        <f>YEAR('IPL Info'!$F190)</f>
        <v>2023</v>
      </c>
      <c r="F190" s="3">
        <v>45038</v>
      </c>
      <c r="G190" s="2" t="s">
        <v>30</v>
      </c>
      <c r="H190" s="2" t="s">
        <v>31</v>
      </c>
      <c r="I190" s="2" t="s">
        <v>19</v>
      </c>
      <c r="J190" s="2" t="s">
        <v>20</v>
      </c>
      <c r="K190" s="2" t="s">
        <v>30</v>
      </c>
      <c r="L190" s="2" t="s">
        <v>403</v>
      </c>
      <c r="M190" s="2" t="s">
        <v>42</v>
      </c>
      <c r="N190" s="2" t="s">
        <v>43</v>
      </c>
      <c r="O190" s="2" t="s">
        <v>535</v>
      </c>
      <c r="P190" s="2" t="s">
        <v>536</v>
      </c>
    </row>
    <row r="191" spans="1:16" ht="15.6" x14ac:dyDescent="0.3">
      <c r="A191" s="4">
        <v>1359505</v>
      </c>
      <c r="B191" s="4" t="s">
        <v>17</v>
      </c>
      <c r="C191" s="4" t="s">
        <v>26</v>
      </c>
      <c r="D191" s="4" t="str">
        <f t="shared" si="2"/>
        <v>IPL-2023</v>
      </c>
      <c r="E191" s="4">
        <f>YEAR('IPL Info'!$F191)</f>
        <v>2023</v>
      </c>
      <c r="F191" s="5">
        <v>45038</v>
      </c>
      <c r="G191" s="4" t="s">
        <v>26</v>
      </c>
      <c r="H191" s="4" t="s">
        <v>18</v>
      </c>
      <c r="I191" s="4" t="s">
        <v>19</v>
      </c>
      <c r="J191" s="4" t="s">
        <v>20</v>
      </c>
      <c r="K191" s="4" t="s">
        <v>17</v>
      </c>
      <c r="L191" s="4" t="s">
        <v>276</v>
      </c>
      <c r="M191" s="4" t="s">
        <v>73</v>
      </c>
      <c r="N191" s="4" t="s">
        <v>74</v>
      </c>
      <c r="O191" s="4" t="s">
        <v>537</v>
      </c>
      <c r="P191" s="4" t="s">
        <v>538</v>
      </c>
    </row>
    <row r="192" spans="1:16" ht="15.6" x14ac:dyDescent="0.3">
      <c r="A192" s="2">
        <v>1359503</v>
      </c>
      <c r="B192" s="2" t="s">
        <v>55</v>
      </c>
      <c r="C192" s="2" t="s">
        <v>51</v>
      </c>
      <c r="D192" s="2" t="str">
        <f t="shared" si="2"/>
        <v>IPL-2023</v>
      </c>
      <c r="E192" s="2">
        <f>YEAR('IPL Info'!$F192)</f>
        <v>2023</v>
      </c>
      <c r="F192" s="3">
        <v>45037</v>
      </c>
      <c r="G192" s="2" t="s">
        <v>51</v>
      </c>
      <c r="H192" s="2" t="s">
        <v>18</v>
      </c>
      <c r="I192" s="2" t="s">
        <v>19</v>
      </c>
      <c r="J192" s="2" t="s">
        <v>20</v>
      </c>
      <c r="K192" s="2" t="s">
        <v>51</v>
      </c>
      <c r="L192" s="2" t="s">
        <v>305</v>
      </c>
      <c r="M192" s="2" t="s">
        <v>125</v>
      </c>
      <c r="N192" s="2" t="s">
        <v>126</v>
      </c>
      <c r="O192" s="2" t="s">
        <v>539</v>
      </c>
      <c r="P192" s="2" t="s">
        <v>540</v>
      </c>
    </row>
    <row r="193" spans="1:16" ht="15.6" x14ac:dyDescent="0.3">
      <c r="A193" s="4">
        <v>1359501</v>
      </c>
      <c r="B193" s="4" t="s">
        <v>445</v>
      </c>
      <c r="C193" s="4" t="s">
        <v>17</v>
      </c>
      <c r="D193" s="4" t="str">
        <f t="shared" si="2"/>
        <v>IPL-2023</v>
      </c>
      <c r="E193" s="4">
        <f>YEAR('IPL Info'!$F193)</f>
        <v>2023</v>
      </c>
      <c r="F193" s="5">
        <v>45036</v>
      </c>
      <c r="G193" s="4" t="s">
        <v>17</v>
      </c>
      <c r="H193" s="4" t="s">
        <v>18</v>
      </c>
      <c r="I193" s="4" t="s">
        <v>19</v>
      </c>
      <c r="J193" s="4" t="s">
        <v>20</v>
      </c>
      <c r="K193" s="4" t="s">
        <v>445</v>
      </c>
      <c r="L193" s="4" t="s">
        <v>210</v>
      </c>
      <c r="M193" s="4" t="s">
        <v>501</v>
      </c>
      <c r="N193" s="4" t="s">
        <v>502</v>
      </c>
      <c r="O193" s="4" t="s">
        <v>541</v>
      </c>
      <c r="P193" s="4" t="s">
        <v>542</v>
      </c>
    </row>
    <row r="194" spans="1:16" ht="15.6" x14ac:dyDescent="0.3">
      <c r="A194" s="2">
        <v>1359502</v>
      </c>
      <c r="B194" s="2" t="s">
        <v>56</v>
      </c>
      <c r="C194" s="2" t="s">
        <v>62</v>
      </c>
      <c r="D194" s="2" t="str">
        <f t="shared" si="2"/>
        <v>IPL-2023</v>
      </c>
      <c r="E194" s="2">
        <f>YEAR('IPL Info'!$F194)</f>
        <v>2023</v>
      </c>
      <c r="F194" s="3">
        <v>45036</v>
      </c>
      <c r="G194" s="2" t="s">
        <v>62</v>
      </c>
      <c r="H194" s="2" t="s">
        <v>18</v>
      </c>
      <c r="I194" s="2" t="s">
        <v>19</v>
      </c>
      <c r="J194" s="2" t="s">
        <v>20</v>
      </c>
      <c r="K194" s="2" t="s">
        <v>62</v>
      </c>
      <c r="L194" s="2" t="s">
        <v>279</v>
      </c>
      <c r="M194" s="2" t="s">
        <v>58</v>
      </c>
      <c r="N194" s="2" t="s">
        <v>59</v>
      </c>
      <c r="O194" s="2" t="s">
        <v>543</v>
      </c>
      <c r="P194" s="2" t="s">
        <v>544</v>
      </c>
    </row>
    <row r="195" spans="1:16" ht="15.6" x14ac:dyDescent="0.3">
      <c r="A195" s="4">
        <v>1359500</v>
      </c>
      <c r="B195" s="4" t="s">
        <v>40</v>
      </c>
      <c r="C195" s="4" t="s">
        <v>77</v>
      </c>
      <c r="D195" s="4" t="str">
        <f t="shared" ref="D195:D258" si="3">_xlfn.SINGLE(_xlfn.CONCAT("IPL-",E195))</f>
        <v>IPL-2023</v>
      </c>
      <c r="E195" s="4">
        <f>YEAR('IPL Info'!$F195)</f>
        <v>2023</v>
      </c>
      <c r="F195" s="5">
        <v>45035</v>
      </c>
      <c r="G195" s="4" t="s">
        <v>77</v>
      </c>
      <c r="H195" s="4" t="s">
        <v>18</v>
      </c>
      <c r="I195" s="4" t="s">
        <v>19</v>
      </c>
      <c r="J195" s="4" t="s">
        <v>20</v>
      </c>
      <c r="K195" s="4" t="s">
        <v>40</v>
      </c>
      <c r="L195" s="4" t="s">
        <v>318</v>
      </c>
      <c r="M195" s="4" t="s">
        <v>47</v>
      </c>
      <c r="N195" s="4" t="s">
        <v>48</v>
      </c>
      <c r="O195" s="4" t="s">
        <v>545</v>
      </c>
      <c r="P195" s="4" t="s">
        <v>546</v>
      </c>
    </row>
    <row r="196" spans="1:16" ht="15.6" x14ac:dyDescent="0.3">
      <c r="A196" s="2">
        <v>1359499</v>
      </c>
      <c r="B196" s="2" t="s">
        <v>26</v>
      </c>
      <c r="C196" s="2" t="s">
        <v>55</v>
      </c>
      <c r="D196" s="2" t="str">
        <f t="shared" si="3"/>
        <v>IPL-2023</v>
      </c>
      <c r="E196" s="2">
        <f>YEAR('IPL Info'!$F196)</f>
        <v>2023</v>
      </c>
      <c r="F196" s="3">
        <v>45034</v>
      </c>
      <c r="G196" s="2" t="s">
        <v>55</v>
      </c>
      <c r="H196" s="2" t="s">
        <v>18</v>
      </c>
      <c r="I196" s="2" t="s">
        <v>19</v>
      </c>
      <c r="J196" s="2" t="s">
        <v>20</v>
      </c>
      <c r="K196" s="2" t="s">
        <v>26</v>
      </c>
      <c r="L196" s="2" t="s">
        <v>282</v>
      </c>
      <c r="M196" s="2" t="s">
        <v>104</v>
      </c>
      <c r="N196" s="2" t="s">
        <v>105</v>
      </c>
      <c r="O196" s="2" t="s">
        <v>547</v>
      </c>
      <c r="P196" s="2" t="s">
        <v>548</v>
      </c>
    </row>
    <row r="197" spans="1:16" ht="15.6" x14ac:dyDescent="0.3">
      <c r="A197" s="4">
        <v>1359498</v>
      </c>
      <c r="B197" s="4" t="s">
        <v>51</v>
      </c>
      <c r="C197" s="4" t="s">
        <v>445</v>
      </c>
      <c r="D197" s="4" t="str">
        <f t="shared" si="3"/>
        <v>IPL-2023</v>
      </c>
      <c r="E197" s="4">
        <f>YEAR('IPL Info'!$F197)</f>
        <v>2023</v>
      </c>
      <c r="F197" s="5">
        <v>45033</v>
      </c>
      <c r="G197" s="4" t="s">
        <v>445</v>
      </c>
      <c r="H197" s="4" t="s">
        <v>18</v>
      </c>
      <c r="I197" s="4" t="s">
        <v>19</v>
      </c>
      <c r="J197" s="4" t="s">
        <v>20</v>
      </c>
      <c r="K197" s="4" t="s">
        <v>51</v>
      </c>
      <c r="L197" s="4" t="s">
        <v>434</v>
      </c>
      <c r="M197" s="4" t="s">
        <v>115</v>
      </c>
      <c r="N197" s="4" t="s">
        <v>116</v>
      </c>
      <c r="O197" s="4" t="s">
        <v>549</v>
      </c>
      <c r="P197" s="4" t="s">
        <v>550</v>
      </c>
    </row>
    <row r="198" spans="1:16" ht="15.6" x14ac:dyDescent="0.3">
      <c r="A198" s="2">
        <v>1359497</v>
      </c>
      <c r="B198" s="2" t="s">
        <v>30</v>
      </c>
      <c r="C198" s="2" t="s">
        <v>77</v>
      </c>
      <c r="D198" s="2" t="str">
        <f t="shared" si="3"/>
        <v>IPL-2023</v>
      </c>
      <c r="E198" s="2">
        <f>YEAR('IPL Info'!$F198)</f>
        <v>2023</v>
      </c>
      <c r="F198" s="3">
        <v>45032</v>
      </c>
      <c r="G198" s="2" t="s">
        <v>77</v>
      </c>
      <c r="H198" s="2" t="s">
        <v>18</v>
      </c>
      <c r="I198" s="2" t="s">
        <v>19</v>
      </c>
      <c r="J198" s="2" t="s">
        <v>20</v>
      </c>
      <c r="K198" s="2" t="s">
        <v>77</v>
      </c>
      <c r="L198" s="2" t="s">
        <v>370</v>
      </c>
      <c r="M198" s="2" t="s">
        <v>22</v>
      </c>
      <c r="N198" s="2" t="s">
        <v>23</v>
      </c>
      <c r="O198" s="2" t="s">
        <v>551</v>
      </c>
      <c r="P198" s="2" t="s">
        <v>552</v>
      </c>
    </row>
    <row r="199" spans="1:16" ht="15.6" x14ac:dyDescent="0.3">
      <c r="A199" s="4">
        <v>1359496</v>
      </c>
      <c r="B199" s="4" t="s">
        <v>56</v>
      </c>
      <c r="C199" s="4" t="s">
        <v>26</v>
      </c>
      <c r="D199" s="4" t="str">
        <f t="shared" si="3"/>
        <v>IPL-2023</v>
      </c>
      <c r="E199" s="4">
        <f>YEAR('IPL Info'!$F199)</f>
        <v>2023</v>
      </c>
      <c r="F199" s="5">
        <v>45032</v>
      </c>
      <c r="G199" s="4" t="s">
        <v>26</v>
      </c>
      <c r="H199" s="4" t="s">
        <v>18</v>
      </c>
      <c r="I199" s="4" t="s">
        <v>19</v>
      </c>
      <c r="J199" s="4" t="s">
        <v>20</v>
      </c>
      <c r="K199" s="4" t="s">
        <v>26</v>
      </c>
      <c r="L199" s="4" t="s">
        <v>310</v>
      </c>
      <c r="M199" s="4" t="s">
        <v>73</v>
      </c>
      <c r="N199" s="4" t="s">
        <v>74</v>
      </c>
      <c r="O199" s="4" t="s">
        <v>553</v>
      </c>
      <c r="P199" s="4" t="s">
        <v>554</v>
      </c>
    </row>
    <row r="200" spans="1:16" ht="15.6" x14ac:dyDescent="0.3">
      <c r="A200" s="2">
        <v>1359494</v>
      </c>
      <c r="B200" s="2" t="s">
        <v>445</v>
      </c>
      <c r="C200" s="2" t="s">
        <v>62</v>
      </c>
      <c r="D200" s="2" t="str">
        <f t="shared" si="3"/>
        <v>IPL-2023</v>
      </c>
      <c r="E200" s="2">
        <f>YEAR('IPL Info'!$F200)</f>
        <v>2023</v>
      </c>
      <c r="F200" s="3">
        <v>45031</v>
      </c>
      <c r="G200" s="2" t="s">
        <v>62</v>
      </c>
      <c r="H200" s="2" t="s">
        <v>18</v>
      </c>
      <c r="I200" s="2" t="s">
        <v>19</v>
      </c>
      <c r="J200" s="2" t="s">
        <v>20</v>
      </c>
      <c r="K200" s="2" t="s">
        <v>445</v>
      </c>
      <c r="L200" s="2" t="s">
        <v>158</v>
      </c>
      <c r="M200" s="2" t="s">
        <v>115</v>
      </c>
      <c r="N200" s="2" t="s">
        <v>116</v>
      </c>
      <c r="O200" s="2" t="s">
        <v>555</v>
      </c>
      <c r="P200" s="2" t="s">
        <v>556</v>
      </c>
    </row>
    <row r="201" spans="1:16" ht="15.6" x14ac:dyDescent="0.3">
      <c r="A201" s="4">
        <v>1359495</v>
      </c>
      <c r="B201" s="4" t="s">
        <v>40</v>
      </c>
      <c r="C201" s="4" t="s">
        <v>17</v>
      </c>
      <c r="D201" s="4" t="str">
        <f t="shared" si="3"/>
        <v>IPL-2023</v>
      </c>
      <c r="E201" s="4">
        <f>YEAR('IPL Info'!$F201)</f>
        <v>2023</v>
      </c>
      <c r="F201" s="5">
        <v>45031</v>
      </c>
      <c r="G201" s="4" t="s">
        <v>17</v>
      </c>
      <c r="H201" s="4" t="s">
        <v>18</v>
      </c>
      <c r="I201" s="4" t="s">
        <v>19</v>
      </c>
      <c r="J201" s="4" t="s">
        <v>20</v>
      </c>
      <c r="K201" s="4" t="s">
        <v>17</v>
      </c>
      <c r="L201" s="4" t="s">
        <v>557</v>
      </c>
      <c r="M201" s="4" t="s">
        <v>42</v>
      </c>
      <c r="N201" s="4" t="s">
        <v>43</v>
      </c>
      <c r="O201" s="4" t="s">
        <v>558</v>
      </c>
      <c r="P201" s="4" t="s">
        <v>559</v>
      </c>
    </row>
    <row r="202" spans="1:16" ht="15.6" x14ac:dyDescent="0.3">
      <c r="A202" s="2">
        <v>1359493</v>
      </c>
      <c r="B202" s="2" t="s">
        <v>55</v>
      </c>
      <c r="C202" s="2" t="s">
        <v>56</v>
      </c>
      <c r="D202" s="2" t="str">
        <f t="shared" si="3"/>
        <v>IPL-2023</v>
      </c>
      <c r="E202" s="2">
        <f>YEAR('IPL Info'!$F202)</f>
        <v>2023</v>
      </c>
      <c r="F202" s="3">
        <v>45030</v>
      </c>
      <c r="G202" s="2" t="s">
        <v>56</v>
      </c>
      <c r="H202" s="2" t="s">
        <v>18</v>
      </c>
      <c r="I202" s="2" t="s">
        <v>19</v>
      </c>
      <c r="J202" s="2" t="s">
        <v>20</v>
      </c>
      <c r="K202" s="2" t="s">
        <v>55</v>
      </c>
      <c r="L202" s="2" t="s">
        <v>560</v>
      </c>
      <c r="M202" s="2" t="s">
        <v>97</v>
      </c>
      <c r="N202" s="2" t="s">
        <v>98</v>
      </c>
      <c r="O202" s="2" t="s">
        <v>561</v>
      </c>
      <c r="P202" s="2" t="s">
        <v>562</v>
      </c>
    </row>
    <row r="203" spans="1:16" ht="15.6" x14ac:dyDescent="0.3">
      <c r="A203" s="4">
        <v>1359492</v>
      </c>
      <c r="B203" s="4" t="s">
        <v>17</v>
      </c>
      <c r="C203" s="4" t="s">
        <v>30</v>
      </c>
      <c r="D203" s="4" t="str">
        <f t="shared" si="3"/>
        <v>IPL-2023</v>
      </c>
      <c r="E203" s="4">
        <f>YEAR('IPL Info'!$F203)</f>
        <v>2023</v>
      </c>
      <c r="F203" s="5">
        <v>45029</v>
      </c>
      <c r="G203" s="4" t="s">
        <v>30</v>
      </c>
      <c r="H203" s="4" t="s">
        <v>18</v>
      </c>
      <c r="I203" s="4" t="s">
        <v>19</v>
      </c>
      <c r="J203" s="4" t="s">
        <v>20</v>
      </c>
      <c r="K203" s="4" t="s">
        <v>30</v>
      </c>
      <c r="L203" s="4" t="s">
        <v>403</v>
      </c>
      <c r="M203" s="4" t="s">
        <v>501</v>
      </c>
      <c r="N203" s="4" t="s">
        <v>502</v>
      </c>
      <c r="O203" s="4" t="s">
        <v>563</v>
      </c>
      <c r="P203" s="4" t="s">
        <v>564</v>
      </c>
    </row>
    <row r="204" spans="1:16" ht="15.6" x14ac:dyDescent="0.3">
      <c r="A204" s="2">
        <v>1359491</v>
      </c>
      <c r="B204" s="2" t="s">
        <v>77</v>
      </c>
      <c r="C204" s="2" t="s">
        <v>51</v>
      </c>
      <c r="D204" s="2" t="str">
        <f t="shared" si="3"/>
        <v>IPL-2023</v>
      </c>
      <c r="E204" s="2">
        <f>YEAR('IPL Info'!$F204)</f>
        <v>2023</v>
      </c>
      <c r="F204" s="3">
        <v>45028</v>
      </c>
      <c r="G204" s="2" t="s">
        <v>51</v>
      </c>
      <c r="H204" s="2" t="s">
        <v>18</v>
      </c>
      <c r="I204" s="2" t="s">
        <v>19</v>
      </c>
      <c r="J204" s="2" t="s">
        <v>20</v>
      </c>
      <c r="K204" s="2" t="s">
        <v>77</v>
      </c>
      <c r="L204" s="2" t="s">
        <v>265</v>
      </c>
      <c r="M204" s="2" t="s">
        <v>125</v>
      </c>
      <c r="N204" s="2" t="s">
        <v>126</v>
      </c>
      <c r="O204" s="2" t="s">
        <v>565</v>
      </c>
      <c r="P204" s="2" t="s">
        <v>566</v>
      </c>
    </row>
    <row r="205" spans="1:16" ht="15.6" x14ac:dyDescent="0.3">
      <c r="A205" s="4">
        <v>1359490</v>
      </c>
      <c r="B205" s="4" t="s">
        <v>62</v>
      </c>
      <c r="C205" s="4" t="s">
        <v>26</v>
      </c>
      <c r="D205" s="4" t="str">
        <f t="shared" si="3"/>
        <v>IPL-2023</v>
      </c>
      <c r="E205" s="4">
        <f>YEAR('IPL Info'!$F205)</f>
        <v>2023</v>
      </c>
      <c r="F205" s="5">
        <v>45027</v>
      </c>
      <c r="G205" s="4" t="s">
        <v>26</v>
      </c>
      <c r="H205" s="4" t="s">
        <v>18</v>
      </c>
      <c r="I205" s="4" t="s">
        <v>19</v>
      </c>
      <c r="J205" s="4" t="s">
        <v>20</v>
      </c>
      <c r="K205" s="4" t="s">
        <v>26</v>
      </c>
      <c r="L205" s="4" t="s">
        <v>32</v>
      </c>
      <c r="M205" s="4" t="s">
        <v>58</v>
      </c>
      <c r="N205" s="4" t="s">
        <v>59</v>
      </c>
      <c r="O205" s="4" t="s">
        <v>567</v>
      </c>
      <c r="P205" s="4" t="s">
        <v>568</v>
      </c>
    </row>
    <row r="206" spans="1:16" ht="15.6" x14ac:dyDescent="0.3">
      <c r="A206" s="2">
        <v>1359489</v>
      </c>
      <c r="B206" s="2" t="s">
        <v>445</v>
      </c>
      <c r="C206" s="2" t="s">
        <v>40</v>
      </c>
      <c r="D206" s="2" t="str">
        <f t="shared" si="3"/>
        <v>IPL-2023</v>
      </c>
      <c r="E206" s="2">
        <f>YEAR('IPL Info'!$F206)</f>
        <v>2023</v>
      </c>
      <c r="F206" s="3">
        <v>45026</v>
      </c>
      <c r="G206" s="2" t="s">
        <v>40</v>
      </c>
      <c r="H206" s="2" t="s">
        <v>18</v>
      </c>
      <c r="I206" s="2" t="s">
        <v>19</v>
      </c>
      <c r="J206" s="2" t="s">
        <v>20</v>
      </c>
      <c r="K206" s="2" t="s">
        <v>40</v>
      </c>
      <c r="L206" s="2" t="s">
        <v>201</v>
      </c>
      <c r="M206" s="2" t="s">
        <v>115</v>
      </c>
      <c r="N206" s="2" t="s">
        <v>116</v>
      </c>
      <c r="O206" s="2" t="s">
        <v>569</v>
      </c>
      <c r="P206" s="2" t="s">
        <v>570</v>
      </c>
    </row>
    <row r="207" spans="1:16" ht="15.6" x14ac:dyDescent="0.3">
      <c r="A207" s="4">
        <v>1359488</v>
      </c>
      <c r="B207" s="4" t="s">
        <v>17</v>
      </c>
      <c r="C207" s="4" t="s">
        <v>55</v>
      </c>
      <c r="D207" s="4" t="str">
        <f t="shared" si="3"/>
        <v>IPL-2023</v>
      </c>
      <c r="E207" s="4">
        <f>YEAR('IPL Info'!$F207)</f>
        <v>2023</v>
      </c>
      <c r="F207" s="5">
        <v>45025</v>
      </c>
      <c r="G207" s="4" t="s">
        <v>55</v>
      </c>
      <c r="H207" s="4" t="s">
        <v>18</v>
      </c>
      <c r="I207" s="4" t="s">
        <v>19</v>
      </c>
      <c r="J207" s="4" t="s">
        <v>20</v>
      </c>
      <c r="K207" s="4" t="s">
        <v>55</v>
      </c>
      <c r="L207" s="4" t="s">
        <v>571</v>
      </c>
      <c r="M207" s="4" t="s">
        <v>104</v>
      </c>
      <c r="N207" s="4" t="s">
        <v>105</v>
      </c>
      <c r="O207" s="4" t="s">
        <v>572</v>
      </c>
      <c r="P207" s="4" t="s">
        <v>573</v>
      </c>
    </row>
    <row r="208" spans="1:16" ht="15.6" x14ac:dyDescent="0.3">
      <c r="A208" s="2">
        <v>1359487</v>
      </c>
      <c r="B208" s="2" t="s">
        <v>30</v>
      </c>
      <c r="C208" s="2" t="s">
        <v>56</v>
      </c>
      <c r="D208" s="2" t="str">
        <f t="shared" si="3"/>
        <v>IPL-2023</v>
      </c>
      <c r="E208" s="2">
        <f>YEAR('IPL Info'!$F208)</f>
        <v>2023</v>
      </c>
      <c r="F208" s="3">
        <v>45025</v>
      </c>
      <c r="G208" s="2" t="s">
        <v>30</v>
      </c>
      <c r="H208" s="2" t="s">
        <v>31</v>
      </c>
      <c r="I208" s="2" t="s">
        <v>19</v>
      </c>
      <c r="J208" s="2" t="s">
        <v>20</v>
      </c>
      <c r="K208" s="2" t="s">
        <v>56</v>
      </c>
      <c r="L208" s="2" t="s">
        <v>467</v>
      </c>
      <c r="M208" s="2" t="s">
        <v>22</v>
      </c>
      <c r="N208" s="2" t="s">
        <v>23</v>
      </c>
      <c r="O208" s="2" t="s">
        <v>574</v>
      </c>
      <c r="P208" s="2" t="s">
        <v>575</v>
      </c>
    </row>
    <row r="209" spans="1:16" ht="15.6" x14ac:dyDescent="0.3">
      <c r="A209" s="4">
        <v>1359485</v>
      </c>
      <c r="B209" s="4" t="s">
        <v>77</v>
      </c>
      <c r="C209" s="4" t="s">
        <v>62</v>
      </c>
      <c r="D209" s="4" t="str">
        <f t="shared" si="3"/>
        <v>IPL-2023</v>
      </c>
      <c r="E209" s="4">
        <f>YEAR('IPL Info'!$F209)</f>
        <v>2023</v>
      </c>
      <c r="F209" s="5">
        <v>45024</v>
      </c>
      <c r="G209" s="4" t="s">
        <v>62</v>
      </c>
      <c r="H209" s="4" t="s">
        <v>18</v>
      </c>
      <c r="I209" s="4" t="s">
        <v>19</v>
      </c>
      <c r="J209" s="4" t="s">
        <v>20</v>
      </c>
      <c r="K209" s="4" t="s">
        <v>77</v>
      </c>
      <c r="L209" s="4" t="s">
        <v>477</v>
      </c>
      <c r="M209" s="4" t="s">
        <v>236</v>
      </c>
      <c r="N209" s="4" t="s">
        <v>237</v>
      </c>
      <c r="O209" s="4" t="s">
        <v>576</v>
      </c>
      <c r="P209" s="4" t="s">
        <v>577</v>
      </c>
    </row>
    <row r="210" spans="1:16" ht="15.6" x14ac:dyDescent="0.3">
      <c r="A210" s="2">
        <v>1359486</v>
      </c>
      <c r="B210" s="2" t="s">
        <v>26</v>
      </c>
      <c r="C210" s="2" t="s">
        <v>51</v>
      </c>
      <c r="D210" s="2" t="str">
        <f t="shared" si="3"/>
        <v>IPL-2023</v>
      </c>
      <c r="E210" s="2">
        <f>YEAR('IPL Info'!$F210)</f>
        <v>2023</v>
      </c>
      <c r="F210" s="3">
        <v>45024</v>
      </c>
      <c r="G210" s="2" t="s">
        <v>51</v>
      </c>
      <c r="H210" s="2" t="s">
        <v>18</v>
      </c>
      <c r="I210" s="2" t="s">
        <v>19</v>
      </c>
      <c r="J210" s="2" t="s">
        <v>20</v>
      </c>
      <c r="K210" s="2" t="s">
        <v>51</v>
      </c>
      <c r="L210" s="2" t="s">
        <v>305</v>
      </c>
      <c r="M210" s="2" t="s">
        <v>73</v>
      </c>
      <c r="N210" s="2" t="s">
        <v>74</v>
      </c>
      <c r="O210" s="2" t="s">
        <v>578</v>
      </c>
      <c r="P210" s="2" t="s">
        <v>579</v>
      </c>
    </row>
    <row r="211" spans="1:16" ht="15.6" x14ac:dyDescent="0.3">
      <c r="A211" s="4">
        <v>1359484</v>
      </c>
      <c r="B211" s="4" t="s">
        <v>55</v>
      </c>
      <c r="C211" s="4" t="s">
        <v>40</v>
      </c>
      <c r="D211" s="4" t="str">
        <f t="shared" si="3"/>
        <v>IPL-2023</v>
      </c>
      <c r="E211" s="4">
        <f>YEAR('IPL Info'!$F211)</f>
        <v>2023</v>
      </c>
      <c r="F211" s="5">
        <v>45023</v>
      </c>
      <c r="G211" s="4" t="s">
        <v>55</v>
      </c>
      <c r="H211" s="4" t="s">
        <v>31</v>
      </c>
      <c r="I211" s="4" t="s">
        <v>19</v>
      </c>
      <c r="J211" s="4" t="s">
        <v>20</v>
      </c>
      <c r="K211" s="4" t="s">
        <v>40</v>
      </c>
      <c r="L211" s="4" t="s">
        <v>21</v>
      </c>
      <c r="M211" s="4" t="s">
        <v>42</v>
      </c>
      <c r="N211" s="4" t="s">
        <v>43</v>
      </c>
      <c r="O211" s="4" t="s">
        <v>580</v>
      </c>
      <c r="P211" s="4" t="s">
        <v>581</v>
      </c>
    </row>
    <row r="212" spans="1:16" ht="15.6" x14ac:dyDescent="0.3">
      <c r="A212" s="2">
        <v>1359483</v>
      </c>
      <c r="B212" s="2" t="s">
        <v>56</v>
      </c>
      <c r="C212" s="2" t="s">
        <v>445</v>
      </c>
      <c r="D212" s="2" t="str">
        <f t="shared" si="3"/>
        <v>IPL-2023</v>
      </c>
      <c r="E212" s="2">
        <f>YEAR('IPL Info'!$F212)</f>
        <v>2023</v>
      </c>
      <c r="F212" s="3">
        <v>45022</v>
      </c>
      <c r="G212" s="2" t="s">
        <v>445</v>
      </c>
      <c r="H212" s="2" t="s">
        <v>18</v>
      </c>
      <c r="I212" s="2" t="s">
        <v>19</v>
      </c>
      <c r="J212" s="2" t="s">
        <v>20</v>
      </c>
      <c r="K212" s="2" t="s">
        <v>56</v>
      </c>
      <c r="L212" s="2" t="s">
        <v>243</v>
      </c>
      <c r="M212" s="2" t="s">
        <v>97</v>
      </c>
      <c r="N212" s="2" t="s">
        <v>98</v>
      </c>
      <c r="O212" s="2" t="s">
        <v>582</v>
      </c>
      <c r="P212" s="2" t="s">
        <v>583</v>
      </c>
    </row>
    <row r="213" spans="1:16" ht="15.6" x14ac:dyDescent="0.3">
      <c r="A213" s="4">
        <v>1359482</v>
      </c>
      <c r="B213" s="4" t="s">
        <v>17</v>
      </c>
      <c r="C213" s="4" t="s">
        <v>77</v>
      </c>
      <c r="D213" s="4" t="str">
        <f t="shared" si="3"/>
        <v>IPL-2023</v>
      </c>
      <c r="E213" s="4">
        <f>YEAR('IPL Info'!$F213)</f>
        <v>2023</v>
      </c>
      <c r="F213" s="5">
        <v>45021</v>
      </c>
      <c r="G213" s="4" t="s">
        <v>77</v>
      </c>
      <c r="H213" s="4" t="s">
        <v>18</v>
      </c>
      <c r="I213" s="4" t="s">
        <v>19</v>
      </c>
      <c r="J213" s="4" t="s">
        <v>20</v>
      </c>
      <c r="K213" s="4" t="s">
        <v>17</v>
      </c>
      <c r="L213" s="4" t="s">
        <v>584</v>
      </c>
      <c r="M213" s="4" t="s">
        <v>236</v>
      </c>
      <c r="N213" s="4" t="s">
        <v>237</v>
      </c>
      <c r="O213" s="4" t="s">
        <v>585</v>
      </c>
      <c r="P213" s="4" t="s">
        <v>586</v>
      </c>
    </row>
    <row r="214" spans="1:16" ht="15.6" x14ac:dyDescent="0.3">
      <c r="A214" s="2">
        <v>1359481</v>
      </c>
      <c r="B214" s="2" t="s">
        <v>62</v>
      </c>
      <c r="C214" s="2" t="s">
        <v>30</v>
      </c>
      <c r="D214" s="2" t="str">
        <f t="shared" si="3"/>
        <v>IPL-2023</v>
      </c>
      <c r="E214" s="2">
        <f>YEAR('IPL Info'!$F214)</f>
        <v>2023</v>
      </c>
      <c r="F214" s="3">
        <v>45020</v>
      </c>
      <c r="G214" s="2" t="s">
        <v>30</v>
      </c>
      <c r="H214" s="2" t="s">
        <v>18</v>
      </c>
      <c r="I214" s="2" t="s">
        <v>19</v>
      </c>
      <c r="J214" s="2" t="s">
        <v>20</v>
      </c>
      <c r="K214" s="2" t="s">
        <v>30</v>
      </c>
      <c r="L214" s="2" t="s">
        <v>84</v>
      </c>
      <c r="M214" s="2" t="s">
        <v>58</v>
      </c>
      <c r="N214" s="2" t="s">
        <v>59</v>
      </c>
      <c r="O214" s="2" t="s">
        <v>587</v>
      </c>
      <c r="P214" s="2" t="s">
        <v>588</v>
      </c>
    </row>
    <row r="215" spans="1:16" ht="15.6" x14ac:dyDescent="0.3">
      <c r="A215" s="4">
        <v>1359480</v>
      </c>
      <c r="B215" s="4" t="s">
        <v>51</v>
      </c>
      <c r="C215" s="4" t="s">
        <v>40</v>
      </c>
      <c r="D215" s="4" t="str">
        <f t="shared" si="3"/>
        <v>IPL-2023</v>
      </c>
      <c r="E215" s="4">
        <f>YEAR('IPL Info'!$F215)</f>
        <v>2023</v>
      </c>
      <c r="F215" s="5">
        <v>45019</v>
      </c>
      <c r="G215" s="4" t="s">
        <v>40</v>
      </c>
      <c r="H215" s="4" t="s">
        <v>18</v>
      </c>
      <c r="I215" s="4" t="s">
        <v>19</v>
      </c>
      <c r="J215" s="4" t="s">
        <v>20</v>
      </c>
      <c r="K215" s="4" t="s">
        <v>51</v>
      </c>
      <c r="L215" s="4" t="s">
        <v>589</v>
      </c>
      <c r="M215" s="4" t="s">
        <v>125</v>
      </c>
      <c r="N215" s="4" t="s">
        <v>126</v>
      </c>
      <c r="O215" s="4" t="s">
        <v>590</v>
      </c>
      <c r="P215" s="4" t="s">
        <v>591</v>
      </c>
    </row>
    <row r="216" spans="1:16" ht="15.6" x14ac:dyDescent="0.3">
      <c r="A216" s="2">
        <v>1359478</v>
      </c>
      <c r="B216" s="2" t="s">
        <v>77</v>
      </c>
      <c r="C216" s="2" t="s">
        <v>55</v>
      </c>
      <c r="D216" s="2" t="str">
        <f t="shared" si="3"/>
        <v>IPL-2023</v>
      </c>
      <c r="E216" s="2">
        <f>YEAR('IPL Info'!$F216)</f>
        <v>2023</v>
      </c>
      <c r="F216" s="3">
        <v>45018</v>
      </c>
      <c r="G216" s="2" t="s">
        <v>55</v>
      </c>
      <c r="H216" s="2" t="s">
        <v>18</v>
      </c>
      <c r="I216" s="2" t="s">
        <v>19</v>
      </c>
      <c r="J216" s="2" t="s">
        <v>20</v>
      </c>
      <c r="K216" s="2" t="s">
        <v>77</v>
      </c>
      <c r="L216" s="2" t="s">
        <v>165</v>
      </c>
      <c r="M216" s="2" t="s">
        <v>104</v>
      </c>
      <c r="N216" s="2" t="s">
        <v>105</v>
      </c>
      <c r="O216" s="2" t="s">
        <v>592</v>
      </c>
      <c r="P216" s="2" t="s">
        <v>593</v>
      </c>
    </row>
    <row r="217" spans="1:16" ht="15.6" x14ac:dyDescent="0.3">
      <c r="A217" s="4">
        <v>1359479</v>
      </c>
      <c r="B217" s="4" t="s">
        <v>26</v>
      </c>
      <c r="C217" s="4" t="s">
        <v>445</v>
      </c>
      <c r="D217" s="4" t="str">
        <f t="shared" si="3"/>
        <v>IPL-2023</v>
      </c>
      <c r="E217" s="4">
        <f>YEAR('IPL Info'!$F217)</f>
        <v>2023</v>
      </c>
      <c r="F217" s="5">
        <v>45018</v>
      </c>
      <c r="G217" s="4" t="s">
        <v>445</v>
      </c>
      <c r="H217" s="4" t="s">
        <v>18</v>
      </c>
      <c r="I217" s="4" t="s">
        <v>19</v>
      </c>
      <c r="J217" s="4" t="s">
        <v>20</v>
      </c>
      <c r="K217" s="4" t="s">
        <v>445</v>
      </c>
      <c r="L217" s="4" t="s">
        <v>271</v>
      </c>
      <c r="M217" s="4" t="s">
        <v>115</v>
      </c>
      <c r="N217" s="4" t="s">
        <v>116</v>
      </c>
      <c r="O217" s="4" t="s">
        <v>594</v>
      </c>
      <c r="P217" s="4" t="s">
        <v>595</v>
      </c>
    </row>
    <row r="218" spans="1:16" ht="15.6" x14ac:dyDescent="0.3">
      <c r="A218" s="2">
        <v>1359477</v>
      </c>
      <c r="B218" s="2" t="s">
        <v>40</v>
      </c>
      <c r="C218" s="2" t="s">
        <v>62</v>
      </c>
      <c r="D218" s="2" t="str">
        <f t="shared" si="3"/>
        <v>IPL-2023</v>
      </c>
      <c r="E218" s="2">
        <f>YEAR('IPL Info'!$F218)</f>
        <v>2023</v>
      </c>
      <c r="F218" s="3">
        <v>45017</v>
      </c>
      <c r="G218" s="2" t="s">
        <v>62</v>
      </c>
      <c r="H218" s="2" t="s">
        <v>18</v>
      </c>
      <c r="I218" s="2" t="s">
        <v>19</v>
      </c>
      <c r="J218" s="2" t="s">
        <v>20</v>
      </c>
      <c r="K218" s="2" t="s">
        <v>40</v>
      </c>
      <c r="L218" s="2" t="s">
        <v>596</v>
      </c>
      <c r="M218" s="2" t="s">
        <v>42</v>
      </c>
      <c r="N218" s="2" t="s">
        <v>43</v>
      </c>
      <c r="O218" s="2" t="s">
        <v>597</v>
      </c>
      <c r="P218" s="2" t="s">
        <v>598</v>
      </c>
    </row>
    <row r="219" spans="1:16" ht="15.6" x14ac:dyDescent="0.3">
      <c r="A219" s="4">
        <v>1359476</v>
      </c>
      <c r="B219" s="4" t="s">
        <v>17</v>
      </c>
      <c r="C219" s="4" t="s">
        <v>56</v>
      </c>
      <c r="D219" s="4" t="str">
        <f t="shared" si="3"/>
        <v>IPL-2023</v>
      </c>
      <c r="E219" s="4">
        <f>YEAR('IPL Info'!$F219)</f>
        <v>2023</v>
      </c>
      <c r="F219" s="5">
        <v>45017</v>
      </c>
      <c r="G219" s="4" t="s">
        <v>56</v>
      </c>
      <c r="H219" s="4" t="s">
        <v>18</v>
      </c>
      <c r="I219" s="4" t="s">
        <v>19</v>
      </c>
      <c r="J219" s="4" t="s">
        <v>20</v>
      </c>
      <c r="K219" s="4" t="s">
        <v>17</v>
      </c>
      <c r="L219" s="4" t="s">
        <v>599</v>
      </c>
      <c r="M219" s="4" t="s">
        <v>501</v>
      </c>
      <c r="N219" s="4" t="s">
        <v>502</v>
      </c>
      <c r="O219" s="4" t="s">
        <v>600</v>
      </c>
      <c r="P219" s="4" t="s">
        <v>601</v>
      </c>
    </row>
    <row r="220" spans="1:16" ht="15.6" x14ac:dyDescent="0.3">
      <c r="A220" s="2">
        <v>1359475</v>
      </c>
      <c r="B220" s="2" t="s">
        <v>51</v>
      </c>
      <c r="C220" s="2" t="s">
        <v>30</v>
      </c>
      <c r="D220" s="2" t="str">
        <f t="shared" si="3"/>
        <v>IPL-2023</v>
      </c>
      <c r="E220" s="2">
        <f>YEAR('IPL Info'!$F220)</f>
        <v>2023</v>
      </c>
      <c r="F220" s="3">
        <v>45016</v>
      </c>
      <c r="G220" s="2" t="s">
        <v>30</v>
      </c>
      <c r="H220" s="2" t="s">
        <v>18</v>
      </c>
      <c r="I220" s="2" t="s">
        <v>19</v>
      </c>
      <c r="J220" s="2" t="s">
        <v>20</v>
      </c>
      <c r="K220" s="2" t="s">
        <v>30</v>
      </c>
      <c r="L220" s="2" t="s">
        <v>377</v>
      </c>
      <c r="M220" s="2" t="s">
        <v>22</v>
      </c>
      <c r="N220" s="2" t="s">
        <v>23</v>
      </c>
      <c r="O220" s="2" t="s">
        <v>602</v>
      </c>
      <c r="P220" s="2" t="s">
        <v>603</v>
      </c>
    </row>
    <row r="221" spans="1:16" ht="15.6" x14ac:dyDescent="0.3">
      <c r="A221" s="4">
        <v>1312200</v>
      </c>
      <c r="B221" s="4" t="s">
        <v>77</v>
      </c>
      <c r="C221" s="4" t="s">
        <v>30</v>
      </c>
      <c r="D221" s="4" t="str">
        <f t="shared" si="3"/>
        <v>IPL-2022</v>
      </c>
      <c r="E221" s="4">
        <f>YEAR('IPL Info'!$F221)</f>
        <v>2022</v>
      </c>
      <c r="F221" s="5">
        <v>44710</v>
      </c>
      <c r="G221" s="4" t="s">
        <v>77</v>
      </c>
      <c r="H221" s="4" t="s">
        <v>31</v>
      </c>
      <c r="I221" s="4" t="s">
        <v>19</v>
      </c>
      <c r="J221" s="4" t="s">
        <v>20</v>
      </c>
      <c r="K221" s="4" t="s">
        <v>30</v>
      </c>
      <c r="L221" s="4" t="s">
        <v>604</v>
      </c>
      <c r="M221" s="4" t="s">
        <v>22</v>
      </c>
      <c r="N221" s="4" t="s">
        <v>23</v>
      </c>
      <c r="O221" s="4" t="s">
        <v>605</v>
      </c>
      <c r="P221" s="4" t="s">
        <v>606</v>
      </c>
    </row>
    <row r="222" spans="1:16" ht="15.6" x14ac:dyDescent="0.3">
      <c r="A222" s="2">
        <v>1312199</v>
      </c>
      <c r="B222" s="2" t="s">
        <v>445</v>
      </c>
      <c r="C222" s="2" t="s">
        <v>77</v>
      </c>
      <c r="D222" s="2" t="str">
        <f t="shared" si="3"/>
        <v>IPL-2022</v>
      </c>
      <c r="E222" s="2">
        <f>YEAR('IPL Info'!$F222)</f>
        <v>2022</v>
      </c>
      <c r="F222" s="3">
        <v>44708</v>
      </c>
      <c r="G222" s="2" t="s">
        <v>77</v>
      </c>
      <c r="H222" s="2" t="s">
        <v>18</v>
      </c>
      <c r="I222" s="2" t="s">
        <v>19</v>
      </c>
      <c r="J222" s="2" t="s">
        <v>20</v>
      </c>
      <c r="K222" s="2" t="s">
        <v>77</v>
      </c>
      <c r="L222" s="2" t="s">
        <v>165</v>
      </c>
      <c r="M222" s="2" t="s">
        <v>22</v>
      </c>
      <c r="N222" s="2" t="s">
        <v>23</v>
      </c>
      <c r="O222" s="2" t="s">
        <v>607</v>
      </c>
      <c r="P222" s="2" t="s">
        <v>608</v>
      </c>
    </row>
    <row r="223" spans="1:16" ht="15.6" x14ac:dyDescent="0.3">
      <c r="A223" s="4">
        <v>1312198</v>
      </c>
      <c r="B223" s="4" t="s">
        <v>445</v>
      </c>
      <c r="C223" s="4" t="s">
        <v>40</v>
      </c>
      <c r="D223" s="4" t="str">
        <f t="shared" si="3"/>
        <v>IPL-2022</v>
      </c>
      <c r="E223" s="4">
        <f>YEAR('IPL Info'!$F223)</f>
        <v>2022</v>
      </c>
      <c r="F223" s="5">
        <v>44706</v>
      </c>
      <c r="G223" s="4" t="s">
        <v>40</v>
      </c>
      <c r="H223" s="4" t="s">
        <v>18</v>
      </c>
      <c r="I223" s="4" t="s">
        <v>19</v>
      </c>
      <c r="J223" s="4" t="s">
        <v>20</v>
      </c>
      <c r="K223" s="4" t="s">
        <v>445</v>
      </c>
      <c r="L223" s="4" t="s">
        <v>207</v>
      </c>
      <c r="M223" s="4" t="s">
        <v>97</v>
      </c>
      <c r="N223" s="4" t="s">
        <v>98</v>
      </c>
      <c r="O223" s="4" t="s">
        <v>609</v>
      </c>
      <c r="P223" s="4" t="s">
        <v>610</v>
      </c>
    </row>
    <row r="224" spans="1:16" ht="15.6" x14ac:dyDescent="0.3">
      <c r="A224" s="2">
        <v>1312197</v>
      </c>
      <c r="B224" s="2" t="s">
        <v>77</v>
      </c>
      <c r="C224" s="2" t="s">
        <v>30</v>
      </c>
      <c r="D224" s="2" t="str">
        <f t="shared" si="3"/>
        <v>IPL-2022</v>
      </c>
      <c r="E224" s="2">
        <f>YEAR('IPL Info'!$F224)</f>
        <v>2022</v>
      </c>
      <c r="F224" s="3">
        <v>44705</v>
      </c>
      <c r="G224" s="2" t="s">
        <v>30</v>
      </c>
      <c r="H224" s="2" t="s">
        <v>18</v>
      </c>
      <c r="I224" s="2" t="s">
        <v>19</v>
      </c>
      <c r="J224" s="2" t="s">
        <v>20</v>
      </c>
      <c r="K224" s="2" t="s">
        <v>30</v>
      </c>
      <c r="L224" s="2" t="s">
        <v>611</v>
      </c>
      <c r="M224" s="2" t="s">
        <v>97</v>
      </c>
      <c r="N224" s="2" t="s">
        <v>98</v>
      </c>
      <c r="O224" s="2" t="s">
        <v>608</v>
      </c>
      <c r="P224" s="2" t="s">
        <v>612</v>
      </c>
    </row>
    <row r="225" spans="1:16" ht="15.6" x14ac:dyDescent="0.3">
      <c r="A225" s="4">
        <v>1304116</v>
      </c>
      <c r="B225" s="4" t="s">
        <v>55</v>
      </c>
      <c r="C225" s="4" t="s">
        <v>17</v>
      </c>
      <c r="D225" s="4" t="str">
        <f t="shared" si="3"/>
        <v>IPL-2022</v>
      </c>
      <c r="E225" s="4">
        <f>YEAR('IPL Info'!$F225)</f>
        <v>2022</v>
      </c>
      <c r="F225" s="5">
        <v>44703</v>
      </c>
      <c r="G225" s="4" t="s">
        <v>55</v>
      </c>
      <c r="H225" s="4" t="s">
        <v>31</v>
      </c>
      <c r="I225" s="4" t="s">
        <v>19</v>
      </c>
      <c r="J225" s="4" t="s">
        <v>20</v>
      </c>
      <c r="K225" s="4" t="s">
        <v>17</v>
      </c>
      <c r="L225" s="4" t="s">
        <v>87</v>
      </c>
      <c r="M225" s="4" t="s">
        <v>73</v>
      </c>
      <c r="N225" s="4" t="s">
        <v>74</v>
      </c>
      <c r="O225" s="4" t="s">
        <v>613</v>
      </c>
      <c r="P225" s="4" t="s">
        <v>614</v>
      </c>
    </row>
    <row r="226" spans="1:16" ht="15.6" x14ac:dyDescent="0.3">
      <c r="A226" s="2">
        <v>1304115</v>
      </c>
      <c r="B226" s="2" t="s">
        <v>62</v>
      </c>
      <c r="C226" s="2" t="s">
        <v>26</v>
      </c>
      <c r="D226" s="2" t="str">
        <f t="shared" si="3"/>
        <v>IPL-2022</v>
      </c>
      <c r="E226" s="2">
        <f>YEAR('IPL Info'!$F226)</f>
        <v>2022</v>
      </c>
      <c r="F226" s="3">
        <v>44702</v>
      </c>
      <c r="G226" s="2" t="s">
        <v>26</v>
      </c>
      <c r="H226" s="2" t="s">
        <v>18</v>
      </c>
      <c r="I226" s="2" t="s">
        <v>19</v>
      </c>
      <c r="J226" s="2" t="s">
        <v>20</v>
      </c>
      <c r="K226" s="2" t="s">
        <v>26</v>
      </c>
      <c r="L226" s="2" t="s">
        <v>356</v>
      </c>
      <c r="M226" s="2" t="s">
        <v>73</v>
      </c>
      <c r="N226" s="2" t="s">
        <v>74</v>
      </c>
      <c r="O226" s="2" t="s">
        <v>615</v>
      </c>
      <c r="P226" s="2" t="s">
        <v>616</v>
      </c>
    </row>
    <row r="227" spans="1:16" ht="15.6" x14ac:dyDescent="0.3">
      <c r="A227" s="4">
        <v>1304114</v>
      </c>
      <c r="B227" s="4" t="s">
        <v>51</v>
      </c>
      <c r="C227" s="4" t="s">
        <v>77</v>
      </c>
      <c r="D227" s="4" t="str">
        <f t="shared" si="3"/>
        <v>IPL-2022</v>
      </c>
      <c r="E227" s="4">
        <f>YEAR('IPL Info'!$F227)</f>
        <v>2022</v>
      </c>
      <c r="F227" s="5">
        <v>44701</v>
      </c>
      <c r="G227" s="4" t="s">
        <v>51</v>
      </c>
      <c r="H227" s="4" t="s">
        <v>31</v>
      </c>
      <c r="I227" s="4" t="s">
        <v>19</v>
      </c>
      <c r="J227" s="4" t="s">
        <v>20</v>
      </c>
      <c r="K227" s="4" t="s">
        <v>77</v>
      </c>
      <c r="L227" s="4" t="s">
        <v>265</v>
      </c>
      <c r="M227" s="4" t="s">
        <v>617</v>
      </c>
      <c r="N227" s="4" t="s">
        <v>74</v>
      </c>
      <c r="O227" s="4" t="s">
        <v>618</v>
      </c>
      <c r="P227" s="4" t="s">
        <v>619</v>
      </c>
    </row>
    <row r="228" spans="1:16" ht="15.6" x14ac:dyDescent="0.3">
      <c r="A228" s="2">
        <v>1304113</v>
      </c>
      <c r="B228" s="2" t="s">
        <v>30</v>
      </c>
      <c r="C228" s="2" t="s">
        <v>445</v>
      </c>
      <c r="D228" s="2" t="str">
        <f t="shared" si="3"/>
        <v>IPL-2022</v>
      </c>
      <c r="E228" s="2">
        <f>YEAR('IPL Info'!$F228)</f>
        <v>2022</v>
      </c>
      <c r="F228" s="3">
        <v>44700</v>
      </c>
      <c r="G228" s="2" t="s">
        <v>30</v>
      </c>
      <c r="H228" s="2" t="s">
        <v>31</v>
      </c>
      <c r="I228" s="2" t="s">
        <v>19</v>
      </c>
      <c r="J228" s="2" t="s">
        <v>20</v>
      </c>
      <c r="K228" s="2" t="s">
        <v>445</v>
      </c>
      <c r="L228" s="2" t="s">
        <v>158</v>
      </c>
      <c r="M228" s="2" t="s">
        <v>73</v>
      </c>
      <c r="N228" s="2" t="s">
        <v>74</v>
      </c>
      <c r="O228" s="2" t="s">
        <v>606</v>
      </c>
      <c r="P228" s="2" t="s">
        <v>620</v>
      </c>
    </row>
    <row r="229" spans="1:16" ht="15.6" x14ac:dyDescent="0.3">
      <c r="A229" s="4">
        <v>1304112</v>
      </c>
      <c r="B229" s="4" t="s">
        <v>40</v>
      </c>
      <c r="C229" s="4" t="s">
        <v>56</v>
      </c>
      <c r="D229" s="4" t="str">
        <f t="shared" si="3"/>
        <v>IPL-2022</v>
      </c>
      <c r="E229" s="4">
        <f>YEAR('IPL Info'!$F229)</f>
        <v>2022</v>
      </c>
      <c r="F229" s="5">
        <v>44699</v>
      </c>
      <c r="G229" s="4" t="s">
        <v>40</v>
      </c>
      <c r="H229" s="4" t="s">
        <v>31</v>
      </c>
      <c r="I229" s="4" t="s">
        <v>19</v>
      </c>
      <c r="J229" s="4" t="s">
        <v>20</v>
      </c>
      <c r="K229" s="4" t="s">
        <v>40</v>
      </c>
      <c r="L229" s="4" t="s">
        <v>246</v>
      </c>
      <c r="M229" s="4" t="s">
        <v>621</v>
      </c>
      <c r="N229" s="4" t="s">
        <v>622</v>
      </c>
      <c r="O229" s="4" t="s">
        <v>623</v>
      </c>
      <c r="P229" s="4" t="s">
        <v>624</v>
      </c>
    </row>
    <row r="230" spans="1:16" ht="15.6" x14ac:dyDescent="0.3">
      <c r="A230" s="2">
        <v>1304111</v>
      </c>
      <c r="B230" s="2" t="s">
        <v>55</v>
      </c>
      <c r="C230" s="2" t="s">
        <v>26</v>
      </c>
      <c r="D230" s="2" t="str">
        <f t="shared" si="3"/>
        <v>IPL-2022</v>
      </c>
      <c r="E230" s="2">
        <f>YEAR('IPL Info'!$F230)</f>
        <v>2022</v>
      </c>
      <c r="F230" s="3">
        <v>44698</v>
      </c>
      <c r="G230" s="2" t="s">
        <v>26</v>
      </c>
      <c r="H230" s="2" t="s">
        <v>18</v>
      </c>
      <c r="I230" s="2" t="s">
        <v>19</v>
      </c>
      <c r="J230" s="2" t="s">
        <v>20</v>
      </c>
      <c r="K230" s="2" t="s">
        <v>55</v>
      </c>
      <c r="L230" s="2" t="s">
        <v>625</v>
      </c>
      <c r="M230" s="2" t="s">
        <v>73</v>
      </c>
      <c r="N230" s="2" t="s">
        <v>74</v>
      </c>
      <c r="O230" s="2" t="s">
        <v>626</v>
      </c>
      <c r="P230" s="2" t="s">
        <v>627</v>
      </c>
    </row>
    <row r="231" spans="1:16" ht="15.6" x14ac:dyDescent="0.3">
      <c r="A231" s="4">
        <v>1304110</v>
      </c>
      <c r="B231" s="4" t="s">
        <v>62</v>
      </c>
      <c r="C231" s="4" t="s">
        <v>17</v>
      </c>
      <c r="D231" s="4" t="str">
        <f t="shared" si="3"/>
        <v>IPL-2022</v>
      </c>
      <c r="E231" s="4">
        <f>YEAR('IPL Info'!$F231)</f>
        <v>2022</v>
      </c>
      <c r="F231" s="5">
        <v>44697</v>
      </c>
      <c r="G231" s="4" t="s">
        <v>17</v>
      </c>
      <c r="H231" s="4" t="s">
        <v>18</v>
      </c>
      <c r="I231" s="4" t="s">
        <v>19</v>
      </c>
      <c r="J231" s="4" t="s">
        <v>20</v>
      </c>
      <c r="K231" s="4" t="s">
        <v>62</v>
      </c>
      <c r="L231" s="4" t="s">
        <v>243</v>
      </c>
      <c r="M231" s="4" t="s">
        <v>621</v>
      </c>
      <c r="N231" s="4" t="s">
        <v>622</v>
      </c>
      <c r="O231" s="4" t="s">
        <v>628</v>
      </c>
      <c r="P231" s="4" t="s">
        <v>629</v>
      </c>
    </row>
    <row r="232" spans="1:16" ht="15.6" x14ac:dyDescent="0.3">
      <c r="A232" s="2">
        <v>1304109</v>
      </c>
      <c r="B232" s="2" t="s">
        <v>77</v>
      </c>
      <c r="C232" s="2" t="s">
        <v>40</v>
      </c>
      <c r="D232" s="2" t="str">
        <f t="shared" si="3"/>
        <v>IPL-2022</v>
      </c>
      <c r="E232" s="2">
        <f>YEAR('IPL Info'!$F232)</f>
        <v>2022</v>
      </c>
      <c r="F232" s="3">
        <v>44696</v>
      </c>
      <c r="G232" s="2" t="s">
        <v>77</v>
      </c>
      <c r="H232" s="2" t="s">
        <v>31</v>
      </c>
      <c r="I232" s="2" t="s">
        <v>19</v>
      </c>
      <c r="J232" s="2" t="s">
        <v>20</v>
      </c>
      <c r="K232" s="2" t="s">
        <v>77</v>
      </c>
      <c r="L232" s="2" t="s">
        <v>148</v>
      </c>
      <c r="M232" s="2" t="s">
        <v>617</v>
      </c>
      <c r="N232" s="2" t="s">
        <v>74</v>
      </c>
      <c r="O232" s="2" t="s">
        <v>630</v>
      </c>
      <c r="P232" s="2" t="s">
        <v>631</v>
      </c>
    </row>
    <row r="233" spans="1:16" ht="15.6" x14ac:dyDescent="0.3">
      <c r="A233" s="4">
        <v>1304108</v>
      </c>
      <c r="B233" s="4" t="s">
        <v>51</v>
      </c>
      <c r="C233" s="4" t="s">
        <v>30</v>
      </c>
      <c r="D233" s="4" t="str">
        <f t="shared" si="3"/>
        <v>IPL-2022</v>
      </c>
      <c r="E233" s="4">
        <f>YEAR('IPL Info'!$F233)</f>
        <v>2022</v>
      </c>
      <c r="F233" s="5">
        <v>44696</v>
      </c>
      <c r="G233" s="4" t="s">
        <v>51</v>
      </c>
      <c r="H233" s="4" t="s">
        <v>31</v>
      </c>
      <c r="I233" s="4" t="s">
        <v>19</v>
      </c>
      <c r="J233" s="4" t="s">
        <v>20</v>
      </c>
      <c r="K233" s="4" t="s">
        <v>30</v>
      </c>
      <c r="L233" s="4" t="s">
        <v>632</v>
      </c>
      <c r="M233" s="4" t="s">
        <v>73</v>
      </c>
      <c r="N233" s="4" t="s">
        <v>74</v>
      </c>
      <c r="O233" s="4" t="s">
        <v>633</v>
      </c>
      <c r="P233" s="4" t="s">
        <v>612</v>
      </c>
    </row>
    <row r="234" spans="1:16" ht="15.6" x14ac:dyDescent="0.3">
      <c r="A234" s="2">
        <v>1304107</v>
      </c>
      <c r="B234" s="2" t="s">
        <v>56</v>
      </c>
      <c r="C234" s="2" t="s">
        <v>55</v>
      </c>
      <c r="D234" s="2" t="str">
        <f t="shared" si="3"/>
        <v>IPL-2022</v>
      </c>
      <c r="E234" s="2">
        <f>YEAR('IPL Info'!$F234)</f>
        <v>2022</v>
      </c>
      <c r="F234" s="3">
        <v>44695</v>
      </c>
      <c r="G234" s="2" t="s">
        <v>56</v>
      </c>
      <c r="H234" s="2" t="s">
        <v>31</v>
      </c>
      <c r="I234" s="2" t="s">
        <v>19</v>
      </c>
      <c r="J234" s="2" t="s">
        <v>20</v>
      </c>
      <c r="K234" s="2" t="s">
        <v>56</v>
      </c>
      <c r="L234" s="2" t="s">
        <v>111</v>
      </c>
      <c r="M234" s="2" t="s">
        <v>634</v>
      </c>
      <c r="N234" s="2" t="s">
        <v>635</v>
      </c>
      <c r="O234" s="2" t="s">
        <v>636</v>
      </c>
      <c r="P234" s="2" t="s">
        <v>637</v>
      </c>
    </row>
    <row r="235" spans="1:16" ht="15.6" x14ac:dyDescent="0.3">
      <c r="A235" s="4">
        <v>1304106</v>
      </c>
      <c r="B235" s="4" t="s">
        <v>17</v>
      </c>
      <c r="C235" s="4" t="s">
        <v>445</v>
      </c>
      <c r="D235" s="4" t="str">
        <f t="shared" si="3"/>
        <v>IPL-2022</v>
      </c>
      <c r="E235" s="4">
        <f>YEAR('IPL Info'!$F235)</f>
        <v>2022</v>
      </c>
      <c r="F235" s="5">
        <v>44694</v>
      </c>
      <c r="G235" s="4" t="s">
        <v>445</v>
      </c>
      <c r="H235" s="4" t="s">
        <v>18</v>
      </c>
      <c r="I235" s="4" t="s">
        <v>19</v>
      </c>
      <c r="J235" s="4" t="s">
        <v>20</v>
      </c>
      <c r="K235" s="4" t="s">
        <v>17</v>
      </c>
      <c r="L235" s="4" t="s">
        <v>334</v>
      </c>
      <c r="M235" s="4" t="s">
        <v>617</v>
      </c>
      <c r="N235" s="4" t="s">
        <v>74</v>
      </c>
      <c r="O235" s="4" t="s">
        <v>629</v>
      </c>
      <c r="P235" s="4" t="s">
        <v>638</v>
      </c>
    </row>
    <row r="236" spans="1:16" ht="15.6" x14ac:dyDescent="0.3">
      <c r="A236" s="2">
        <v>1304105</v>
      </c>
      <c r="B236" s="2" t="s">
        <v>51</v>
      </c>
      <c r="C236" s="2" t="s">
        <v>26</v>
      </c>
      <c r="D236" s="2" t="str">
        <f t="shared" si="3"/>
        <v>IPL-2022</v>
      </c>
      <c r="E236" s="2">
        <f>YEAR('IPL Info'!$F236)</f>
        <v>2022</v>
      </c>
      <c r="F236" s="3">
        <v>44693</v>
      </c>
      <c r="G236" s="2" t="s">
        <v>26</v>
      </c>
      <c r="H236" s="2" t="s">
        <v>18</v>
      </c>
      <c r="I236" s="2" t="s">
        <v>19</v>
      </c>
      <c r="J236" s="2" t="s">
        <v>20</v>
      </c>
      <c r="K236" s="2" t="s">
        <v>26</v>
      </c>
      <c r="L236" s="2" t="s">
        <v>639</v>
      </c>
      <c r="M236" s="2" t="s">
        <v>73</v>
      </c>
      <c r="N236" s="2" t="s">
        <v>74</v>
      </c>
      <c r="O236" s="2" t="s">
        <v>640</v>
      </c>
      <c r="P236" s="2" t="s">
        <v>641</v>
      </c>
    </row>
    <row r="237" spans="1:16" ht="15.6" x14ac:dyDescent="0.3">
      <c r="A237" s="4">
        <v>1304104</v>
      </c>
      <c r="B237" s="4" t="s">
        <v>77</v>
      </c>
      <c r="C237" s="4" t="s">
        <v>62</v>
      </c>
      <c r="D237" s="4" t="str">
        <f t="shared" si="3"/>
        <v>IPL-2022</v>
      </c>
      <c r="E237" s="4">
        <f>YEAR('IPL Info'!$F237)</f>
        <v>2022</v>
      </c>
      <c r="F237" s="5">
        <v>44692</v>
      </c>
      <c r="G237" s="4" t="s">
        <v>62</v>
      </c>
      <c r="H237" s="4" t="s">
        <v>18</v>
      </c>
      <c r="I237" s="4" t="s">
        <v>19</v>
      </c>
      <c r="J237" s="4" t="s">
        <v>20</v>
      </c>
      <c r="K237" s="4" t="s">
        <v>62</v>
      </c>
      <c r="L237" s="4" t="s">
        <v>69</v>
      </c>
      <c r="M237" s="4" t="s">
        <v>621</v>
      </c>
      <c r="N237" s="4" t="s">
        <v>622</v>
      </c>
      <c r="O237" s="4" t="s">
        <v>642</v>
      </c>
      <c r="P237" s="4" t="s">
        <v>643</v>
      </c>
    </row>
    <row r="238" spans="1:16" ht="15.6" x14ac:dyDescent="0.3">
      <c r="A238" s="2">
        <v>1304103</v>
      </c>
      <c r="B238" s="2" t="s">
        <v>30</v>
      </c>
      <c r="C238" s="2" t="s">
        <v>40</v>
      </c>
      <c r="D238" s="2" t="str">
        <f t="shared" si="3"/>
        <v>IPL-2022</v>
      </c>
      <c r="E238" s="2">
        <f>YEAR('IPL Info'!$F238)</f>
        <v>2022</v>
      </c>
      <c r="F238" s="3">
        <v>44691</v>
      </c>
      <c r="G238" s="2" t="s">
        <v>30</v>
      </c>
      <c r="H238" s="2" t="s">
        <v>31</v>
      </c>
      <c r="I238" s="2" t="s">
        <v>19</v>
      </c>
      <c r="J238" s="2" t="s">
        <v>20</v>
      </c>
      <c r="K238" s="2" t="s">
        <v>30</v>
      </c>
      <c r="L238" s="2" t="s">
        <v>101</v>
      </c>
      <c r="M238" s="2" t="s">
        <v>634</v>
      </c>
      <c r="N238" s="2" t="s">
        <v>635</v>
      </c>
      <c r="O238" s="2" t="s">
        <v>612</v>
      </c>
      <c r="P238" s="2" t="s">
        <v>644</v>
      </c>
    </row>
    <row r="239" spans="1:16" ht="15.6" x14ac:dyDescent="0.3">
      <c r="A239" s="4">
        <v>1304102</v>
      </c>
      <c r="B239" s="4" t="s">
        <v>56</v>
      </c>
      <c r="C239" s="4" t="s">
        <v>26</v>
      </c>
      <c r="D239" s="4" t="str">
        <f t="shared" si="3"/>
        <v>IPL-2022</v>
      </c>
      <c r="E239" s="4">
        <f>YEAR('IPL Info'!$F239)</f>
        <v>2022</v>
      </c>
      <c r="F239" s="5">
        <v>44690</v>
      </c>
      <c r="G239" s="4" t="s">
        <v>26</v>
      </c>
      <c r="H239" s="4" t="s">
        <v>18</v>
      </c>
      <c r="I239" s="4" t="s">
        <v>19</v>
      </c>
      <c r="J239" s="4" t="s">
        <v>20</v>
      </c>
      <c r="K239" s="4" t="s">
        <v>56</v>
      </c>
      <c r="L239" s="4" t="s">
        <v>356</v>
      </c>
      <c r="M239" s="4" t="s">
        <v>621</v>
      </c>
      <c r="N239" s="4" t="s">
        <v>622</v>
      </c>
      <c r="O239" s="4" t="s">
        <v>645</v>
      </c>
      <c r="P239" s="4" t="s">
        <v>646</v>
      </c>
    </row>
    <row r="240" spans="1:16" ht="15.6" x14ac:dyDescent="0.3">
      <c r="A240" s="2">
        <v>1304100</v>
      </c>
      <c r="B240" s="2" t="s">
        <v>445</v>
      </c>
      <c r="C240" s="2" t="s">
        <v>55</v>
      </c>
      <c r="D240" s="2" t="str">
        <f t="shared" si="3"/>
        <v>IPL-2022</v>
      </c>
      <c r="E240" s="2">
        <f>YEAR('IPL Info'!$F240)</f>
        <v>2022</v>
      </c>
      <c r="F240" s="3">
        <v>44689</v>
      </c>
      <c r="G240" s="2" t="s">
        <v>445</v>
      </c>
      <c r="H240" s="2" t="s">
        <v>31</v>
      </c>
      <c r="I240" s="2" t="s">
        <v>19</v>
      </c>
      <c r="J240" s="2" t="s">
        <v>20</v>
      </c>
      <c r="K240" s="2" t="s">
        <v>445</v>
      </c>
      <c r="L240" s="2" t="s">
        <v>647</v>
      </c>
      <c r="M240" s="2" t="s">
        <v>73</v>
      </c>
      <c r="N240" s="2" t="s">
        <v>74</v>
      </c>
      <c r="O240" s="2" t="s">
        <v>648</v>
      </c>
      <c r="P240" s="2" t="s">
        <v>649</v>
      </c>
    </row>
    <row r="241" spans="1:16" ht="15.6" x14ac:dyDescent="0.3">
      <c r="A241" s="4">
        <v>1304101</v>
      </c>
      <c r="B241" s="4" t="s">
        <v>51</v>
      </c>
      <c r="C241" s="4" t="s">
        <v>62</v>
      </c>
      <c r="D241" s="4" t="str">
        <f t="shared" si="3"/>
        <v>IPL-2022</v>
      </c>
      <c r="E241" s="4">
        <f>YEAR('IPL Info'!$F241)</f>
        <v>2022</v>
      </c>
      <c r="F241" s="5">
        <v>44689</v>
      </c>
      <c r="G241" s="4" t="s">
        <v>62</v>
      </c>
      <c r="H241" s="4" t="s">
        <v>18</v>
      </c>
      <c r="I241" s="4" t="s">
        <v>19</v>
      </c>
      <c r="J241" s="4" t="s">
        <v>20</v>
      </c>
      <c r="K241" s="4" t="s">
        <v>51</v>
      </c>
      <c r="L241" s="4" t="s">
        <v>434</v>
      </c>
      <c r="M241" s="4" t="s">
        <v>621</v>
      </c>
      <c r="N241" s="4" t="s">
        <v>622</v>
      </c>
      <c r="O241" s="4" t="s">
        <v>650</v>
      </c>
      <c r="P241" s="4" t="s">
        <v>651</v>
      </c>
    </row>
    <row r="242" spans="1:16" ht="15.6" x14ac:dyDescent="0.3">
      <c r="A242" s="2">
        <v>1304099</v>
      </c>
      <c r="B242" s="2" t="s">
        <v>40</v>
      </c>
      <c r="C242" s="2" t="s">
        <v>56</v>
      </c>
      <c r="D242" s="2" t="str">
        <f t="shared" si="3"/>
        <v>IPL-2022</v>
      </c>
      <c r="E242" s="2">
        <f>YEAR('IPL Info'!$F242)</f>
        <v>2022</v>
      </c>
      <c r="F242" s="3">
        <v>44688</v>
      </c>
      <c r="G242" s="2" t="s">
        <v>56</v>
      </c>
      <c r="H242" s="2" t="s">
        <v>18</v>
      </c>
      <c r="I242" s="2" t="s">
        <v>19</v>
      </c>
      <c r="J242" s="2" t="s">
        <v>20</v>
      </c>
      <c r="K242" s="2" t="s">
        <v>40</v>
      </c>
      <c r="L242" s="2" t="s">
        <v>162</v>
      </c>
      <c r="M242" s="2" t="s">
        <v>634</v>
      </c>
      <c r="N242" s="2" t="s">
        <v>635</v>
      </c>
      <c r="O242" s="2" t="s">
        <v>652</v>
      </c>
      <c r="P242" s="2" t="s">
        <v>653</v>
      </c>
    </row>
    <row r="243" spans="1:16" ht="15.6" x14ac:dyDescent="0.3">
      <c r="A243" s="4">
        <v>1304098</v>
      </c>
      <c r="B243" s="4" t="s">
        <v>17</v>
      </c>
      <c r="C243" s="4" t="s">
        <v>77</v>
      </c>
      <c r="D243" s="4" t="str">
        <f t="shared" si="3"/>
        <v>IPL-2022</v>
      </c>
      <c r="E243" s="4">
        <f>YEAR('IPL Info'!$F243)</f>
        <v>2022</v>
      </c>
      <c r="F243" s="5">
        <v>44688</v>
      </c>
      <c r="G243" s="4" t="s">
        <v>17</v>
      </c>
      <c r="H243" s="4" t="s">
        <v>31</v>
      </c>
      <c r="I243" s="4" t="s">
        <v>19</v>
      </c>
      <c r="J243" s="4" t="s">
        <v>20</v>
      </c>
      <c r="K243" s="4" t="s">
        <v>77</v>
      </c>
      <c r="L243" s="4" t="s">
        <v>477</v>
      </c>
      <c r="M243" s="4" t="s">
        <v>73</v>
      </c>
      <c r="N243" s="4" t="s">
        <v>74</v>
      </c>
      <c r="O243" s="4" t="s">
        <v>654</v>
      </c>
      <c r="P243" s="4" t="s">
        <v>655</v>
      </c>
    </row>
    <row r="244" spans="1:16" ht="15.6" x14ac:dyDescent="0.3">
      <c r="A244" s="2">
        <v>1304097</v>
      </c>
      <c r="B244" s="2" t="s">
        <v>26</v>
      </c>
      <c r="C244" s="2" t="s">
        <v>30</v>
      </c>
      <c r="D244" s="2" t="str">
        <f t="shared" si="3"/>
        <v>IPL-2022</v>
      </c>
      <c r="E244" s="2">
        <f>YEAR('IPL Info'!$F244)</f>
        <v>2022</v>
      </c>
      <c r="F244" s="3">
        <v>44687</v>
      </c>
      <c r="G244" s="2" t="s">
        <v>30</v>
      </c>
      <c r="H244" s="2" t="s">
        <v>18</v>
      </c>
      <c r="I244" s="2" t="s">
        <v>19</v>
      </c>
      <c r="J244" s="2" t="s">
        <v>20</v>
      </c>
      <c r="K244" s="2" t="s">
        <v>26</v>
      </c>
      <c r="L244" s="2" t="s">
        <v>168</v>
      </c>
      <c r="M244" s="2" t="s">
        <v>617</v>
      </c>
      <c r="N244" s="2" t="s">
        <v>74</v>
      </c>
      <c r="O244" s="2" t="s">
        <v>656</v>
      </c>
      <c r="P244" s="2" t="s">
        <v>657</v>
      </c>
    </row>
    <row r="245" spans="1:16" ht="15.6" x14ac:dyDescent="0.3">
      <c r="A245" s="4">
        <v>1304096</v>
      </c>
      <c r="B245" s="4" t="s">
        <v>62</v>
      </c>
      <c r="C245" s="4" t="s">
        <v>55</v>
      </c>
      <c r="D245" s="4" t="str">
        <f t="shared" si="3"/>
        <v>IPL-2022</v>
      </c>
      <c r="E245" s="4">
        <f>YEAR('IPL Info'!$F245)</f>
        <v>2022</v>
      </c>
      <c r="F245" s="5">
        <v>44686</v>
      </c>
      <c r="G245" s="4" t="s">
        <v>55</v>
      </c>
      <c r="H245" s="4" t="s">
        <v>18</v>
      </c>
      <c r="I245" s="4" t="s">
        <v>19</v>
      </c>
      <c r="J245" s="4" t="s">
        <v>20</v>
      </c>
      <c r="K245" s="4" t="s">
        <v>62</v>
      </c>
      <c r="L245" s="4" t="s">
        <v>658</v>
      </c>
      <c r="M245" s="4" t="s">
        <v>617</v>
      </c>
      <c r="N245" s="4" t="s">
        <v>74</v>
      </c>
      <c r="O245" s="4" t="s">
        <v>659</v>
      </c>
      <c r="P245" s="4" t="s">
        <v>660</v>
      </c>
    </row>
    <row r="246" spans="1:16" ht="15.6" x14ac:dyDescent="0.3">
      <c r="A246" s="2">
        <v>1304095</v>
      </c>
      <c r="B246" s="2" t="s">
        <v>445</v>
      </c>
      <c r="C246" s="2" t="s">
        <v>51</v>
      </c>
      <c r="D246" s="2" t="str">
        <f t="shared" si="3"/>
        <v>IPL-2022</v>
      </c>
      <c r="E246" s="2">
        <f>YEAR('IPL Info'!$F246)</f>
        <v>2022</v>
      </c>
      <c r="F246" s="3">
        <v>44685</v>
      </c>
      <c r="G246" s="2" t="s">
        <v>51</v>
      </c>
      <c r="H246" s="2" t="s">
        <v>18</v>
      </c>
      <c r="I246" s="2" t="s">
        <v>19</v>
      </c>
      <c r="J246" s="2" t="s">
        <v>20</v>
      </c>
      <c r="K246" s="2" t="s">
        <v>445</v>
      </c>
      <c r="L246" s="2" t="s">
        <v>142</v>
      </c>
      <c r="M246" s="2" t="s">
        <v>634</v>
      </c>
      <c r="N246" s="2" t="s">
        <v>635</v>
      </c>
      <c r="O246" s="2" t="s">
        <v>661</v>
      </c>
      <c r="P246" s="2" t="s">
        <v>662</v>
      </c>
    </row>
    <row r="247" spans="1:16" ht="15.6" x14ac:dyDescent="0.3">
      <c r="A247" s="4">
        <v>1304094</v>
      </c>
      <c r="B247" s="4" t="s">
        <v>30</v>
      </c>
      <c r="C247" s="4" t="s">
        <v>17</v>
      </c>
      <c r="D247" s="4" t="str">
        <f t="shared" si="3"/>
        <v>IPL-2022</v>
      </c>
      <c r="E247" s="4">
        <f>YEAR('IPL Info'!$F247)</f>
        <v>2022</v>
      </c>
      <c r="F247" s="5">
        <v>44684</v>
      </c>
      <c r="G247" s="4" t="s">
        <v>30</v>
      </c>
      <c r="H247" s="4" t="s">
        <v>31</v>
      </c>
      <c r="I247" s="4" t="s">
        <v>19</v>
      </c>
      <c r="J247" s="4" t="s">
        <v>20</v>
      </c>
      <c r="K247" s="4" t="s">
        <v>17</v>
      </c>
      <c r="L247" s="4" t="s">
        <v>663</v>
      </c>
      <c r="M247" s="4" t="s">
        <v>621</v>
      </c>
      <c r="N247" s="4" t="s">
        <v>622</v>
      </c>
      <c r="O247" s="4" t="s">
        <v>664</v>
      </c>
      <c r="P247" s="4" t="s">
        <v>665</v>
      </c>
    </row>
    <row r="248" spans="1:16" ht="15.6" x14ac:dyDescent="0.3">
      <c r="A248" s="2">
        <v>1304093</v>
      </c>
      <c r="B248" s="2" t="s">
        <v>77</v>
      </c>
      <c r="C248" s="2" t="s">
        <v>56</v>
      </c>
      <c r="D248" s="2" t="str">
        <f t="shared" si="3"/>
        <v>IPL-2022</v>
      </c>
      <c r="E248" s="2">
        <f>YEAR('IPL Info'!$F248)</f>
        <v>2022</v>
      </c>
      <c r="F248" s="3">
        <v>44683</v>
      </c>
      <c r="G248" s="2" t="s">
        <v>56</v>
      </c>
      <c r="H248" s="2" t="s">
        <v>18</v>
      </c>
      <c r="I248" s="2" t="s">
        <v>19</v>
      </c>
      <c r="J248" s="2" t="s">
        <v>20</v>
      </c>
      <c r="K248" s="2" t="s">
        <v>56</v>
      </c>
      <c r="L248" s="2" t="s">
        <v>467</v>
      </c>
      <c r="M248" s="2" t="s">
        <v>73</v>
      </c>
      <c r="N248" s="2" t="s">
        <v>74</v>
      </c>
      <c r="O248" s="2" t="s">
        <v>666</v>
      </c>
      <c r="P248" s="2" t="s">
        <v>667</v>
      </c>
    </row>
    <row r="249" spans="1:16" ht="15.6" x14ac:dyDescent="0.3">
      <c r="A249" s="4">
        <v>1304091</v>
      </c>
      <c r="B249" s="4" t="s">
        <v>40</v>
      </c>
      <c r="C249" s="4" t="s">
        <v>62</v>
      </c>
      <c r="D249" s="4" t="str">
        <f t="shared" si="3"/>
        <v>IPL-2022</v>
      </c>
      <c r="E249" s="4">
        <f>YEAR('IPL Info'!$F249)</f>
        <v>2022</v>
      </c>
      <c r="F249" s="5">
        <v>44682</v>
      </c>
      <c r="G249" s="4" t="s">
        <v>40</v>
      </c>
      <c r="H249" s="4" t="s">
        <v>31</v>
      </c>
      <c r="I249" s="4" t="s">
        <v>19</v>
      </c>
      <c r="J249" s="4" t="s">
        <v>20</v>
      </c>
      <c r="K249" s="4" t="s">
        <v>40</v>
      </c>
      <c r="L249" s="4" t="s">
        <v>668</v>
      </c>
      <c r="M249" s="4" t="s">
        <v>73</v>
      </c>
      <c r="N249" s="4" t="s">
        <v>74</v>
      </c>
      <c r="O249" s="4" t="s">
        <v>669</v>
      </c>
      <c r="P249" s="4" t="s">
        <v>670</v>
      </c>
    </row>
    <row r="250" spans="1:16" ht="15.6" x14ac:dyDescent="0.3">
      <c r="A250" s="2">
        <v>1304092</v>
      </c>
      <c r="B250" s="2" t="s">
        <v>51</v>
      </c>
      <c r="C250" s="2" t="s">
        <v>55</v>
      </c>
      <c r="D250" s="2" t="str">
        <f t="shared" si="3"/>
        <v>IPL-2022</v>
      </c>
      <c r="E250" s="2">
        <f>YEAR('IPL Info'!$F250)</f>
        <v>2022</v>
      </c>
      <c r="F250" s="3">
        <v>44682</v>
      </c>
      <c r="G250" s="2" t="s">
        <v>55</v>
      </c>
      <c r="H250" s="2" t="s">
        <v>18</v>
      </c>
      <c r="I250" s="2" t="s">
        <v>19</v>
      </c>
      <c r="J250" s="2" t="s">
        <v>20</v>
      </c>
      <c r="K250" s="2" t="s">
        <v>51</v>
      </c>
      <c r="L250" s="2" t="s">
        <v>325</v>
      </c>
      <c r="M250" s="2" t="s">
        <v>634</v>
      </c>
      <c r="N250" s="2" t="s">
        <v>635</v>
      </c>
      <c r="O250" s="2" t="s">
        <v>671</v>
      </c>
      <c r="P250" s="2" t="s">
        <v>672</v>
      </c>
    </row>
    <row r="251" spans="1:16" ht="15.6" x14ac:dyDescent="0.3">
      <c r="A251" s="4">
        <v>1304090</v>
      </c>
      <c r="B251" s="4" t="s">
        <v>77</v>
      </c>
      <c r="C251" s="4" t="s">
        <v>26</v>
      </c>
      <c r="D251" s="4" t="str">
        <f t="shared" si="3"/>
        <v>IPL-2022</v>
      </c>
      <c r="E251" s="4">
        <f>YEAR('IPL Info'!$F251)</f>
        <v>2022</v>
      </c>
      <c r="F251" s="5">
        <v>44681</v>
      </c>
      <c r="G251" s="4" t="s">
        <v>26</v>
      </c>
      <c r="H251" s="4" t="s">
        <v>18</v>
      </c>
      <c r="I251" s="4" t="s">
        <v>19</v>
      </c>
      <c r="J251" s="4" t="s">
        <v>20</v>
      </c>
      <c r="K251" s="4" t="s">
        <v>26</v>
      </c>
      <c r="L251" s="4" t="s">
        <v>72</v>
      </c>
      <c r="M251" s="4" t="s">
        <v>621</v>
      </c>
      <c r="N251" s="4" t="s">
        <v>622</v>
      </c>
      <c r="O251" s="4" t="s">
        <v>673</v>
      </c>
      <c r="P251" s="4" t="s">
        <v>674</v>
      </c>
    </row>
    <row r="252" spans="1:16" ht="15.6" x14ac:dyDescent="0.3">
      <c r="A252" s="2">
        <v>1304089</v>
      </c>
      <c r="B252" s="2" t="s">
        <v>445</v>
      </c>
      <c r="C252" s="2" t="s">
        <v>30</v>
      </c>
      <c r="D252" s="2" t="str">
        <f t="shared" si="3"/>
        <v>IPL-2022</v>
      </c>
      <c r="E252" s="2">
        <f>YEAR('IPL Info'!$F252)</f>
        <v>2022</v>
      </c>
      <c r="F252" s="3">
        <v>44681</v>
      </c>
      <c r="G252" s="2" t="s">
        <v>445</v>
      </c>
      <c r="H252" s="2" t="s">
        <v>31</v>
      </c>
      <c r="I252" s="2" t="s">
        <v>19</v>
      </c>
      <c r="J252" s="2" t="s">
        <v>20</v>
      </c>
      <c r="K252" s="2" t="s">
        <v>30</v>
      </c>
      <c r="L252" s="2" t="s">
        <v>675</v>
      </c>
      <c r="M252" s="2" t="s">
        <v>617</v>
      </c>
      <c r="N252" s="2" t="s">
        <v>74</v>
      </c>
      <c r="O252" s="2" t="s">
        <v>676</v>
      </c>
      <c r="P252" s="2" t="s">
        <v>677</v>
      </c>
    </row>
    <row r="253" spans="1:16" ht="15.6" x14ac:dyDescent="0.3">
      <c r="A253" s="4">
        <v>1304088</v>
      </c>
      <c r="B253" s="4" t="s">
        <v>40</v>
      </c>
      <c r="C253" s="4" t="s">
        <v>17</v>
      </c>
      <c r="D253" s="4" t="str">
        <f t="shared" si="3"/>
        <v>IPL-2022</v>
      </c>
      <c r="E253" s="4">
        <f>YEAR('IPL Info'!$F253)</f>
        <v>2022</v>
      </c>
      <c r="F253" s="5">
        <v>44680</v>
      </c>
      <c r="G253" s="4" t="s">
        <v>17</v>
      </c>
      <c r="H253" s="4" t="s">
        <v>18</v>
      </c>
      <c r="I253" s="4" t="s">
        <v>19</v>
      </c>
      <c r="J253" s="4" t="s">
        <v>20</v>
      </c>
      <c r="K253" s="4" t="s">
        <v>40</v>
      </c>
      <c r="L253" s="4" t="s">
        <v>21</v>
      </c>
      <c r="M253" s="4" t="s">
        <v>634</v>
      </c>
      <c r="N253" s="4" t="s">
        <v>635</v>
      </c>
      <c r="O253" s="4" t="s">
        <v>678</v>
      </c>
      <c r="P253" s="4" t="s">
        <v>679</v>
      </c>
    </row>
    <row r="254" spans="1:16" ht="15.6" x14ac:dyDescent="0.3">
      <c r="A254" s="2">
        <v>1304087</v>
      </c>
      <c r="B254" s="2" t="s">
        <v>56</v>
      </c>
      <c r="C254" s="2" t="s">
        <v>62</v>
      </c>
      <c r="D254" s="2" t="str">
        <f t="shared" si="3"/>
        <v>IPL-2022</v>
      </c>
      <c r="E254" s="2">
        <f>YEAR('IPL Info'!$F254)</f>
        <v>2022</v>
      </c>
      <c r="F254" s="3">
        <v>44679</v>
      </c>
      <c r="G254" s="2" t="s">
        <v>62</v>
      </c>
      <c r="H254" s="2" t="s">
        <v>18</v>
      </c>
      <c r="I254" s="2" t="s">
        <v>19</v>
      </c>
      <c r="J254" s="2" t="s">
        <v>20</v>
      </c>
      <c r="K254" s="2" t="s">
        <v>62</v>
      </c>
      <c r="L254" s="2" t="s">
        <v>298</v>
      </c>
      <c r="M254" s="2" t="s">
        <v>73</v>
      </c>
      <c r="N254" s="2" t="s">
        <v>74</v>
      </c>
      <c r="O254" s="2" t="s">
        <v>680</v>
      </c>
      <c r="P254" s="2" t="s">
        <v>681</v>
      </c>
    </row>
    <row r="255" spans="1:16" ht="15.6" x14ac:dyDescent="0.3">
      <c r="A255" s="4">
        <v>1304086</v>
      </c>
      <c r="B255" s="4" t="s">
        <v>55</v>
      </c>
      <c r="C255" s="4" t="s">
        <v>30</v>
      </c>
      <c r="D255" s="4" t="str">
        <f t="shared" si="3"/>
        <v>IPL-2022</v>
      </c>
      <c r="E255" s="4">
        <f>YEAR('IPL Info'!$F255)</f>
        <v>2022</v>
      </c>
      <c r="F255" s="5">
        <v>44678</v>
      </c>
      <c r="G255" s="4" t="s">
        <v>30</v>
      </c>
      <c r="H255" s="4" t="s">
        <v>18</v>
      </c>
      <c r="I255" s="4" t="s">
        <v>19</v>
      </c>
      <c r="J255" s="4" t="s">
        <v>20</v>
      </c>
      <c r="K255" s="4" t="s">
        <v>30</v>
      </c>
      <c r="L255" s="4" t="s">
        <v>682</v>
      </c>
      <c r="M255" s="4" t="s">
        <v>73</v>
      </c>
      <c r="N255" s="4" t="s">
        <v>74</v>
      </c>
      <c r="O255" s="4" t="s">
        <v>683</v>
      </c>
      <c r="P255" s="4" t="s">
        <v>684</v>
      </c>
    </row>
    <row r="256" spans="1:16" ht="15.6" x14ac:dyDescent="0.3">
      <c r="A256" s="2">
        <v>1304085</v>
      </c>
      <c r="B256" s="2" t="s">
        <v>77</v>
      </c>
      <c r="C256" s="2" t="s">
        <v>445</v>
      </c>
      <c r="D256" s="2" t="str">
        <f t="shared" si="3"/>
        <v>IPL-2022</v>
      </c>
      <c r="E256" s="2">
        <f>YEAR('IPL Info'!$F256)</f>
        <v>2022</v>
      </c>
      <c r="F256" s="3">
        <v>44677</v>
      </c>
      <c r="G256" s="2" t="s">
        <v>445</v>
      </c>
      <c r="H256" s="2" t="s">
        <v>18</v>
      </c>
      <c r="I256" s="2" t="s">
        <v>19</v>
      </c>
      <c r="J256" s="2" t="s">
        <v>20</v>
      </c>
      <c r="K256" s="2" t="s">
        <v>77</v>
      </c>
      <c r="L256" s="2" t="s">
        <v>413</v>
      </c>
      <c r="M256" s="2" t="s">
        <v>634</v>
      </c>
      <c r="N256" s="2" t="s">
        <v>635</v>
      </c>
      <c r="O256" s="2" t="s">
        <v>685</v>
      </c>
      <c r="P256" s="2" t="s">
        <v>686</v>
      </c>
    </row>
    <row r="257" spans="1:16" ht="15.6" x14ac:dyDescent="0.3">
      <c r="A257" s="4">
        <v>1304084</v>
      </c>
      <c r="B257" s="4" t="s">
        <v>17</v>
      </c>
      <c r="C257" s="4" t="s">
        <v>51</v>
      </c>
      <c r="D257" s="4" t="str">
        <f t="shared" si="3"/>
        <v>IPL-2022</v>
      </c>
      <c r="E257" s="4">
        <f>YEAR('IPL Info'!$F257)</f>
        <v>2022</v>
      </c>
      <c r="F257" s="5">
        <v>44676</v>
      </c>
      <c r="G257" s="4" t="s">
        <v>51</v>
      </c>
      <c r="H257" s="4" t="s">
        <v>18</v>
      </c>
      <c r="I257" s="4" t="s">
        <v>19</v>
      </c>
      <c r="J257" s="4" t="s">
        <v>20</v>
      </c>
      <c r="K257" s="4" t="s">
        <v>17</v>
      </c>
      <c r="L257" s="4" t="s">
        <v>571</v>
      </c>
      <c r="M257" s="4" t="s">
        <v>73</v>
      </c>
      <c r="N257" s="4" t="s">
        <v>74</v>
      </c>
      <c r="O257" s="4" t="s">
        <v>687</v>
      </c>
      <c r="P257" s="4" t="s">
        <v>688</v>
      </c>
    </row>
    <row r="258" spans="1:16" ht="15.6" x14ac:dyDescent="0.3">
      <c r="A258" s="2">
        <v>1304083</v>
      </c>
      <c r="B258" s="2" t="s">
        <v>40</v>
      </c>
      <c r="C258" s="2" t="s">
        <v>26</v>
      </c>
      <c r="D258" s="2" t="str">
        <f t="shared" si="3"/>
        <v>IPL-2022</v>
      </c>
      <c r="E258" s="2">
        <f>YEAR('IPL Info'!$F258)</f>
        <v>2022</v>
      </c>
      <c r="F258" s="3">
        <v>44675</v>
      </c>
      <c r="G258" s="2" t="s">
        <v>26</v>
      </c>
      <c r="H258" s="2" t="s">
        <v>18</v>
      </c>
      <c r="I258" s="2" t="s">
        <v>19</v>
      </c>
      <c r="J258" s="2" t="s">
        <v>20</v>
      </c>
      <c r="K258" s="2" t="s">
        <v>40</v>
      </c>
      <c r="L258" s="2" t="s">
        <v>196</v>
      </c>
      <c r="M258" s="2" t="s">
        <v>73</v>
      </c>
      <c r="N258" s="2" t="s">
        <v>74</v>
      </c>
      <c r="O258" s="2" t="s">
        <v>689</v>
      </c>
      <c r="P258" s="2" t="s">
        <v>690</v>
      </c>
    </row>
    <row r="259" spans="1:16" ht="15.6" x14ac:dyDescent="0.3">
      <c r="A259" s="4">
        <v>1304081</v>
      </c>
      <c r="B259" s="4" t="s">
        <v>30</v>
      </c>
      <c r="C259" s="4" t="s">
        <v>56</v>
      </c>
      <c r="D259" s="4" t="str">
        <f t="shared" ref="D259:D322" si="4">_xlfn.SINGLE(_xlfn.CONCAT("IPL-",E259))</f>
        <v>IPL-2022</v>
      </c>
      <c r="E259" s="4">
        <f>YEAR('IPL Info'!$F259)</f>
        <v>2022</v>
      </c>
      <c r="F259" s="5">
        <v>44674</v>
      </c>
      <c r="G259" s="4" t="s">
        <v>30</v>
      </c>
      <c r="H259" s="4" t="s">
        <v>31</v>
      </c>
      <c r="I259" s="4" t="s">
        <v>19</v>
      </c>
      <c r="J259" s="4" t="s">
        <v>20</v>
      </c>
      <c r="K259" s="4" t="s">
        <v>30</v>
      </c>
      <c r="L259" s="4" t="s">
        <v>377</v>
      </c>
      <c r="M259" s="4" t="s">
        <v>621</v>
      </c>
      <c r="N259" s="4" t="s">
        <v>622</v>
      </c>
      <c r="O259" s="4" t="s">
        <v>691</v>
      </c>
      <c r="P259" s="4" t="s">
        <v>692</v>
      </c>
    </row>
    <row r="260" spans="1:16" ht="15.6" x14ac:dyDescent="0.3">
      <c r="A260" s="2">
        <v>1304082</v>
      </c>
      <c r="B260" s="2" t="s">
        <v>445</v>
      </c>
      <c r="C260" s="2" t="s">
        <v>55</v>
      </c>
      <c r="D260" s="2" t="str">
        <f t="shared" si="4"/>
        <v>IPL-2022</v>
      </c>
      <c r="E260" s="2">
        <f>YEAR('IPL Info'!$F260)</f>
        <v>2022</v>
      </c>
      <c r="F260" s="3">
        <v>44674</v>
      </c>
      <c r="G260" s="2" t="s">
        <v>55</v>
      </c>
      <c r="H260" s="2" t="s">
        <v>18</v>
      </c>
      <c r="I260" s="2" t="s">
        <v>19</v>
      </c>
      <c r="J260" s="2" t="s">
        <v>20</v>
      </c>
      <c r="K260" s="2" t="s">
        <v>55</v>
      </c>
      <c r="L260" s="2" t="s">
        <v>693</v>
      </c>
      <c r="M260" s="2" t="s">
        <v>617</v>
      </c>
      <c r="N260" s="2" t="s">
        <v>74</v>
      </c>
      <c r="O260" s="2" t="s">
        <v>694</v>
      </c>
      <c r="P260" s="2" t="s">
        <v>695</v>
      </c>
    </row>
    <row r="261" spans="1:16" ht="15.6" x14ac:dyDescent="0.3">
      <c r="A261" s="4">
        <v>1304080</v>
      </c>
      <c r="B261" s="4" t="s">
        <v>77</v>
      </c>
      <c r="C261" s="4" t="s">
        <v>62</v>
      </c>
      <c r="D261" s="4" t="str">
        <f t="shared" si="4"/>
        <v>IPL-2022</v>
      </c>
      <c r="E261" s="4">
        <f>YEAR('IPL Info'!$F261)</f>
        <v>2022</v>
      </c>
      <c r="F261" s="5">
        <v>44673</v>
      </c>
      <c r="G261" s="4" t="s">
        <v>62</v>
      </c>
      <c r="H261" s="4" t="s">
        <v>18</v>
      </c>
      <c r="I261" s="4" t="s">
        <v>19</v>
      </c>
      <c r="J261" s="4" t="s">
        <v>20</v>
      </c>
      <c r="K261" s="4" t="s">
        <v>77</v>
      </c>
      <c r="L261" s="4" t="s">
        <v>165</v>
      </c>
      <c r="M261" s="4" t="s">
        <v>73</v>
      </c>
      <c r="N261" s="4" t="s">
        <v>74</v>
      </c>
      <c r="O261" s="4" t="s">
        <v>696</v>
      </c>
      <c r="P261" s="4" t="s">
        <v>697</v>
      </c>
    </row>
    <row r="262" spans="1:16" ht="15.6" x14ac:dyDescent="0.3">
      <c r="A262" s="2">
        <v>1304079</v>
      </c>
      <c r="B262" s="2" t="s">
        <v>26</v>
      </c>
      <c r="C262" s="2" t="s">
        <v>51</v>
      </c>
      <c r="D262" s="2" t="str">
        <f t="shared" si="4"/>
        <v>IPL-2022</v>
      </c>
      <c r="E262" s="2">
        <f>YEAR('IPL Info'!$F262)</f>
        <v>2022</v>
      </c>
      <c r="F262" s="3">
        <v>44672</v>
      </c>
      <c r="G262" s="2" t="s">
        <v>51</v>
      </c>
      <c r="H262" s="2" t="s">
        <v>18</v>
      </c>
      <c r="I262" s="2" t="s">
        <v>19</v>
      </c>
      <c r="J262" s="2" t="s">
        <v>20</v>
      </c>
      <c r="K262" s="2" t="s">
        <v>51</v>
      </c>
      <c r="L262" s="2" t="s">
        <v>698</v>
      </c>
      <c r="M262" s="2" t="s">
        <v>621</v>
      </c>
      <c r="N262" s="2" t="s">
        <v>622</v>
      </c>
      <c r="O262" s="2" t="s">
        <v>699</v>
      </c>
      <c r="P262" s="2" t="s">
        <v>700</v>
      </c>
    </row>
    <row r="263" spans="1:16" ht="15.6" x14ac:dyDescent="0.3">
      <c r="A263" s="4">
        <v>1304078</v>
      </c>
      <c r="B263" s="4" t="s">
        <v>17</v>
      </c>
      <c r="C263" s="4" t="s">
        <v>62</v>
      </c>
      <c r="D263" s="4" t="str">
        <f t="shared" si="4"/>
        <v>IPL-2022</v>
      </c>
      <c r="E263" s="4">
        <f>YEAR('IPL Info'!$F263)</f>
        <v>2022</v>
      </c>
      <c r="F263" s="5">
        <v>44671</v>
      </c>
      <c r="G263" s="4" t="s">
        <v>62</v>
      </c>
      <c r="H263" s="4" t="s">
        <v>18</v>
      </c>
      <c r="I263" s="4" t="s">
        <v>19</v>
      </c>
      <c r="J263" s="4" t="s">
        <v>20</v>
      </c>
      <c r="K263" s="4" t="s">
        <v>62</v>
      </c>
      <c r="L263" s="4" t="s">
        <v>298</v>
      </c>
      <c r="M263" s="4" t="s">
        <v>617</v>
      </c>
      <c r="N263" s="4" t="s">
        <v>74</v>
      </c>
      <c r="O263" s="4" t="s">
        <v>701</v>
      </c>
      <c r="P263" s="4" t="s">
        <v>702</v>
      </c>
    </row>
    <row r="264" spans="1:16" ht="15.6" x14ac:dyDescent="0.3">
      <c r="A264" s="2">
        <v>1304077</v>
      </c>
      <c r="B264" s="2" t="s">
        <v>445</v>
      </c>
      <c r="C264" s="2" t="s">
        <v>40</v>
      </c>
      <c r="D264" s="2" t="str">
        <f t="shared" si="4"/>
        <v>IPL-2022</v>
      </c>
      <c r="E264" s="2">
        <f>YEAR('IPL Info'!$F264)</f>
        <v>2022</v>
      </c>
      <c r="F264" s="3">
        <v>44670</v>
      </c>
      <c r="G264" s="2" t="s">
        <v>40</v>
      </c>
      <c r="H264" s="2" t="s">
        <v>18</v>
      </c>
      <c r="I264" s="2" t="s">
        <v>19</v>
      </c>
      <c r="J264" s="2" t="s">
        <v>20</v>
      </c>
      <c r="K264" s="2" t="s">
        <v>445</v>
      </c>
      <c r="L264" s="2" t="s">
        <v>271</v>
      </c>
      <c r="M264" s="2" t="s">
        <v>621</v>
      </c>
      <c r="N264" s="2" t="s">
        <v>74</v>
      </c>
      <c r="O264" s="2" t="s">
        <v>703</v>
      </c>
      <c r="P264" s="2" t="s">
        <v>704</v>
      </c>
    </row>
    <row r="265" spans="1:16" ht="15.6" x14ac:dyDescent="0.3">
      <c r="A265" s="4">
        <v>1304076</v>
      </c>
      <c r="B265" s="4" t="s">
        <v>77</v>
      </c>
      <c r="C265" s="4" t="s">
        <v>56</v>
      </c>
      <c r="D265" s="4" t="str">
        <f t="shared" si="4"/>
        <v>IPL-2022</v>
      </c>
      <c r="E265" s="4">
        <f>YEAR('IPL Info'!$F265)</f>
        <v>2022</v>
      </c>
      <c r="F265" s="5">
        <v>44669</v>
      </c>
      <c r="G265" s="4" t="s">
        <v>56</v>
      </c>
      <c r="H265" s="4" t="s">
        <v>18</v>
      </c>
      <c r="I265" s="4" t="s">
        <v>19</v>
      </c>
      <c r="J265" s="4" t="s">
        <v>20</v>
      </c>
      <c r="K265" s="4" t="s">
        <v>77</v>
      </c>
      <c r="L265" s="4" t="s">
        <v>177</v>
      </c>
      <c r="M265" s="4" t="s">
        <v>617</v>
      </c>
      <c r="N265" s="4" t="s">
        <v>74</v>
      </c>
      <c r="O265" s="4" t="s">
        <v>696</v>
      </c>
      <c r="P265" s="4" t="s">
        <v>705</v>
      </c>
    </row>
    <row r="266" spans="1:16" ht="15.6" x14ac:dyDescent="0.3">
      <c r="A266" s="2">
        <v>1304074</v>
      </c>
      <c r="B266" s="2" t="s">
        <v>17</v>
      </c>
      <c r="C266" s="2" t="s">
        <v>55</v>
      </c>
      <c r="D266" s="2" t="str">
        <f t="shared" si="4"/>
        <v>IPL-2022</v>
      </c>
      <c r="E266" s="2">
        <f>YEAR('IPL Info'!$F266)</f>
        <v>2022</v>
      </c>
      <c r="F266" s="3">
        <v>44668</v>
      </c>
      <c r="G266" s="2" t="s">
        <v>55</v>
      </c>
      <c r="H266" s="2" t="s">
        <v>18</v>
      </c>
      <c r="I266" s="2" t="s">
        <v>19</v>
      </c>
      <c r="J266" s="2" t="s">
        <v>20</v>
      </c>
      <c r="K266" s="2" t="s">
        <v>55</v>
      </c>
      <c r="L266" s="2" t="s">
        <v>682</v>
      </c>
      <c r="M266" s="2" t="s">
        <v>621</v>
      </c>
      <c r="N266" s="2" t="s">
        <v>74</v>
      </c>
      <c r="O266" s="2" t="s">
        <v>706</v>
      </c>
      <c r="P266" s="2" t="s">
        <v>695</v>
      </c>
    </row>
    <row r="267" spans="1:16" ht="15.6" x14ac:dyDescent="0.3">
      <c r="A267" s="4">
        <v>1304075</v>
      </c>
      <c r="B267" s="4" t="s">
        <v>51</v>
      </c>
      <c r="C267" s="4" t="s">
        <v>30</v>
      </c>
      <c r="D267" s="4" t="str">
        <f t="shared" si="4"/>
        <v>IPL-2022</v>
      </c>
      <c r="E267" s="4">
        <f>YEAR('IPL Info'!$F267)</f>
        <v>2022</v>
      </c>
      <c r="F267" s="5">
        <v>44668</v>
      </c>
      <c r="G267" s="4" t="s">
        <v>30</v>
      </c>
      <c r="H267" s="4" t="s">
        <v>18</v>
      </c>
      <c r="I267" s="4" t="s">
        <v>19</v>
      </c>
      <c r="J267" s="4" t="s">
        <v>20</v>
      </c>
      <c r="K267" s="4" t="s">
        <v>30</v>
      </c>
      <c r="L267" s="4" t="s">
        <v>611</v>
      </c>
      <c r="M267" s="4" t="s">
        <v>634</v>
      </c>
      <c r="N267" s="4" t="s">
        <v>635</v>
      </c>
      <c r="O267" s="4" t="s">
        <v>707</v>
      </c>
      <c r="P267" s="4" t="s">
        <v>708</v>
      </c>
    </row>
    <row r="268" spans="1:16" ht="15.6" x14ac:dyDescent="0.3">
      <c r="A268" s="2">
        <v>1304073</v>
      </c>
      <c r="B268" s="2" t="s">
        <v>445</v>
      </c>
      <c r="C268" s="2" t="s">
        <v>62</v>
      </c>
      <c r="D268" s="2" t="str">
        <f t="shared" si="4"/>
        <v>IPL-2022</v>
      </c>
      <c r="E268" s="2">
        <f>YEAR('IPL Info'!$F268)</f>
        <v>2022</v>
      </c>
      <c r="F268" s="3">
        <v>44667</v>
      </c>
      <c r="G268" s="2" t="s">
        <v>62</v>
      </c>
      <c r="H268" s="2" t="s">
        <v>18</v>
      </c>
      <c r="I268" s="2" t="s">
        <v>19</v>
      </c>
      <c r="J268" s="2" t="s">
        <v>20</v>
      </c>
      <c r="K268" s="2" t="s">
        <v>445</v>
      </c>
      <c r="L268" s="2" t="s">
        <v>709</v>
      </c>
      <c r="M268" s="2" t="s">
        <v>73</v>
      </c>
      <c r="N268" s="2" t="s">
        <v>74</v>
      </c>
      <c r="O268" s="2" t="s">
        <v>710</v>
      </c>
      <c r="P268" s="2" t="s">
        <v>711</v>
      </c>
    </row>
    <row r="269" spans="1:16" ht="15.6" x14ac:dyDescent="0.3">
      <c r="A269" s="4">
        <v>1304072</v>
      </c>
      <c r="B269" s="4" t="s">
        <v>40</v>
      </c>
      <c r="C269" s="4" t="s">
        <v>26</v>
      </c>
      <c r="D269" s="4" t="str">
        <f t="shared" si="4"/>
        <v>IPL-2022</v>
      </c>
      <c r="E269" s="4">
        <f>YEAR('IPL Info'!$F269)</f>
        <v>2022</v>
      </c>
      <c r="F269" s="5">
        <v>44667</v>
      </c>
      <c r="G269" s="4" t="s">
        <v>26</v>
      </c>
      <c r="H269" s="4" t="s">
        <v>18</v>
      </c>
      <c r="I269" s="4" t="s">
        <v>19</v>
      </c>
      <c r="J269" s="4" t="s">
        <v>20</v>
      </c>
      <c r="K269" s="4" t="s">
        <v>40</v>
      </c>
      <c r="L269" s="4" t="s">
        <v>196</v>
      </c>
      <c r="M269" s="4" t="s">
        <v>617</v>
      </c>
      <c r="N269" s="4" t="s">
        <v>74</v>
      </c>
      <c r="O269" s="4" t="s">
        <v>712</v>
      </c>
      <c r="P269" s="4" t="s">
        <v>713</v>
      </c>
    </row>
    <row r="270" spans="1:16" ht="15.6" x14ac:dyDescent="0.3">
      <c r="A270" s="2">
        <v>1304071</v>
      </c>
      <c r="B270" s="2" t="s">
        <v>56</v>
      </c>
      <c r="C270" s="2" t="s">
        <v>55</v>
      </c>
      <c r="D270" s="2" t="str">
        <f t="shared" si="4"/>
        <v>IPL-2022</v>
      </c>
      <c r="E270" s="2">
        <f>YEAR('IPL Info'!$F270)</f>
        <v>2022</v>
      </c>
      <c r="F270" s="3">
        <v>44666</v>
      </c>
      <c r="G270" s="2" t="s">
        <v>55</v>
      </c>
      <c r="H270" s="2" t="s">
        <v>18</v>
      </c>
      <c r="I270" s="2" t="s">
        <v>19</v>
      </c>
      <c r="J270" s="2" t="s">
        <v>20</v>
      </c>
      <c r="K270" s="2" t="s">
        <v>55</v>
      </c>
      <c r="L270" s="2" t="s">
        <v>625</v>
      </c>
      <c r="M270" s="2" t="s">
        <v>617</v>
      </c>
      <c r="N270" s="2" t="s">
        <v>74</v>
      </c>
      <c r="O270" s="2" t="s">
        <v>714</v>
      </c>
      <c r="P270" s="2" t="s">
        <v>715</v>
      </c>
    </row>
    <row r="271" spans="1:16" ht="15.6" x14ac:dyDescent="0.3">
      <c r="A271" s="4">
        <v>1304070</v>
      </c>
      <c r="B271" s="4" t="s">
        <v>30</v>
      </c>
      <c r="C271" s="4" t="s">
        <v>77</v>
      </c>
      <c r="D271" s="4" t="str">
        <f t="shared" si="4"/>
        <v>IPL-2022</v>
      </c>
      <c r="E271" s="4">
        <f>YEAR('IPL Info'!$F271)</f>
        <v>2022</v>
      </c>
      <c r="F271" s="5">
        <v>44665</v>
      </c>
      <c r="G271" s="4" t="s">
        <v>77</v>
      </c>
      <c r="H271" s="4" t="s">
        <v>18</v>
      </c>
      <c r="I271" s="4" t="s">
        <v>19</v>
      </c>
      <c r="J271" s="4" t="s">
        <v>20</v>
      </c>
      <c r="K271" s="4" t="s">
        <v>30</v>
      </c>
      <c r="L271" s="4" t="s">
        <v>604</v>
      </c>
      <c r="M271" s="4" t="s">
        <v>621</v>
      </c>
      <c r="N271" s="4" t="s">
        <v>74</v>
      </c>
      <c r="O271" s="4" t="s">
        <v>716</v>
      </c>
      <c r="P271" s="4" t="s">
        <v>717</v>
      </c>
    </row>
    <row r="272" spans="1:16" ht="15.6" x14ac:dyDescent="0.3">
      <c r="A272" s="2">
        <v>1304069</v>
      </c>
      <c r="B272" s="2" t="s">
        <v>17</v>
      </c>
      <c r="C272" s="2" t="s">
        <v>26</v>
      </c>
      <c r="D272" s="2" t="str">
        <f t="shared" si="4"/>
        <v>IPL-2022</v>
      </c>
      <c r="E272" s="2">
        <f>YEAR('IPL Info'!$F272)</f>
        <v>2022</v>
      </c>
      <c r="F272" s="3">
        <v>44664</v>
      </c>
      <c r="G272" s="2" t="s">
        <v>26</v>
      </c>
      <c r="H272" s="2" t="s">
        <v>18</v>
      </c>
      <c r="I272" s="2" t="s">
        <v>19</v>
      </c>
      <c r="J272" s="2" t="s">
        <v>20</v>
      </c>
      <c r="K272" s="2" t="s">
        <v>17</v>
      </c>
      <c r="L272" s="2" t="s">
        <v>718</v>
      </c>
      <c r="M272" s="2" t="s">
        <v>634</v>
      </c>
      <c r="N272" s="2" t="s">
        <v>635</v>
      </c>
      <c r="O272" s="2" t="s">
        <v>719</v>
      </c>
      <c r="P272" s="2" t="s">
        <v>720</v>
      </c>
    </row>
    <row r="273" spans="1:16" ht="15.6" x14ac:dyDescent="0.3">
      <c r="A273" s="4">
        <v>1304068</v>
      </c>
      <c r="B273" s="4" t="s">
        <v>51</v>
      </c>
      <c r="C273" s="4" t="s">
        <v>445</v>
      </c>
      <c r="D273" s="4" t="str">
        <f t="shared" si="4"/>
        <v>IPL-2022</v>
      </c>
      <c r="E273" s="4">
        <f>YEAR('IPL Info'!$F273)</f>
        <v>2022</v>
      </c>
      <c r="F273" s="5">
        <v>44663</v>
      </c>
      <c r="G273" s="4" t="s">
        <v>445</v>
      </c>
      <c r="H273" s="4" t="s">
        <v>18</v>
      </c>
      <c r="I273" s="4" t="s">
        <v>19</v>
      </c>
      <c r="J273" s="4" t="s">
        <v>20</v>
      </c>
      <c r="K273" s="4" t="s">
        <v>51</v>
      </c>
      <c r="L273" s="4" t="s">
        <v>418</v>
      </c>
      <c r="M273" s="4" t="s">
        <v>621</v>
      </c>
      <c r="N273" s="4" t="s">
        <v>74</v>
      </c>
      <c r="O273" s="4" t="s">
        <v>721</v>
      </c>
      <c r="P273" s="4" t="s">
        <v>722</v>
      </c>
    </row>
    <row r="274" spans="1:16" ht="15.6" x14ac:dyDescent="0.3">
      <c r="A274" s="2">
        <v>1304067</v>
      </c>
      <c r="B274" s="2" t="s">
        <v>30</v>
      </c>
      <c r="C274" s="2" t="s">
        <v>55</v>
      </c>
      <c r="D274" s="2" t="str">
        <f t="shared" si="4"/>
        <v>IPL-2022</v>
      </c>
      <c r="E274" s="2">
        <f>YEAR('IPL Info'!$F274)</f>
        <v>2022</v>
      </c>
      <c r="F274" s="3">
        <v>44662</v>
      </c>
      <c r="G274" s="2" t="s">
        <v>55</v>
      </c>
      <c r="H274" s="2" t="s">
        <v>18</v>
      </c>
      <c r="I274" s="2" t="s">
        <v>19</v>
      </c>
      <c r="J274" s="2" t="s">
        <v>20</v>
      </c>
      <c r="K274" s="2" t="s">
        <v>55</v>
      </c>
      <c r="L274" s="2" t="s">
        <v>723</v>
      </c>
      <c r="M274" s="2" t="s">
        <v>621</v>
      </c>
      <c r="N274" s="2" t="s">
        <v>74</v>
      </c>
      <c r="O274" s="2" t="s">
        <v>724</v>
      </c>
      <c r="P274" s="2" t="s">
        <v>725</v>
      </c>
    </row>
    <row r="275" spans="1:16" ht="15.6" x14ac:dyDescent="0.3">
      <c r="A275" s="4">
        <v>1304065</v>
      </c>
      <c r="B275" s="4" t="s">
        <v>62</v>
      </c>
      <c r="C275" s="4" t="s">
        <v>56</v>
      </c>
      <c r="D275" s="4" t="str">
        <f t="shared" si="4"/>
        <v>IPL-2022</v>
      </c>
      <c r="E275" s="4">
        <f>YEAR('IPL Info'!$F275)</f>
        <v>2022</v>
      </c>
      <c r="F275" s="5">
        <v>44661</v>
      </c>
      <c r="G275" s="4" t="s">
        <v>56</v>
      </c>
      <c r="H275" s="4" t="s">
        <v>18</v>
      </c>
      <c r="I275" s="4" t="s">
        <v>19</v>
      </c>
      <c r="J275" s="4" t="s">
        <v>20</v>
      </c>
      <c r="K275" s="4" t="s">
        <v>62</v>
      </c>
      <c r="L275" s="4" t="s">
        <v>298</v>
      </c>
      <c r="M275" s="4" t="s">
        <v>617</v>
      </c>
      <c r="N275" s="4" t="s">
        <v>74</v>
      </c>
      <c r="O275" s="4" t="s">
        <v>726</v>
      </c>
      <c r="P275" s="4" t="s">
        <v>727</v>
      </c>
    </row>
    <row r="276" spans="1:16" ht="15.6" x14ac:dyDescent="0.3">
      <c r="A276" s="2">
        <v>1304066</v>
      </c>
      <c r="B276" s="2" t="s">
        <v>77</v>
      </c>
      <c r="C276" s="2" t="s">
        <v>40</v>
      </c>
      <c r="D276" s="2" t="str">
        <f t="shared" si="4"/>
        <v>IPL-2022</v>
      </c>
      <c r="E276" s="2">
        <f>YEAR('IPL Info'!$F276)</f>
        <v>2022</v>
      </c>
      <c r="F276" s="3">
        <v>44661</v>
      </c>
      <c r="G276" s="2" t="s">
        <v>40</v>
      </c>
      <c r="H276" s="2" t="s">
        <v>18</v>
      </c>
      <c r="I276" s="2" t="s">
        <v>19</v>
      </c>
      <c r="J276" s="2" t="s">
        <v>20</v>
      </c>
      <c r="K276" s="2" t="s">
        <v>77</v>
      </c>
      <c r="L276" s="2" t="s">
        <v>177</v>
      </c>
      <c r="M276" s="2" t="s">
        <v>73</v>
      </c>
      <c r="N276" s="2" t="s">
        <v>74</v>
      </c>
      <c r="O276" s="2" t="s">
        <v>728</v>
      </c>
      <c r="P276" s="2" t="s">
        <v>729</v>
      </c>
    </row>
    <row r="277" spans="1:16" ht="15.6" x14ac:dyDescent="0.3">
      <c r="A277" s="4">
        <v>1304064</v>
      </c>
      <c r="B277" s="4" t="s">
        <v>26</v>
      </c>
      <c r="C277" s="4" t="s">
        <v>445</v>
      </c>
      <c r="D277" s="4" t="str">
        <f t="shared" si="4"/>
        <v>IPL-2022</v>
      </c>
      <c r="E277" s="4">
        <f>YEAR('IPL Info'!$F277)</f>
        <v>2022</v>
      </c>
      <c r="F277" s="5">
        <v>44660</v>
      </c>
      <c r="G277" s="4" t="s">
        <v>445</v>
      </c>
      <c r="H277" s="4" t="s">
        <v>18</v>
      </c>
      <c r="I277" s="4" t="s">
        <v>19</v>
      </c>
      <c r="J277" s="4" t="s">
        <v>20</v>
      </c>
      <c r="K277" s="4" t="s">
        <v>445</v>
      </c>
      <c r="L277" s="4" t="s">
        <v>730</v>
      </c>
      <c r="M277" s="4" t="s">
        <v>634</v>
      </c>
      <c r="N277" s="4" t="s">
        <v>635</v>
      </c>
      <c r="O277" s="4" t="s">
        <v>731</v>
      </c>
      <c r="P277" s="4" t="s">
        <v>732</v>
      </c>
    </row>
    <row r="278" spans="1:16" ht="15.6" x14ac:dyDescent="0.3">
      <c r="A278" s="2">
        <v>1304063</v>
      </c>
      <c r="B278" s="2" t="s">
        <v>51</v>
      </c>
      <c r="C278" s="2" t="s">
        <v>55</v>
      </c>
      <c r="D278" s="2" t="str">
        <f t="shared" si="4"/>
        <v>IPL-2022</v>
      </c>
      <c r="E278" s="2">
        <f>YEAR('IPL Info'!$F278)</f>
        <v>2022</v>
      </c>
      <c r="F278" s="3">
        <v>44660</v>
      </c>
      <c r="G278" s="2" t="s">
        <v>55</v>
      </c>
      <c r="H278" s="2" t="s">
        <v>18</v>
      </c>
      <c r="I278" s="2" t="s">
        <v>19</v>
      </c>
      <c r="J278" s="2" t="s">
        <v>20</v>
      </c>
      <c r="K278" s="2" t="s">
        <v>55</v>
      </c>
      <c r="L278" s="2" t="s">
        <v>81</v>
      </c>
      <c r="M278" s="2" t="s">
        <v>621</v>
      </c>
      <c r="N278" s="2" t="s">
        <v>74</v>
      </c>
      <c r="O278" s="2" t="s">
        <v>733</v>
      </c>
      <c r="P278" s="2" t="s">
        <v>734</v>
      </c>
    </row>
    <row r="279" spans="1:16" ht="15.6" x14ac:dyDescent="0.3">
      <c r="A279" s="4">
        <v>1304062</v>
      </c>
      <c r="B279" s="4" t="s">
        <v>17</v>
      </c>
      <c r="C279" s="4" t="s">
        <v>30</v>
      </c>
      <c r="D279" s="4" t="str">
        <f t="shared" si="4"/>
        <v>IPL-2022</v>
      </c>
      <c r="E279" s="4">
        <f>YEAR('IPL Info'!$F279)</f>
        <v>2022</v>
      </c>
      <c r="F279" s="5">
        <v>44659</v>
      </c>
      <c r="G279" s="4" t="s">
        <v>30</v>
      </c>
      <c r="H279" s="4" t="s">
        <v>18</v>
      </c>
      <c r="I279" s="4" t="s">
        <v>19</v>
      </c>
      <c r="J279" s="4" t="s">
        <v>20</v>
      </c>
      <c r="K279" s="4" t="s">
        <v>30</v>
      </c>
      <c r="L279" s="4" t="s">
        <v>101</v>
      </c>
      <c r="M279" s="4" t="s">
        <v>617</v>
      </c>
      <c r="N279" s="4" t="s">
        <v>74</v>
      </c>
      <c r="O279" s="4" t="s">
        <v>735</v>
      </c>
      <c r="P279" s="4" t="s">
        <v>736</v>
      </c>
    </row>
    <row r="280" spans="1:16" ht="15.6" x14ac:dyDescent="0.3">
      <c r="A280" s="2">
        <v>1304061</v>
      </c>
      <c r="B280" s="2" t="s">
        <v>62</v>
      </c>
      <c r="C280" s="2" t="s">
        <v>40</v>
      </c>
      <c r="D280" s="2" t="str">
        <f t="shared" si="4"/>
        <v>IPL-2022</v>
      </c>
      <c r="E280" s="2">
        <f>YEAR('IPL Info'!$F280)</f>
        <v>2022</v>
      </c>
      <c r="F280" s="3">
        <v>44658</v>
      </c>
      <c r="G280" s="2" t="s">
        <v>40</v>
      </c>
      <c r="H280" s="2" t="s">
        <v>18</v>
      </c>
      <c r="I280" s="2" t="s">
        <v>19</v>
      </c>
      <c r="J280" s="2" t="s">
        <v>20</v>
      </c>
      <c r="K280" s="2" t="s">
        <v>40</v>
      </c>
      <c r="L280" s="2" t="s">
        <v>246</v>
      </c>
      <c r="M280" s="2" t="s">
        <v>621</v>
      </c>
      <c r="N280" s="2" t="s">
        <v>74</v>
      </c>
      <c r="O280" s="2" t="s">
        <v>737</v>
      </c>
      <c r="P280" s="2" t="s">
        <v>738</v>
      </c>
    </row>
    <row r="281" spans="1:16" ht="15.6" x14ac:dyDescent="0.3">
      <c r="A281" s="4">
        <v>1304060</v>
      </c>
      <c r="B281" s="4" t="s">
        <v>26</v>
      </c>
      <c r="C281" s="4" t="s">
        <v>56</v>
      </c>
      <c r="D281" s="4" t="str">
        <f t="shared" si="4"/>
        <v>IPL-2022</v>
      </c>
      <c r="E281" s="4">
        <f>YEAR('IPL Info'!$F281)</f>
        <v>2022</v>
      </c>
      <c r="F281" s="5">
        <v>44657</v>
      </c>
      <c r="G281" s="4" t="s">
        <v>56</v>
      </c>
      <c r="H281" s="4" t="s">
        <v>18</v>
      </c>
      <c r="I281" s="4" t="s">
        <v>19</v>
      </c>
      <c r="J281" s="4" t="s">
        <v>20</v>
      </c>
      <c r="K281" s="4" t="s">
        <v>56</v>
      </c>
      <c r="L281" s="4" t="s">
        <v>739</v>
      </c>
      <c r="M281" s="4" t="s">
        <v>634</v>
      </c>
      <c r="N281" s="4" t="s">
        <v>635</v>
      </c>
      <c r="O281" s="4" t="s">
        <v>740</v>
      </c>
      <c r="P281" s="4" t="s">
        <v>741</v>
      </c>
    </row>
    <row r="282" spans="1:16" ht="15.6" x14ac:dyDescent="0.3">
      <c r="A282" s="2">
        <v>1304059</v>
      </c>
      <c r="B282" s="2" t="s">
        <v>77</v>
      </c>
      <c r="C282" s="2" t="s">
        <v>445</v>
      </c>
      <c r="D282" s="2" t="str">
        <f t="shared" si="4"/>
        <v>IPL-2022</v>
      </c>
      <c r="E282" s="2">
        <f>YEAR('IPL Info'!$F282)</f>
        <v>2022</v>
      </c>
      <c r="F282" s="3">
        <v>44656</v>
      </c>
      <c r="G282" s="2" t="s">
        <v>445</v>
      </c>
      <c r="H282" s="2" t="s">
        <v>18</v>
      </c>
      <c r="I282" s="2" t="s">
        <v>19</v>
      </c>
      <c r="J282" s="2" t="s">
        <v>20</v>
      </c>
      <c r="K282" s="2" t="s">
        <v>445</v>
      </c>
      <c r="L282" s="2" t="s">
        <v>709</v>
      </c>
      <c r="M282" s="2" t="s">
        <v>73</v>
      </c>
      <c r="N282" s="2" t="s">
        <v>74</v>
      </c>
      <c r="O282" s="2" t="s">
        <v>742</v>
      </c>
      <c r="P282" s="2" t="s">
        <v>743</v>
      </c>
    </row>
    <row r="283" spans="1:16" ht="15.6" x14ac:dyDescent="0.3">
      <c r="A283" s="4">
        <v>1304058</v>
      </c>
      <c r="B283" s="4" t="s">
        <v>40</v>
      </c>
      <c r="C283" s="4" t="s">
        <v>55</v>
      </c>
      <c r="D283" s="4" t="str">
        <f t="shared" si="4"/>
        <v>IPL-2022</v>
      </c>
      <c r="E283" s="4">
        <f>YEAR('IPL Info'!$F283)</f>
        <v>2022</v>
      </c>
      <c r="F283" s="5">
        <v>44655</v>
      </c>
      <c r="G283" s="4" t="s">
        <v>55</v>
      </c>
      <c r="H283" s="4" t="s">
        <v>18</v>
      </c>
      <c r="I283" s="4" t="s">
        <v>19</v>
      </c>
      <c r="J283" s="4" t="s">
        <v>20</v>
      </c>
      <c r="K283" s="4" t="s">
        <v>40</v>
      </c>
      <c r="L283" s="4" t="s">
        <v>162</v>
      </c>
      <c r="M283" s="4" t="s">
        <v>621</v>
      </c>
      <c r="N283" s="4" t="s">
        <v>74</v>
      </c>
      <c r="O283" s="4" t="s">
        <v>744</v>
      </c>
      <c r="P283" s="4" t="s">
        <v>745</v>
      </c>
    </row>
    <row r="284" spans="1:16" ht="15.6" x14ac:dyDescent="0.3">
      <c r="A284" s="2">
        <v>1304057</v>
      </c>
      <c r="B284" s="2" t="s">
        <v>17</v>
      </c>
      <c r="C284" s="2" t="s">
        <v>51</v>
      </c>
      <c r="D284" s="2" t="str">
        <f t="shared" si="4"/>
        <v>IPL-2022</v>
      </c>
      <c r="E284" s="2">
        <f>YEAR('IPL Info'!$F284)</f>
        <v>2022</v>
      </c>
      <c r="F284" s="3">
        <v>44654</v>
      </c>
      <c r="G284" s="2" t="s">
        <v>51</v>
      </c>
      <c r="H284" s="2" t="s">
        <v>18</v>
      </c>
      <c r="I284" s="2" t="s">
        <v>19</v>
      </c>
      <c r="J284" s="2" t="s">
        <v>20</v>
      </c>
      <c r="K284" s="2" t="s">
        <v>17</v>
      </c>
      <c r="L284" s="2" t="s">
        <v>746</v>
      </c>
      <c r="M284" s="2" t="s">
        <v>617</v>
      </c>
      <c r="N284" s="2" t="s">
        <v>74</v>
      </c>
      <c r="O284" s="2" t="s">
        <v>747</v>
      </c>
      <c r="P284" s="2" t="s">
        <v>748</v>
      </c>
    </row>
    <row r="285" spans="1:16" ht="15.6" x14ac:dyDescent="0.3">
      <c r="A285" s="4">
        <v>1304056</v>
      </c>
      <c r="B285" s="4" t="s">
        <v>30</v>
      </c>
      <c r="C285" s="4" t="s">
        <v>62</v>
      </c>
      <c r="D285" s="4" t="str">
        <f t="shared" si="4"/>
        <v>IPL-2022</v>
      </c>
      <c r="E285" s="4">
        <f>YEAR('IPL Info'!$F285)</f>
        <v>2022</v>
      </c>
      <c r="F285" s="5">
        <v>44653</v>
      </c>
      <c r="G285" s="4" t="s">
        <v>62</v>
      </c>
      <c r="H285" s="4" t="s">
        <v>18</v>
      </c>
      <c r="I285" s="4" t="s">
        <v>19</v>
      </c>
      <c r="J285" s="4" t="s">
        <v>20</v>
      </c>
      <c r="K285" s="4" t="s">
        <v>30</v>
      </c>
      <c r="L285" s="4" t="s">
        <v>749</v>
      </c>
      <c r="M285" s="4" t="s">
        <v>634</v>
      </c>
      <c r="N285" s="4" t="s">
        <v>635</v>
      </c>
      <c r="O285" s="4" t="s">
        <v>750</v>
      </c>
      <c r="P285" s="4" t="s">
        <v>751</v>
      </c>
    </row>
    <row r="286" spans="1:16" ht="15.6" x14ac:dyDescent="0.3">
      <c r="A286" s="2">
        <v>1304055</v>
      </c>
      <c r="B286" s="2" t="s">
        <v>77</v>
      </c>
      <c r="C286" s="2" t="s">
        <v>26</v>
      </c>
      <c r="D286" s="2" t="str">
        <f t="shared" si="4"/>
        <v>IPL-2022</v>
      </c>
      <c r="E286" s="2">
        <f>YEAR('IPL Info'!$F286)</f>
        <v>2022</v>
      </c>
      <c r="F286" s="3">
        <v>44653</v>
      </c>
      <c r="G286" s="2" t="s">
        <v>26</v>
      </c>
      <c r="H286" s="2" t="s">
        <v>18</v>
      </c>
      <c r="I286" s="2" t="s">
        <v>19</v>
      </c>
      <c r="J286" s="2" t="s">
        <v>20</v>
      </c>
      <c r="K286" s="2" t="s">
        <v>77</v>
      </c>
      <c r="L286" s="2" t="s">
        <v>165</v>
      </c>
      <c r="M286" s="2" t="s">
        <v>621</v>
      </c>
      <c r="N286" s="2" t="s">
        <v>74</v>
      </c>
      <c r="O286" s="2" t="s">
        <v>742</v>
      </c>
      <c r="P286" s="2" t="s">
        <v>752</v>
      </c>
    </row>
    <row r="287" spans="1:16" ht="15.6" x14ac:dyDescent="0.3">
      <c r="A287" s="4">
        <v>1304054</v>
      </c>
      <c r="B287" s="4" t="s">
        <v>17</v>
      </c>
      <c r="C287" s="4" t="s">
        <v>56</v>
      </c>
      <c r="D287" s="4" t="str">
        <f t="shared" si="4"/>
        <v>IPL-2022</v>
      </c>
      <c r="E287" s="4">
        <f>YEAR('IPL Info'!$F287)</f>
        <v>2022</v>
      </c>
      <c r="F287" s="5">
        <v>44652</v>
      </c>
      <c r="G287" s="4" t="s">
        <v>56</v>
      </c>
      <c r="H287" s="4" t="s">
        <v>18</v>
      </c>
      <c r="I287" s="4" t="s">
        <v>19</v>
      </c>
      <c r="J287" s="4" t="s">
        <v>20</v>
      </c>
      <c r="K287" s="4" t="s">
        <v>56</v>
      </c>
      <c r="L287" s="4" t="s">
        <v>753</v>
      </c>
      <c r="M287" s="4" t="s">
        <v>73</v>
      </c>
      <c r="N287" s="4" t="s">
        <v>74</v>
      </c>
      <c r="O287" s="4" t="s">
        <v>754</v>
      </c>
      <c r="P287" s="4" t="s">
        <v>755</v>
      </c>
    </row>
    <row r="288" spans="1:16" ht="15.6" x14ac:dyDescent="0.3">
      <c r="A288" s="2">
        <v>1304053</v>
      </c>
      <c r="B288" s="2" t="s">
        <v>51</v>
      </c>
      <c r="C288" s="2" t="s">
        <v>40</v>
      </c>
      <c r="D288" s="2" t="str">
        <f t="shared" si="4"/>
        <v>IPL-2022</v>
      </c>
      <c r="E288" s="2">
        <f>YEAR('IPL Info'!$F288)</f>
        <v>2022</v>
      </c>
      <c r="F288" s="3">
        <v>44651</v>
      </c>
      <c r="G288" s="2" t="s">
        <v>40</v>
      </c>
      <c r="H288" s="2" t="s">
        <v>18</v>
      </c>
      <c r="I288" s="2" t="s">
        <v>19</v>
      </c>
      <c r="J288" s="2" t="s">
        <v>20</v>
      </c>
      <c r="K288" s="2" t="s">
        <v>40</v>
      </c>
      <c r="L288" s="2" t="s">
        <v>756</v>
      </c>
      <c r="M288" s="2" t="s">
        <v>617</v>
      </c>
      <c r="N288" s="2" t="s">
        <v>74</v>
      </c>
      <c r="O288" s="2" t="s">
        <v>757</v>
      </c>
      <c r="P288" s="2" t="s">
        <v>758</v>
      </c>
    </row>
    <row r="289" spans="1:16" ht="15.6" x14ac:dyDescent="0.3">
      <c r="A289" s="4">
        <v>1304052</v>
      </c>
      <c r="B289" s="4" t="s">
        <v>56</v>
      </c>
      <c r="C289" s="4" t="s">
        <v>445</v>
      </c>
      <c r="D289" s="4" t="str">
        <f t="shared" si="4"/>
        <v>IPL-2022</v>
      </c>
      <c r="E289" s="4">
        <f>YEAR('IPL Info'!$F289)</f>
        <v>2022</v>
      </c>
      <c r="F289" s="5">
        <v>44650</v>
      </c>
      <c r="G289" s="4" t="s">
        <v>445</v>
      </c>
      <c r="H289" s="4" t="s">
        <v>18</v>
      </c>
      <c r="I289" s="4" t="s">
        <v>19</v>
      </c>
      <c r="J289" s="4" t="s">
        <v>20</v>
      </c>
      <c r="K289" s="4" t="s">
        <v>445</v>
      </c>
      <c r="L289" s="4" t="s">
        <v>647</v>
      </c>
      <c r="M289" s="4" t="s">
        <v>621</v>
      </c>
      <c r="N289" s="4" t="s">
        <v>74</v>
      </c>
      <c r="O289" s="4" t="s">
        <v>759</v>
      </c>
      <c r="P289" s="4" t="s">
        <v>760</v>
      </c>
    </row>
    <row r="290" spans="1:16" ht="15.6" x14ac:dyDescent="0.3">
      <c r="A290" s="2">
        <v>1304051</v>
      </c>
      <c r="B290" s="2" t="s">
        <v>77</v>
      </c>
      <c r="C290" s="2" t="s">
        <v>55</v>
      </c>
      <c r="D290" s="2" t="str">
        <f t="shared" si="4"/>
        <v>IPL-2022</v>
      </c>
      <c r="E290" s="2">
        <f>YEAR('IPL Info'!$F290)</f>
        <v>2022</v>
      </c>
      <c r="F290" s="3">
        <v>44649</v>
      </c>
      <c r="G290" s="2" t="s">
        <v>55</v>
      </c>
      <c r="H290" s="2" t="s">
        <v>18</v>
      </c>
      <c r="I290" s="2" t="s">
        <v>19</v>
      </c>
      <c r="J290" s="2" t="s">
        <v>20</v>
      </c>
      <c r="K290" s="2" t="s">
        <v>77</v>
      </c>
      <c r="L290" s="2" t="s">
        <v>331</v>
      </c>
      <c r="M290" s="2" t="s">
        <v>634</v>
      </c>
      <c r="N290" s="2" t="s">
        <v>635</v>
      </c>
      <c r="O290" s="2" t="s">
        <v>761</v>
      </c>
      <c r="P290" s="2" t="s">
        <v>762</v>
      </c>
    </row>
    <row r="291" spans="1:16" ht="15.6" x14ac:dyDescent="0.3">
      <c r="A291" s="4">
        <v>1304050</v>
      </c>
      <c r="B291" s="4" t="s">
        <v>40</v>
      </c>
      <c r="C291" s="4" t="s">
        <v>30</v>
      </c>
      <c r="D291" s="4" t="str">
        <f t="shared" si="4"/>
        <v>IPL-2022</v>
      </c>
      <c r="E291" s="4">
        <f>YEAR('IPL Info'!$F291)</f>
        <v>2022</v>
      </c>
      <c r="F291" s="5">
        <v>44648</v>
      </c>
      <c r="G291" s="4" t="s">
        <v>30</v>
      </c>
      <c r="H291" s="4" t="s">
        <v>18</v>
      </c>
      <c r="I291" s="4" t="s">
        <v>19</v>
      </c>
      <c r="J291" s="4" t="s">
        <v>20</v>
      </c>
      <c r="K291" s="4" t="s">
        <v>30</v>
      </c>
      <c r="L291" s="4" t="s">
        <v>505</v>
      </c>
      <c r="M291" s="4" t="s">
        <v>73</v>
      </c>
      <c r="N291" s="4" t="s">
        <v>74</v>
      </c>
      <c r="O291" s="4" t="s">
        <v>763</v>
      </c>
      <c r="P291" s="4" t="s">
        <v>764</v>
      </c>
    </row>
    <row r="292" spans="1:16" ht="15.6" x14ac:dyDescent="0.3">
      <c r="A292" s="2">
        <v>1304049</v>
      </c>
      <c r="B292" s="2" t="s">
        <v>445</v>
      </c>
      <c r="C292" s="2" t="s">
        <v>17</v>
      </c>
      <c r="D292" s="2" t="str">
        <f t="shared" si="4"/>
        <v>IPL-2022</v>
      </c>
      <c r="E292" s="2">
        <f>YEAR('IPL Info'!$F292)</f>
        <v>2022</v>
      </c>
      <c r="F292" s="3">
        <v>44647</v>
      </c>
      <c r="G292" s="2" t="s">
        <v>17</v>
      </c>
      <c r="H292" s="2" t="s">
        <v>18</v>
      </c>
      <c r="I292" s="2" t="s">
        <v>19</v>
      </c>
      <c r="J292" s="2" t="s">
        <v>20</v>
      </c>
      <c r="K292" s="2" t="s">
        <v>17</v>
      </c>
      <c r="L292" s="2" t="s">
        <v>765</v>
      </c>
      <c r="M292" s="2" t="s">
        <v>621</v>
      </c>
      <c r="N292" s="2" t="s">
        <v>74</v>
      </c>
      <c r="O292" s="2" t="s">
        <v>766</v>
      </c>
      <c r="P292" s="2" t="s">
        <v>767</v>
      </c>
    </row>
    <row r="293" spans="1:16" ht="15.6" x14ac:dyDescent="0.3">
      <c r="A293" s="4">
        <v>1304048</v>
      </c>
      <c r="B293" s="4" t="s">
        <v>26</v>
      </c>
      <c r="C293" s="4" t="s">
        <v>62</v>
      </c>
      <c r="D293" s="4" t="str">
        <f t="shared" si="4"/>
        <v>IPL-2022</v>
      </c>
      <c r="E293" s="4">
        <f>YEAR('IPL Info'!$F293)</f>
        <v>2022</v>
      </c>
      <c r="F293" s="5">
        <v>44647</v>
      </c>
      <c r="G293" s="4" t="s">
        <v>62</v>
      </c>
      <c r="H293" s="4" t="s">
        <v>18</v>
      </c>
      <c r="I293" s="4" t="s">
        <v>19</v>
      </c>
      <c r="J293" s="4" t="s">
        <v>20</v>
      </c>
      <c r="K293" s="4" t="s">
        <v>62</v>
      </c>
      <c r="L293" s="4" t="s">
        <v>298</v>
      </c>
      <c r="M293" s="4" t="s">
        <v>617</v>
      </c>
      <c r="N293" s="4" t="s">
        <v>74</v>
      </c>
      <c r="O293" s="4" t="s">
        <v>768</v>
      </c>
      <c r="P293" s="4" t="s">
        <v>769</v>
      </c>
    </row>
    <row r="294" spans="1:16" ht="15.6" x14ac:dyDescent="0.3">
      <c r="A294" s="2">
        <v>1304047</v>
      </c>
      <c r="B294" s="2" t="s">
        <v>51</v>
      </c>
      <c r="C294" s="2" t="s">
        <v>56</v>
      </c>
      <c r="D294" s="2" t="str">
        <f t="shared" si="4"/>
        <v>IPL-2022</v>
      </c>
      <c r="E294" s="2">
        <f>YEAR('IPL Info'!$F294)</f>
        <v>2022</v>
      </c>
      <c r="F294" s="3">
        <v>44646</v>
      </c>
      <c r="G294" s="2" t="s">
        <v>56</v>
      </c>
      <c r="H294" s="2" t="s">
        <v>18</v>
      </c>
      <c r="I294" s="2" t="s">
        <v>19</v>
      </c>
      <c r="J294" s="2" t="s">
        <v>20</v>
      </c>
      <c r="K294" s="2" t="s">
        <v>56</v>
      </c>
      <c r="L294" s="2" t="s">
        <v>753</v>
      </c>
      <c r="M294" s="2" t="s">
        <v>73</v>
      </c>
      <c r="N294" s="2" t="s">
        <v>74</v>
      </c>
      <c r="O294" s="2" t="s">
        <v>770</v>
      </c>
      <c r="P294" s="2" t="s">
        <v>771</v>
      </c>
    </row>
    <row r="295" spans="1:16" ht="15.6" x14ac:dyDescent="0.3">
      <c r="A295" s="4">
        <v>1254117</v>
      </c>
      <c r="B295" s="4" t="s">
        <v>51</v>
      </c>
      <c r="C295" s="4" t="s">
        <v>56</v>
      </c>
      <c r="D295" s="4" t="str">
        <f t="shared" si="4"/>
        <v>IPL-2021</v>
      </c>
      <c r="E295" s="4">
        <f>YEAR('IPL Info'!$F295)</f>
        <v>2021</v>
      </c>
      <c r="F295" s="5">
        <v>44484</v>
      </c>
      <c r="G295" s="4" t="s">
        <v>56</v>
      </c>
      <c r="H295" s="4" t="s">
        <v>18</v>
      </c>
      <c r="I295" s="4" t="s">
        <v>19</v>
      </c>
      <c r="J295" s="4" t="s">
        <v>20</v>
      </c>
      <c r="K295" s="4" t="s">
        <v>51</v>
      </c>
      <c r="L295" s="4" t="s">
        <v>271</v>
      </c>
      <c r="M295" s="4" t="s">
        <v>772</v>
      </c>
      <c r="N295" s="4" t="s">
        <v>773</v>
      </c>
      <c r="O295" s="4" t="s">
        <v>774</v>
      </c>
      <c r="P295" s="4" t="s">
        <v>775</v>
      </c>
    </row>
    <row r="296" spans="1:16" ht="15.6" x14ac:dyDescent="0.3">
      <c r="A296" s="2">
        <v>1254116</v>
      </c>
      <c r="B296" s="2" t="s">
        <v>62</v>
      </c>
      <c r="C296" s="2" t="s">
        <v>56</v>
      </c>
      <c r="D296" s="2" t="str">
        <f t="shared" si="4"/>
        <v>IPL-2021</v>
      </c>
      <c r="E296" s="2">
        <f>YEAR('IPL Info'!$F296)</f>
        <v>2021</v>
      </c>
      <c r="F296" s="3">
        <v>44482</v>
      </c>
      <c r="G296" s="2" t="s">
        <v>56</v>
      </c>
      <c r="H296" s="2" t="s">
        <v>18</v>
      </c>
      <c r="I296" s="2" t="s">
        <v>19</v>
      </c>
      <c r="J296" s="2" t="s">
        <v>20</v>
      </c>
      <c r="K296" s="2" t="s">
        <v>56</v>
      </c>
      <c r="L296" s="2" t="s">
        <v>310</v>
      </c>
      <c r="M296" s="2" t="s">
        <v>776</v>
      </c>
      <c r="N296" s="2" t="s">
        <v>777</v>
      </c>
      <c r="O296" s="2" t="s">
        <v>778</v>
      </c>
      <c r="P296" s="2" t="s">
        <v>779</v>
      </c>
    </row>
    <row r="297" spans="1:16" ht="15.6" x14ac:dyDescent="0.3">
      <c r="A297" s="4">
        <v>1254115</v>
      </c>
      <c r="B297" s="4" t="s">
        <v>445</v>
      </c>
      <c r="C297" s="4" t="s">
        <v>56</v>
      </c>
      <c r="D297" s="4" t="str">
        <f t="shared" si="4"/>
        <v>IPL-2021</v>
      </c>
      <c r="E297" s="4">
        <f>YEAR('IPL Info'!$F297)</f>
        <v>2021</v>
      </c>
      <c r="F297" s="5">
        <v>44480</v>
      </c>
      <c r="G297" s="4" t="s">
        <v>445</v>
      </c>
      <c r="H297" s="4" t="s">
        <v>31</v>
      </c>
      <c r="I297" s="4" t="s">
        <v>19</v>
      </c>
      <c r="J297" s="4" t="s">
        <v>20</v>
      </c>
      <c r="K297" s="4" t="s">
        <v>56</v>
      </c>
      <c r="L297" s="4" t="s">
        <v>129</v>
      </c>
      <c r="M297" s="4" t="s">
        <v>776</v>
      </c>
      <c r="N297" s="4" t="s">
        <v>777</v>
      </c>
      <c r="O297" s="4" t="s">
        <v>780</v>
      </c>
      <c r="P297" s="4" t="s">
        <v>781</v>
      </c>
    </row>
    <row r="298" spans="1:16" ht="15.6" x14ac:dyDescent="0.3">
      <c r="A298" s="2">
        <v>1254114</v>
      </c>
      <c r="B298" s="2" t="s">
        <v>62</v>
      </c>
      <c r="C298" s="2" t="s">
        <v>51</v>
      </c>
      <c r="D298" s="2" t="str">
        <f t="shared" si="4"/>
        <v>IPL-2021</v>
      </c>
      <c r="E298" s="2">
        <f>YEAR('IPL Info'!$F298)</f>
        <v>2021</v>
      </c>
      <c r="F298" s="3">
        <v>44479</v>
      </c>
      <c r="G298" s="2" t="s">
        <v>51</v>
      </c>
      <c r="H298" s="2" t="s">
        <v>18</v>
      </c>
      <c r="I298" s="2" t="s">
        <v>19</v>
      </c>
      <c r="J298" s="2" t="s">
        <v>20</v>
      </c>
      <c r="K298" s="2" t="s">
        <v>51</v>
      </c>
      <c r="L298" s="2" t="s">
        <v>325</v>
      </c>
      <c r="M298" s="2" t="s">
        <v>772</v>
      </c>
      <c r="N298" s="2" t="s">
        <v>773</v>
      </c>
      <c r="O298" s="2" t="s">
        <v>782</v>
      </c>
      <c r="P298" s="2" t="s">
        <v>783</v>
      </c>
    </row>
    <row r="299" spans="1:16" ht="15.6" x14ac:dyDescent="0.3">
      <c r="A299" s="4">
        <v>1254101</v>
      </c>
      <c r="B299" s="4" t="s">
        <v>62</v>
      </c>
      <c r="C299" s="4" t="s">
        <v>445</v>
      </c>
      <c r="D299" s="4" t="str">
        <f t="shared" si="4"/>
        <v>IPL-2021</v>
      </c>
      <c r="E299" s="4">
        <f>YEAR('IPL Info'!$F299)</f>
        <v>2021</v>
      </c>
      <c r="F299" s="5">
        <v>44477</v>
      </c>
      <c r="G299" s="4" t="s">
        <v>445</v>
      </c>
      <c r="H299" s="4" t="s">
        <v>18</v>
      </c>
      <c r="I299" s="4" t="s">
        <v>19</v>
      </c>
      <c r="J299" s="4" t="s">
        <v>20</v>
      </c>
      <c r="K299" s="4" t="s">
        <v>445</v>
      </c>
      <c r="L299" s="4" t="s">
        <v>784</v>
      </c>
      <c r="M299" s="4" t="s">
        <v>772</v>
      </c>
      <c r="N299" s="4" t="s">
        <v>773</v>
      </c>
      <c r="O299" s="4" t="s">
        <v>785</v>
      </c>
      <c r="P299" s="4" t="s">
        <v>786</v>
      </c>
    </row>
    <row r="300" spans="1:16" ht="15.6" x14ac:dyDescent="0.3">
      <c r="A300" s="2">
        <v>1254088</v>
      </c>
      <c r="B300" s="2" t="s">
        <v>26</v>
      </c>
      <c r="C300" s="2" t="s">
        <v>55</v>
      </c>
      <c r="D300" s="2" t="str">
        <f t="shared" si="4"/>
        <v>IPL-2021</v>
      </c>
      <c r="E300" s="2">
        <f>YEAR('IPL Info'!$F300)</f>
        <v>2021</v>
      </c>
      <c r="F300" s="3">
        <v>44477</v>
      </c>
      <c r="G300" s="2" t="s">
        <v>26</v>
      </c>
      <c r="H300" s="2" t="s">
        <v>31</v>
      </c>
      <c r="I300" s="2" t="s">
        <v>19</v>
      </c>
      <c r="J300" s="2" t="s">
        <v>20</v>
      </c>
      <c r="K300" s="2" t="s">
        <v>26</v>
      </c>
      <c r="L300" s="2" t="s">
        <v>66</v>
      </c>
      <c r="M300" s="2" t="s">
        <v>787</v>
      </c>
      <c r="N300" s="2" t="s">
        <v>788</v>
      </c>
      <c r="O300" s="2" t="s">
        <v>789</v>
      </c>
      <c r="P300" s="2" t="s">
        <v>790</v>
      </c>
    </row>
    <row r="301" spans="1:16" ht="15.6" x14ac:dyDescent="0.3">
      <c r="A301" s="4">
        <v>1254106</v>
      </c>
      <c r="B301" s="4" t="s">
        <v>56</v>
      </c>
      <c r="C301" s="4" t="s">
        <v>77</v>
      </c>
      <c r="D301" s="4" t="str">
        <f t="shared" si="4"/>
        <v>IPL-2021</v>
      </c>
      <c r="E301" s="4">
        <f>YEAR('IPL Info'!$F301)</f>
        <v>2021</v>
      </c>
      <c r="F301" s="5">
        <v>44476</v>
      </c>
      <c r="G301" s="4" t="s">
        <v>77</v>
      </c>
      <c r="H301" s="4" t="s">
        <v>18</v>
      </c>
      <c r="I301" s="4" t="s">
        <v>19</v>
      </c>
      <c r="J301" s="4" t="s">
        <v>20</v>
      </c>
      <c r="K301" s="4" t="s">
        <v>56</v>
      </c>
      <c r="L301" s="4" t="s">
        <v>791</v>
      </c>
      <c r="M301" s="4" t="s">
        <v>776</v>
      </c>
      <c r="N301" s="4" t="s">
        <v>777</v>
      </c>
      <c r="O301" s="4" t="s">
        <v>792</v>
      </c>
      <c r="P301" s="4" t="s">
        <v>793</v>
      </c>
    </row>
    <row r="302" spans="1:16" ht="15.6" x14ac:dyDescent="0.3">
      <c r="A302" s="2">
        <v>1254094</v>
      </c>
      <c r="B302" s="2" t="s">
        <v>51</v>
      </c>
      <c r="C302" s="2" t="s">
        <v>17</v>
      </c>
      <c r="D302" s="2" t="str">
        <f t="shared" si="4"/>
        <v>IPL-2021</v>
      </c>
      <c r="E302" s="2">
        <f>YEAR('IPL Info'!$F302)</f>
        <v>2021</v>
      </c>
      <c r="F302" s="3">
        <v>44476</v>
      </c>
      <c r="G302" s="2" t="s">
        <v>17</v>
      </c>
      <c r="H302" s="2" t="s">
        <v>18</v>
      </c>
      <c r="I302" s="2" t="s">
        <v>19</v>
      </c>
      <c r="J302" s="2" t="s">
        <v>20</v>
      </c>
      <c r="K302" s="2" t="s">
        <v>17</v>
      </c>
      <c r="L302" s="2" t="s">
        <v>196</v>
      </c>
      <c r="M302" s="2" t="s">
        <v>772</v>
      </c>
      <c r="N302" s="2" t="s">
        <v>773</v>
      </c>
      <c r="O302" s="2" t="s">
        <v>794</v>
      </c>
      <c r="P302" s="2" t="s">
        <v>795</v>
      </c>
    </row>
    <row r="303" spans="1:16" ht="15.6" x14ac:dyDescent="0.3">
      <c r="A303" s="4">
        <v>1254095</v>
      </c>
      <c r="B303" s="4" t="s">
        <v>55</v>
      </c>
      <c r="C303" s="4" t="s">
        <v>445</v>
      </c>
      <c r="D303" s="4" t="str">
        <f t="shared" si="4"/>
        <v>IPL-2021</v>
      </c>
      <c r="E303" s="4">
        <f>YEAR('IPL Info'!$F303)</f>
        <v>2021</v>
      </c>
      <c r="F303" s="5">
        <v>44475</v>
      </c>
      <c r="G303" s="4" t="s">
        <v>445</v>
      </c>
      <c r="H303" s="4" t="s">
        <v>18</v>
      </c>
      <c r="I303" s="4" t="s">
        <v>19</v>
      </c>
      <c r="J303" s="4" t="s">
        <v>20</v>
      </c>
      <c r="K303" s="4" t="s">
        <v>55</v>
      </c>
      <c r="L303" s="4" t="s">
        <v>723</v>
      </c>
      <c r="M303" s="4" t="s">
        <v>787</v>
      </c>
      <c r="N303" s="4" t="s">
        <v>788</v>
      </c>
      <c r="O303" s="4" t="s">
        <v>796</v>
      </c>
      <c r="P303" s="4" t="s">
        <v>797</v>
      </c>
    </row>
    <row r="304" spans="1:16" ht="15.6" x14ac:dyDescent="0.3">
      <c r="A304" s="2">
        <v>1254093</v>
      </c>
      <c r="B304" s="2" t="s">
        <v>77</v>
      </c>
      <c r="C304" s="2" t="s">
        <v>26</v>
      </c>
      <c r="D304" s="2" t="str">
        <f t="shared" si="4"/>
        <v>IPL-2021</v>
      </c>
      <c r="E304" s="2">
        <f>YEAR('IPL Info'!$F304)</f>
        <v>2021</v>
      </c>
      <c r="F304" s="3">
        <v>44474</v>
      </c>
      <c r="G304" s="2" t="s">
        <v>26</v>
      </c>
      <c r="H304" s="2" t="s">
        <v>18</v>
      </c>
      <c r="I304" s="2" t="s">
        <v>19</v>
      </c>
      <c r="J304" s="2" t="s">
        <v>20</v>
      </c>
      <c r="K304" s="2" t="s">
        <v>26</v>
      </c>
      <c r="L304" s="2" t="s">
        <v>798</v>
      </c>
      <c r="M304" s="2" t="s">
        <v>776</v>
      </c>
      <c r="N304" s="2" t="s">
        <v>777</v>
      </c>
      <c r="O304" s="2" t="s">
        <v>799</v>
      </c>
      <c r="P304" s="2" t="s">
        <v>800</v>
      </c>
    </row>
    <row r="305" spans="1:16" ht="15.6" x14ac:dyDescent="0.3">
      <c r="A305" s="4">
        <v>1254110</v>
      </c>
      <c r="B305" s="4" t="s">
        <v>51</v>
      </c>
      <c r="C305" s="4" t="s">
        <v>62</v>
      </c>
      <c r="D305" s="4" t="str">
        <f t="shared" si="4"/>
        <v>IPL-2021</v>
      </c>
      <c r="E305" s="4">
        <f>YEAR('IPL Info'!$F305)</f>
        <v>2021</v>
      </c>
      <c r="F305" s="5">
        <v>44473</v>
      </c>
      <c r="G305" s="4" t="s">
        <v>62</v>
      </c>
      <c r="H305" s="4" t="s">
        <v>18</v>
      </c>
      <c r="I305" s="4" t="s">
        <v>19</v>
      </c>
      <c r="J305" s="4" t="s">
        <v>20</v>
      </c>
      <c r="K305" s="4" t="s">
        <v>62</v>
      </c>
      <c r="L305" s="4" t="s">
        <v>527</v>
      </c>
      <c r="M305" s="4" t="s">
        <v>772</v>
      </c>
      <c r="N305" s="4" t="s">
        <v>773</v>
      </c>
      <c r="O305" s="4" t="s">
        <v>801</v>
      </c>
      <c r="P305" s="4" t="s">
        <v>802</v>
      </c>
    </row>
    <row r="306" spans="1:16" ht="15.6" x14ac:dyDescent="0.3">
      <c r="A306" s="2">
        <v>1254109</v>
      </c>
      <c r="B306" s="2" t="s">
        <v>55</v>
      </c>
      <c r="C306" s="2" t="s">
        <v>56</v>
      </c>
      <c r="D306" s="2" t="str">
        <f t="shared" si="4"/>
        <v>IPL-2021</v>
      </c>
      <c r="E306" s="2">
        <f>YEAR('IPL Info'!$F306)</f>
        <v>2021</v>
      </c>
      <c r="F306" s="3">
        <v>44472</v>
      </c>
      <c r="G306" s="2" t="s">
        <v>55</v>
      </c>
      <c r="H306" s="2" t="s">
        <v>31</v>
      </c>
      <c r="I306" s="2" t="s">
        <v>19</v>
      </c>
      <c r="J306" s="2" t="s">
        <v>20</v>
      </c>
      <c r="K306" s="2" t="s">
        <v>56</v>
      </c>
      <c r="L306" s="2" t="s">
        <v>101</v>
      </c>
      <c r="M306" s="2" t="s">
        <v>772</v>
      </c>
      <c r="N306" s="2" t="s">
        <v>773</v>
      </c>
      <c r="O306" s="2" t="s">
        <v>803</v>
      </c>
      <c r="P306" s="2" t="s">
        <v>804</v>
      </c>
    </row>
    <row r="307" spans="1:16" ht="15.6" x14ac:dyDescent="0.3">
      <c r="A307" s="4">
        <v>1254090</v>
      </c>
      <c r="B307" s="4" t="s">
        <v>445</v>
      </c>
      <c r="C307" s="4" t="s">
        <v>17</v>
      </c>
      <c r="D307" s="4" t="str">
        <f t="shared" si="4"/>
        <v>IPL-2021</v>
      </c>
      <c r="E307" s="4">
        <f>YEAR('IPL Info'!$F307)</f>
        <v>2021</v>
      </c>
      <c r="F307" s="5">
        <v>44472</v>
      </c>
      <c r="G307" s="4" t="s">
        <v>445</v>
      </c>
      <c r="H307" s="4" t="s">
        <v>31</v>
      </c>
      <c r="I307" s="4" t="s">
        <v>19</v>
      </c>
      <c r="J307" s="4" t="s">
        <v>20</v>
      </c>
      <c r="K307" s="4" t="s">
        <v>445</v>
      </c>
      <c r="L307" s="4" t="s">
        <v>533</v>
      </c>
      <c r="M307" s="4" t="s">
        <v>776</v>
      </c>
      <c r="N307" s="4" t="s">
        <v>777</v>
      </c>
      <c r="O307" s="4" t="s">
        <v>805</v>
      </c>
      <c r="P307" s="4" t="s">
        <v>806</v>
      </c>
    </row>
    <row r="308" spans="1:16" ht="15.6" x14ac:dyDescent="0.3">
      <c r="A308" s="2">
        <v>1254112</v>
      </c>
      <c r="B308" s="2" t="s">
        <v>26</v>
      </c>
      <c r="C308" s="2" t="s">
        <v>62</v>
      </c>
      <c r="D308" s="2" t="str">
        <f t="shared" si="4"/>
        <v>IPL-2021</v>
      </c>
      <c r="E308" s="2">
        <f>YEAR('IPL Info'!$F308)</f>
        <v>2021</v>
      </c>
      <c r="F308" s="3">
        <v>44471</v>
      </c>
      <c r="G308" s="2" t="s">
        <v>62</v>
      </c>
      <c r="H308" s="2" t="s">
        <v>18</v>
      </c>
      <c r="I308" s="2" t="s">
        <v>19</v>
      </c>
      <c r="J308" s="2" t="s">
        <v>20</v>
      </c>
      <c r="K308" s="2" t="s">
        <v>62</v>
      </c>
      <c r="L308" s="2" t="s">
        <v>527</v>
      </c>
      <c r="M308" s="2" t="s">
        <v>776</v>
      </c>
      <c r="N308" s="2" t="s">
        <v>777</v>
      </c>
      <c r="O308" s="2" t="s">
        <v>807</v>
      </c>
      <c r="P308" s="2" t="s">
        <v>808</v>
      </c>
    </row>
    <row r="309" spans="1:16" ht="15.6" x14ac:dyDescent="0.3">
      <c r="A309" s="4">
        <v>1254089</v>
      </c>
      <c r="B309" s="4" t="s">
        <v>51</v>
      </c>
      <c r="C309" s="4" t="s">
        <v>77</v>
      </c>
      <c r="D309" s="4" t="str">
        <f t="shared" si="4"/>
        <v>IPL-2021</v>
      </c>
      <c r="E309" s="4">
        <f>YEAR('IPL Info'!$F309)</f>
        <v>2021</v>
      </c>
      <c r="F309" s="5">
        <v>44471</v>
      </c>
      <c r="G309" s="4" t="s">
        <v>77</v>
      </c>
      <c r="H309" s="4" t="s">
        <v>18</v>
      </c>
      <c r="I309" s="4" t="s">
        <v>19</v>
      </c>
      <c r="J309" s="4" t="s">
        <v>20</v>
      </c>
      <c r="K309" s="4" t="s">
        <v>77</v>
      </c>
      <c r="L309" s="4" t="s">
        <v>325</v>
      </c>
      <c r="M309" s="4" t="s">
        <v>787</v>
      </c>
      <c r="N309" s="4" t="s">
        <v>788</v>
      </c>
      <c r="O309" s="4" t="s">
        <v>809</v>
      </c>
      <c r="P309" s="4" t="s">
        <v>810</v>
      </c>
    </row>
    <row r="310" spans="1:16" ht="15.6" x14ac:dyDescent="0.3">
      <c r="A310" s="2">
        <v>1254102</v>
      </c>
      <c r="B310" s="2" t="s">
        <v>56</v>
      </c>
      <c r="C310" s="2" t="s">
        <v>17</v>
      </c>
      <c r="D310" s="2" t="str">
        <f t="shared" si="4"/>
        <v>IPL-2021</v>
      </c>
      <c r="E310" s="2">
        <f>YEAR('IPL Info'!$F310)</f>
        <v>2021</v>
      </c>
      <c r="F310" s="3">
        <v>44470</v>
      </c>
      <c r="G310" s="2" t="s">
        <v>17</v>
      </c>
      <c r="H310" s="2" t="s">
        <v>18</v>
      </c>
      <c r="I310" s="2" t="s">
        <v>19</v>
      </c>
      <c r="J310" s="2" t="s">
        <v>20</v>
      </c>
      <c r="K310" s="2" t="s">
        <v>17</v>
      </c>
      <c r="L310" s="2" t="s">
        <v>196</v>
      </c>
      <c r="M310" s="2" t="s">
        <v>772</v>
      </c>
      <c r="N310" s="2" t="s">
        <v>773</v>
      </c>
      <c r="O310" s="2" t="s">
        <v>811</v>
      </c>
      <c r="P310" s="2" t="s">
        <v>812</v>
      </c>
    </row>
    <row r="311" spans="1:16" ht="15.6" x14ac:dyDescent="0.3">
      <c r="A311" s="4">
        <v>1254091</v>
      </c>
      <c r="B311" s="4" t="s">
        <v>55</v>
      </c>
      <c r="C311" s="4" t="s">
        <v>51</v>
      </c>
      <c r="D311" s="4" t="str">
        <f t="shared" si="4"/>
        <v>IPL-2021</v>
      </c>
      <c r="E311" s="4">
        <f>YEAR('IPL Info'!$F311)</f>
        <v>2021</v>
      </c>
      <c r="F311" s="5">
        <v>44469</v>
      </c>
      <c r="G311" s="4" t="s">
        <v>51</v>
      </c>
      <c r="H311" s="4" t="s">
        <v>18</v>
      </c>
      <c r="I311" s="4" t="s">
        <v>19</v>
      </c>
      <c r="J311" s="4" t="s">
        <v>20</v>
      </c>
      <c r="K311" s="4" t="s">
        <v>51</v>
      </c>
      <c r="L311" s="4" t="s">
        <v>145</v>
      </c>
      <c r="M311" s="4" t="s">
        <v>776</v>
      </c>
      <c r="N311" s="4" t="s">
        <v>777</v>
      </c>
      <c r="O311" s="4" t="s">
        <v>813</v>
      </c>
      <c r="P311" s="4" t="s">
        <v>814</v>
      </c>
    </row>
    <row r="312" spans="1:16" ht="15.6" x14ac:dyDescent="0.3">
      <c r="A312" s="2">
        <v>1254103</v>
      </c>
      <c r="B312" s="2" t="s">
        <v>77</v>
      </c>
      <c r="C312" s="2" t="s">
        <v>445</v>
      </c>
      <c r="D312" s="2" t="str">
        <f t="shared" si="4"/>
        <v>IPL-2021</v>
      </c>
      <c r="E312" s="2">
        <f>YEAR('IPL Info'!$F312)</f>
        <v>2021</v>
      </c>
      <c r="F312" s="3">
        <v>44468</v>
      </c>
      <c r="G312" s="2" t="s">
        <v>445</v>
      </c>
      <c r="H312" s="2" t="s">
        <v>18</v>
      </c>
      <c r="I312" s="2" t="s">
        <v>19</v>
      </c>
      <c r="J312" s="2" t="s">
        <v>20</v>
      </c>
      <c r="K312" s="2" t="s">
        <v>445</v>
      </c>
      <c r="L312" s="2" t="s">
        <v>177</v>
      </c>
      <c r="M312" s="2" t="s">
        <v>772</v>
      </c>
      <c r="N312" s="2" t="s">
        <v>773</v>
      </c>
      <c r="O312" s="2" t="s">
        <v>815</v>
      </c>
      <c r="P312" s="2" t="s">
        <v>816</v>
      </c>
    </row>
    <row r="313" spans="1:16" ht="15.6" x14ac:dyDescent="0.3">
      <c r="A313" s="4">
        <v>1254092</v>
      </c>
      <c r="B313" s="4" t="s">
        <v>62</v>
      </c>
      <c r="C313" s="4" t="s">
        <v>56</v>
      </c>
      <c r="D313" s="4" t="str">
        <f t="shared" si="4"/>
        <v>IPL-2021</v>
      </c>
      <c r="E313" s="4">
        <f>YEAR('IPL Info'!$F313)</f>
        <v>2021</v>
      </c>
      <c r="F313" s="5">
        <v>44467</v>
      </c>
      <c r="G313" s="4" t="s">
        <v>56</v>
      </c>
      <c r="H313" s="4" t="s">
        <v>18</v>
      </c>
      <c r="I313" s="4" t="s">
        <v>19</v>
      </c>
      <c r="J313" s="4" t="s">
        <v>20</v>
      </c>
      <c r="K313" s="4" t="s">
        <v>56</v>
      </c>
      <c r="L313" s="4" t="s">
        <v>129</v>
      </c>
      <c r="M313" s="4" t="s">
        <v>776</v>
      </c>
      <c r="N313" s="4" t="s">
        <v>777</v>
      </c>
      <c r="O313" s="4" t="s">
        <v>817</v>
      </c>
      <c r="P313" s="4" t="s">
        <v>818</v>
      </c>
    </row>
    <row r="314" spans="1:16" ht="15.6" x14ac:dyDescent="0.3">
      <c r="A314" s="2">
        <v>1254099</v>
      </c>
      <c r="B314" s="2" t="s">
        <v>17</v>
      </c>
      <c r="C314" s="2" t="s">
        <v>26</v>
      </c>
      <c r="D314" s="2" t="str">
        <f t="shared" si="4"/>
        <v>IPL-2021</v>
      </c>
      <c r="E314" s="2">
        <f>YEAR('IPL Info'!$F314)</f>
        <v>2021</v>
      </c>
      <c r="F314" s="3">
        <v>44467</v>
      </c>
      <c r="G314" s="2" t="s">
        <v>26</v>
      </c>
      <c r="H314" s="2" t="s">
        <v>18</v>
      </c>
      <c r="I314" s="2" t="s">
        <v>19</v>
      </c>
      <c r="J314" s="2" t="s">
        <v>20</v>
      </c>
      <c r="K314" s="2" t="s">
        <v>26</v>
      </c>
      <c r="L314" s="2" t="s">
        <v>819</v>
      </c>
      <c r="M314" s="2" t="s">
        <v>787</v>
      </c>
      <c r="N314" s="2" t="s">
        <v>788</v>
      </c>
      <c r="O314" s="2" t="s">
        <v>820</v>
      </c>
      <c r="P314" s="2" t="s">
        <v>821</v>
      </c>
    </row>
    <row r="315" spans="1:16" ht="15.6" x14ac:dyDescent="0.3">
      <c r="A315" s="4">
        <v>1254100</v>
      </c>
      <c r="B315" s="4" t="s">
        <v>77</v>
      </c>
      <c r="C315" s="4" t="s">
        <v>55</v>
      </c>
      <c r="D315" s="4" t="str">
        <f t="shared" si="4"/>
        <v>IPL-2021</v>
      </c>
      <c r="E315" s="4">
        <f>YEAR('IPL Info'!$F315)</f>
        <v>2021</v>
      </c>
      <c r="F315" s="5">
        <v>44466</v>
      </c>
      <c r="G315" s="4" t="s">
        <v>77</v>
      </c>
      <c r="H315" s="4" t="s">
        <v>31</v>
      </c>
      <c r="I315" s="4" t="s">
        <v>19</v>
      </c>
      <c r="J315" s="4" t="s">
        <v>20</v>
      </c>
      <c r="K315" s="4" t="s">
        <v>55</v>
      </c>
      <c r="L315" s="4" t="s">
        <v>822</v>
      </c>
      <c r="M315" s="4" t="s">
        <v>772</v>
      </c>
      <c r="N315" s="4" t="s">
        <v>773</v>
      </c>
      <c r="O315" s="4" t="s">
        <v>823</v>
      </c>
      <c r="P315" s="4" t="s">
        <v>824</v>
      </c>
    </row>
    <row r="316" spans="1:16" ht="15.6" x14ac:dyDescent="0.3">
      <c r="A316" s="2">
        <v>1254108</v>
      </c>
      <c r="B316" s="2" t="s">
        <v>445</v>
      </c>
      <c r="C316" s="2" t="s">
        <v>26</v>
      </c>
      <c r="D316" s="2" t="str">
        <f t="shared" si="4"/>
        <v>IPL-2021</v>
      </c>
      <c r="E316" s="2">
        <f>YEAR('IPL Info'!$F316)</f>
        <v>2021</v>
      </c>
      <c r="F316" s="3">
        <v>44465</v>
      </c>
      <c r="G316" s="2" t="s">
        <v>26</v>
      </c>
      <c r="H316" s="2" t="s">
        <v>18</v>
      </c>
      <c r="I316" s="2" t="s">
        <v>19</v>
      </c>
      <c r="J316" s="2" t="s">
        <v>20</v>
      </c>
      <c r="K316" s="2" t="s">
        <v>445</v>
      </c>
      <c r="L316" s="2" t="s">
        <v>533</v>
      </c>
      <c r="M316" s="2" t="s">
        <v>772</v>
      </c>
      <c r="N316" s="2" t="s">
        <v>773</v>
      </c>
      <c r="O316" s="2" t="s">
        <v>825</v>
      </c>
      <c r="P316" s="2" t="s">
        <v>826</v>
      </c>
    </row>
    <row r="317" spans="1:16" ht="15.6" x14ac:dyDescent="0.3">
      <c r="A317" s="4">
        <v>1254098</v>
      </c>
      <c r="B317" s="4" t="s">
        <v>56</v>
      </c>
      <c r="C317" s="4" t="s">
        <v>51</v>
      </c>
      <c r="D317" s="4" t="str">
        <f t="shared" si="4"/>
        <v>IPL-2021</v>
      </c>
      <c r="E317" s="4">
        <f>YEAR('IPL Info'!$F317)</f>
        <v>2021</v>
      </c>
      <c r="F317" s="5">
        <v>44465</v>
      </c>
      <c r="G317" s="4" t="s">
        <v>56</v>
      </c>
      <c r="H317" s="4" t="s">
        <v>31</v>
      </c>
      <c r="I317" s="4" t="s">
        <v>19</v>
      </c>
      <c r="J317" s="4" t="s">
        <v>20</v>
      </c>
      <c r="K317" s="4" t="s">
        <v>51</v>
      </c>
      <c r="L317" s="4" t="s">
        <v>305</v>
      </c>
      <c r="M317" s="4" t="s">
        <v>787</v>
      </c>
      <c r="N317" s="4" t="s">
        <v>788</v>
      </c>
      <c r="O317" s="4" t="s">
        <v>827</v>
      </c>
      <c r="P317" s="4" t="s">
        <v>828</v>
      </c>
    </row>
    <row r="318" spans="1:16" ht="15.6" x14ac:dyDescent="0.3">
      <c r="A318" s="2">
        <v>1254097</v>
      </c>
      <c r="B318" s="2" t="s">
        <v>62</v>
      </c>
      <c r="C318" s="2" t="s">
        <v>77</v>
      </c>
      <c r="D318" s="2" t="str">
        <f t="shared" si="4"/>
        <v>IPL-2021</v>
      </c>
      <c r="E318" s="2">
        <f>YEAR('IPL Info'!$F318)</f>
        <v>2021</v>
      </c>
      <c r="F318" s="3">
        <v>44464</v>
      </c>
      <c r="G318" s="2" t="s">
        <v>77</v>
      </c>
      <c r="H318" s="2" t="s">
        <v>18</v>
      </c>
      <c r="I318" s="2" t="s">
        <v>19</v>
      </c>
      <c r="J318" s="2" t="s">
        <v>20</v>
      </c>
      <c r="K318" s="2" t="s">
        <v>62</v>
      </c>
      <c r="L318" s="2" t="s">
        <v>27</v>
      </c>
      <c r="M318" s="2" t="s">
        <v>787</v>
      </c>
      <c r="N318" s="2" t="s">
        <v>788</v>
      </c>
      <c r="O318" s="2" t="s">
        <v>829</v>
      </c>
      <c r="P318" s="2" t="s">
        <v>830</v>
      </c>
    </row>
    <row r="319" spans="1:16" ht="15.6" x14ac:dyDescent="0.3">
      <c r="A319" s="4">
        <v>1254107</v>
      </c>
      <c r="B319" s="4" t="s">
        <v>17</v>
      </c>
      <c r="C319" s="4" t="s">
        <v>55</v>
      </c>
      <c r="D319" s="4" t="str">
        <f t="shared" si="4"/>
        <v>IPL-2021</v>
      </c>
      <c r="E319" s="4">
        <f>YEAR('IPL Info'!$F319)</f>
        <v>2021</v>
      </c>
      <c r="F319" s="5">
        <v>44464</v>
      </c>
      <c r="G319" s="4" t="s">
        <v>55</v>
      </c>
      <c r="H319" s="4" t="s">
        <v>18</v>
      </c>
      <c r="I319" s="4" t="s">
        <v>19</v>
      </c>
      <c r="J319" s="4" t="s">
        <v>20</v>
      </c>
      <c r="K319" s="4" t="s">
        <v>17</v>
      </c>
      <c r="L319" s="4" t="s">
        <v>831</v>
      </c>
      <c r="M319" s="4" t="s">
        <v>776</v>
      </c>
      <c r="N319" s="4" t="s">
        <v>777</v>
      </c>
      <c r="O319" s="4" t="s">
        <v>832</v>
      </c>
      <c r="P319" s="4" t="s">
        <v>833</v>
      </c>
    </row>
    <row r="320" spans="1:16" ht="15.6" x14ac:dyDescent="0.3">
      <c r="A320" s="2">
        <v>1254113</v>
      </c>
      <c r="B320" s="2" t="s">
        <v>445</v>
      </c>
      <c r="C320" s="2" t="s">
        <v>51</v>
      </c>
      <c r="D320" s="2" t="str">
        <f t="shared" si="4"/>
        <v>IPL-2021</v>
      </c>
      <c r="E320" s="2">
        <f>YEAR('IPL Info'!$F320)</f>
        <v>2021</v>
      </c>
      <c r="F320" s="3">
        <v>44463</v>
      </c>
      <c r="G320" s="2" t="s">
        <v>51</v>
      </c>
      <c r="H320" s="2" t="s">
        <v>18</v>
      </c>
      <c r="I320" s="2" t="s">
        <v>19</v>
      </c>
      <c r="J320" s="2" t="s">
        <v>20</v>
      </c>
      <c r="K320" s="2" t="s">
        <v>51</v>
      </c>
      <c r="L320" s="2" t="s">
        <v>834</v>
      </c>
      <c r="M320" s="2" t="s">
        <v>776</v>
      </c>
      <c r="N320" s="2" t="s">
        <v>777</v>
      </c>
      <c r="O320" s="2" t="s">
        <v>835</v>
      </c>
      <c r="P320" s="2" t="s">
        <v>836</v>
      </c>
    </row>
    <row r="321" spans="1:16" ht="15.6" x14ac:dyDescent="0.3">
      <c r="A321" s="4">
        <v>1254096</v>
      </c>
      <c r="B321" s="4" t="s">
        <v>26</v>
      </c>
      <c r="C321" s="4" t="s">
        <v>56</v>
      </c>
      <c r="D321" s="4" t="str">
        <f t="shared" si="4"/>
        <v>IPL-2021</v>
      </c>
      <c r="E321" s="4">
        <f>YEAR('IPL Info'!$F321)</f>
        <v>2021</v>
      </c>
      <c r="F321" s="5">
        <v>44462</v>
      </c>
      <c r="G321" s="4" t="s">
        <v>56</v>
      </c>
      <c r="H321" s="4" t="s">
        <v>18</v>
      </c>
      <c r="I321" s="4" t="s">
        <v>19</v>
      </c>
      <c r="J321" s="4" t="s">
        <v>20</v>
      </c>
      <c r="K321" s="4" t="s">
        <v>56</v>
      </c>
      <c r="L321" s="4" t="s">
        <v>129</v>
      </c>
      <c r="M321" s="4" t="s">
        <v>787</v>
      </c>
      <c r="N321" s="4" t="s">
        <v>788</v>
      </c>
      <c r="O321" s="4" t="s">
        <v>837</v>
      </c>
      <c r="P321" s="4" t="s">
        <v>827</v>
      </c>
    </row>
    <row r="322" spans="1:16" ht="15.6" x14ac:dyDescent="0.3">
      <c r="A322" s="2">
        <v>1254105</v>
      </c>
      <c r="B322" s="2" t="s">
        <v>55</v>
      </c>
      <c r="C322" s="2" t="s">
        <v>62</v>
      </c>
      <c r="D322" s="2" t="str">
        <f t="shared" si="4"/>
        <v>IPL-2021</v>
      </c>
      <c r="E322" s="2">
        <f>YEAR('IPL Info'!$F322)</f>
        <v>2021</v>
      </c>
      <c r="F322" s="3">
        <v>44461</v>
      </c>
      <c r="G322" s="2" t="s">
        <v>55</v>
      </c>
      <c r="H322" s="2" t="s">
        <v>31</v>
      </c>
      <c r="I322" s="2" t="s">
        <v>19</v>
      </c>
      <c r="J322" s="2" t="s">
        <v>20</v>
      </c>
      <c r="K322" s="2" t="s">
        <v>62</v>
      </c>
      <c r="L322" s="2" t="s">
        <v>838</v>
      </c>
      <c r="M322" s="2" t="s">
        <v>772</v>
      </c>
      <c r="N322" s="2" t="s">
        <v>773</v>
      </c>
      <c r="O322" s="2" t="s">
        <v>833</v>
      </c>
      <c r="P322" s="2" t="s">
        <v>839</v>
      </c>
    </row>
    <row r="323" spans="1:16" ht="15.6" x14ac:dyDescent="0.3">
      <c r="A323" s="4">
        <v>1254111</v>
      </c>
      <c r="B323" s="4" t="s">
        <v>77</v>
      </c>
      <c r="C323" s="4" t="s">
        <v>17</v>
      </c>
      <c r="D323" s="4" t="str">
        <f t="shared" ref="D323:D386" si="5">_xlfn.SINGLE(_xlfn.CONCAT("IPL-",E323))</f>
        <v>IPL-2021</v>
      </c>
      <c r="E323" s="4">
        <f>YEAR('IPL Info'!$F323)</f>
        <v>2021</v>
      </c>
      <c r="F323" s="5">
        <v>44460</v>
      </c>
      <c r="G323" s="4" t="s">
        <v>17</v>
      </c>
      <c r="H323" s="4" t="s">
        <v>18</v>
      </c>
      <c r="I323" s="4" t="s">
        <v>19</v>
      </c>
      <c r="J323" s="4" t="s">
        <v>20</v>
      </c>
      <c r="K323" s="4" t="s">
        <v>77</v>
      </c>
      <c r="L323" s="4" t="s">
        <v>840</v>
      </c>
      <c r="M323" s="4" t="s">
        <v>772</v>
      </c>
      <c r="N323" s="4" t="s">
        <v>773</v>
      </c>
      <c r="O323" s="4" t="s">
        <v>841</v>
      </c>
      <c r="P323" s="4" t="s">
        <v>842</v>
      </c>
    </row>
    <row r="324" spans="1:16" ht="15.6" x14ac:dyDescent="0.3">
      <c r="A324" s="2">
        <v>1254087</v>
      </c>
      <c r="B324" s="2" t="s">
        <v>445</v>
      </c>
      <c r="C324" s="2" t="s">
        <v>56</v>
      </c>
      <c r="D324" s="2" t="str">
        <f t="shared" si="5"/>
        <v>IPL-2021</v>
      </c>
      <c r="E324" s="2">
        <f>YEAR('IPL Info'!$F324)</f>
        <v>2021</v>
      </c>
      <c r="F324" s="3">
        <v>44459</v>
      </c>
      <c r="G324" s="2" t="s">
        <v>445</v>
      </c>
      <c r="H324" s="2" t="s">
        <v>31</v>
      </c>
      <c r="I324" s="2" t="s">
        <v>19</v>
      </c>
      <c r="J324" s="2" t="s">
        <v>20</v>
      </c>
      <c r="K324" s="2" t="s">
        <v>56</v>
      </c>
      <c r="L324" s="2" t="s">
        <v>288</v>
      </c>
      <c r="M324" s="2" t="s">
        <v>787</v>
      </c>
      <c r="N324" s="2" t="s">
        <v>788</v>
      </c>
      <c r="O324" s="2" t="s">
        <v>843</v>
      </c>
      <c r="P324" s="2" t="s">
        <v>844</v>
      </c>
    </row>
    <row r="325" spans="1:16" ht="15.6" x14ac:dyDescent="0.3">
      <c r="A325" s="4">
        <v>1254104</v>
      </c>
      <c r="B325" s="4" t="s">
        <v>51</v>
      </c>
      <c r="C325" s="4" t="s">
        <v>26</v>
      </c>
      <c r="D325" s="4" t="str">
        <f t="shared" si="5"/>
        <v>IPL-2021</v>
      </c>
      <c r="E325" s="4">
        <f>YEAR('IPL Info'!$F325)</f>
        <v>2021</v>
      </c>
      <c r="F325" s="5">
        <v>44458</v>
      </c>
      <c r="G325" s="4" t="s">
        <v>51</v>
      </c>
      <c r="H325" s="4" t="s">
        <v>31</v>
      </c>
      <c r="I325" s="4" t="s">
        <v>19</v>
      </c>
      <c r="J325" s="4" t="s">
        <v>20</v>
      </c>
      <c r="K325" s="4" t="s">
        <v>51</v>
      </c>
      <c r="L325" s="4" t="s">
        <v>325</v>
      </c>
      <c r="M325" s="4" t="s">
        <v>772</v>
      </c>
      <c r="N325" s="4" t="s">
        <v>773</v>
      </c>
      <c r="O325" s="4" t="s">
        <v>836</v>
      </c>
      <c r="P325" s="4" t="s">
        <v>845</v>
      </c>
    </row>
    <row r="326" spans="1:16" ht="15.6" x14ac:dyDescent="0.3">
      <c r="A326" s="2">
        <v>1254086</v>
      </c>
      <c r="B326" s="2" t="s">
        <v>17</v>
      </c>
      <c r="C326" s="2" t="s">
        <v>62</v>
      </c>
      <c r="D326" s="2" t="str">
        <f t="shared" si="5"/>
        <v>IPL-2021</v>
      </c>
      <c r="E326" s="2">
        <f>YEAR('IPL Info'!$F326)</f>
        <v>2021</v>
      </c>
      <c r="F326" s="3">
        <v>44318</v>
      </c>
      <c r="G326" s="2" t="s">
        <v>62</v>
      </c>
      <c r="H326" s="2" t="s">
        <v>18</v>
      </c>
      <c r="I326" s="2" t="s">
        <v>19</v>
      </c>
      <c r="J326" s="2" t="s">
        <v>20</v>
      </c>
      <c r="K326" s="2" t="s">
        <v>62</v>
      </c>
      <c r="L326" s="2" t="s">
        <v>718</v>
      </c>
      <c r="M326" s="2" t="s">
        <v>22</v>
      </c>
      <c r="N326" s="2" t="s">
        <v>23</v>
      </c>
      <c r="O326" s="2" t="s">
        <v>846</v>
      </c>
      <c r="P326" s="2" t="s">
        <v>847</v>
      </c>
    </row>
    <row r="327" spans="1:16" ht="15.6" x14ac:dyDescent="0.3">
      <c r="A327" s="4">
        <v>1254085</v>
      </c>
      <c r="B327" s="4" t="s">
        <v>77</v>
      </c>
      <c r="C327" s="4" t="s">
        <v>55</v>
      </c>
      <c r="D327" s="4" t="str">
        <f t="shared" si="5"/>
        <v>IPL-2021</v>
      </c>
      <c r="E327" s="4">
        <f>YEAR('IPL Info'!$F327)</f>
        <v>2021</v>
      </c>
      <c r="F327" s="5">
        <v>44318</v>
      </c>
      <c r="G327" s="4" t="s">
        <v>55</v>
      </c>
      <c r="H327" s="4" t="s">
        <v>18</v>
      </c>
      <c r="I327" s="4" t="s">
        <v>19</v>
      </c>
      <c r="J327" s="4" t="s">
        <v>20</v>
      </c>
      <c r="K327" s="4" t="s">
        <v>77</v>
      </c>
      <c r="L327" s="4" t="s">
        <v>165</v>
      </c>
      <c r="M327" s="4" t="s">
        <v>58</v>
      </c>
      <c r="N327" s="4" t="s">
        <v>59</v>
      </c>
      <c r="O327" s="4" t="s">
        <v>848</v>
      </c>
      <c r="P327" s="4" t="s">
        <v>849</v>
      </c>
    </row>
    <row r="328" spans="1:16" ht="15.6" x14ac:dyDescent="0.3">
      <c r="A328" s="2">
        <v>1254084</v>
      </c>
      <c r="B328" s="2" t="s">
        <v>51</v>
      </c>
      <c r="C328" s="2" t="s">
        <v>26</v>
      </c>
      <c r="D328" s="2" t="str">
        <f t="shared" si="5"/>
        <v>IPL-2021</v>
      </c>
      <c r="E328" s="2">
        <f>YEAR('IPL Info'!$F328)</f>
        <v>2021</v>
      </c>
      <c r="F328" s="3">
        <v>44317</v>
      </c>
      <c r="G328" s="2" t="s">
        <v>26</v>
      </c>
      <c r="H328" s="2" t="s">
        <v>18</v>
      </c>
      <c r="I328" s="2" t="s">
        <v>19</v>
      </c>
      <c r="J328" s="2" t="s">
        <v>20</v>
      </c>
      <c r="K328" s="2" t="s">
        <v>26</v>
      </c>
      <c r="L328" s="2" t="s">
        <v>819</v>
      </c>
      <c r="M328" s="2" t="s">
        <v>58</v>
      </c>
      <c r="N328" s="2" t="s">
        <v>59</v>
      </c>
      <c r="O328" s="2" t="s">
        <v>850</v>
      </c>
      <c r="P328" s="2" t="s">
        <v>851</v>
      </c>
    </row>
    <row r="329" spans="1:16" ht="15.6" x14ac:dyDescent="0.3">
      <c r="A329" s="4">
        <v>1254083</v>
      </c>
      <c r="B329" s="4" t="s">
        <v>17</v>
      </c>
      <c r="C329" s="4" t="s">
        <v>445</v>
      </c>
      <c r="D329" s="4" t="str">
        <f t="shared" si="5"/>
        <v>IPL-2021</v>
      </c>
      <c r="E329" s="4">
        <f>YEAR('IPL Info'!$F329)</f>
        <v>2021</v>
      </c>
      <c r="F329" s="5">
        <v>44316</v>
      </c>
      <c r="G329" s="4" t="s">
        <v>445</v>
      </c>
      <c r="H329" s="4" t="s">
        <v>18</v>
      </c>
      <c r="I329" s="4" t="s">
        <v>19</v>
      </c>
      <c r="J329" s="4" t="s">
        <v>20</v>
      </c>
      <c r="K329" s="4" t="s">
        <v>17</v>
      </c>
      <c r="L329" s="4" t="s">
        <v>87</v>
      </c>
      <c r="M329" s="4" t="s">
        <v>22</v>
      </c>
      <c r="N329" s="4" t="s">
        <v>23</v>
      </c>
      <c r="O329" s="4" t="s">
        <v>852</v>
      </c>
      <c r="P329" s="4" t="s">
        <v>853</v>
      </c>
    </row>
    <row r="330" spans="1:16" ht="15.6" x14ac:dyDescent="0.3">
      <c r="A330" s="2">
        <v>1254082</v>
      </c>
      <c r="B330" s="2" t="s">
        <v>56</v>
      </c>
      <c r="C330" s="2" t="s">
        <v>62</v>
      </c>
      <c r="D330" s="2" t="str">
        <f t="shared" si="5"/>
        <v>IPL-2021</v>
      </c>
      <c r="E330" s="2">
        <f>YEAR('IPL Info'!$F330)</f>
        <v>2021</v>
      </c>
      <c r="F330" s="3">
        <v>44315</v>
      </c>
      <c r="G330" s="2" t="s">
        <v>62</v>
      </c>
      <c r="H330" s="2" t="s">
        <v>18</v>
      </c>
      <c r="I330" s="2" t="s">
        <v>19</v>
      </c>
      <c r="J330" s="2" t="s">
        <v>20</v>
      </c>
      <c r="K330" s="2" t="s">
        <v>62</v>
      </c>
      <c r="L330" s="2" t="s">
        <v>854</v>
      </c>
      <c r="M330" s="2" t="s">
        <v>22</v>
      </c>
      <c r="N330" s="2" t="s">
        <v>23</v>
      </c>
      <c r="O330" s="2" t="s">
        <v>855</v>
      </c>
      <c r="P330" s="2" t="s">
        <v>856</v>
      </c>
    </row>
    <row r="331" spans="1:16" ht="15.6" x14ac:dyDescent="0.3">
      <c r="A331" s="4">
        <v>1254081</v>
      </c>
      <c r="B331" s="4" t="s">
        <v>77</v>
      </c>
      <c r="C331" s="4" t="s">
        <v>26</v>
      </c>
      <c r="D331" s="4" t="str">
        <f t="shared" si="5"/>
        <v>IPL-2021</v>
      </c>
      <c r="E331" s="4">
        <f>YEAR('IPL Info'!$F331)</f>
        <v>2021</v>
      </c>
      <c r="F331" s="5">
        <v>44315</v>
      </c>
      <c r="G331" s="4" t="s">
        <v>26</v>
      </c>
      <c r="H331" s="4" t="s">
        <v>18</v>
      </c>
      <c r="I331" s="4" t="s">
        <v>19</v>
      </c>
      <c r="J331" s="4" t="s">
        <v>20</v>
      </c>
      <c r="K331" s="4" t="s">
        <v>26</v>
      </c>
      <c r="L331" s="4" t="s">
        <v>246</v>
      </c>
      <c r="M331" s="4" t="s">
        <v>58</v>
      </c>
      <c r="N331" s="4" t="s">
        <v>59</v>
      </c>
      <c r="O331" s="4" t="s">
        <v>857</v>
      </c>
      <c r="P331" s="4" t="s">
        <v>858</v>
      </c>
    </row>
    <row r="332" spans="1:16" ht="15.6" x14ac:dyDescent="0.3">
      <c r="A332" s="2">
        <v>1254080</v>
      </c>
      <c r="B332" s="2" t="s">
        <v>55</v>
      </c>
      <c r="C332" s="2" t="s">
        <v>51</v>
      </c>
      <c r="D332" s="2" t="str">
        <f t="shared" si="5"/>
        <v>IPL-2021</v>
      </c>
      <c r="E332" s="2">
        <f>YEAR('IPL Info'!$F332)</f>
        <v>2021</v>
      </c>
      <c r="F332" s="3">
        <v>44314</v>
      </c>
      <c r="G332" s="2" t="s">
        <v>55</v>
      </c>
      <c r="H332" s="2" t="s">
        <v>31</v>
      </c>
      <c r="I332" s="2" t="s">
        <v>19</v>
      </c>
      <c r="J332" s="2" t="s">
        <v>20</v>
      </c>
      <c r="K332" s="2" t="s">
        <v>51</v>
      </c>
      <c r="L332" s="2" t="s">
        <v>325</v>
      </c>
      <c r="M332" s="2" t="s">
        <v>58</v>
      </c>
      <c r="N332" s="2" t="s">
        <v>59</v>
      </c>
      <c r="O332" s="2" t="s">
        <v>859</v>
      </c>
      <c r="P332" s="2" t="s">
        <v>860</v>
      </c>
    </row>
    <row r="333" spans="1:16" ht="15.6" x14ac:dyDescent="0.3">
      <c r="A333" s="4">
        <v>1254079</v>
      </c>
      <c r="B333" s="4" t="s">
        <v>445</v>
      </c>
      <c r="C333" s="4" t="s">
        <v>62</v>
      </c>
      <c r="D333" s="4" t="str">
        <f t="shared" si="5"/>
        <v>IPL-2021</v>
      </c>
      <c r="E333" s="4">
        <f>YEAR('IPL Info'!$F333)</f>
        <v>2021</v>
      </c>
      <c r="F333" s="5">
        <v>44313</v>
      </c>
      <c r="G333" s="4" t="s">
        <v>62</v>
      </c>
      <c r="H333" s="4" t="s">
        <v>18</v>
      </c>
      <c r="I333" s="4" t="s">
        <v>19</v>
      </c>
      <c r="J333" s="4" t="s">
        <v>20</v>
      </c>
      <c r="K333" s="4" t="s">
        <v>445</v>
      </c>
      <c r="L333" s="4" t="s">
        <v>861</v>
      </c>
      <c r="M333" s="4" t="s">
        <v>22</v>
      </c>
      <c r="N333" s="4" t="s">
        <v>23</v>
      </c>
      <c r="O333" s="4" t="s">
        <v>862</v>
      </c>
      <c r="P333" s="4" t="s">
        <v>863</v>
      </c>
    </row>
    <row r="334" spans="1:16" ht="15.6" x14ac:dyDescent="0.3">
      <c r="A334" s="2">
        <v>1254078</v>
      </c>
      <c r="B334" s="2" t="s">
        <v>17</v>
      </c>
      <c r="C334" s="2" t="s">
        <v>56</v>
      </c>
      <c r="D334" s="2" t="str">
        <f t="shared" si="5"/>
        <v>IPL-2021</v>
      </c>
      <c r="E334" s="2">
        <f>YEAR('IPL Info'!$F334)</f>
        <v>2021</v>
      </c>
      <c r="F334" s="3">
        <v>44312</v>
      </c>
      <c r="G334" s="2" t="s">
        <v>56</v>
      </c>
      <c r="H334" s="2" t="s">
        <v>18</v>
      </c>
      <c r="I334" s="2" t="s">
        <v>19</v>
      </c>
      <c r="J334" s="2" t="s">
        <v>20</v>
      </c>
      <c r="K334" s="2" t="s">
        <v>56</v>
      </c>
      <c r="L334" s="2" t="s">
        <v>864</v>
      </c>
      <c r="M334" s="2" t="s">
        <v>22</v>
      </c>
      <c r="N334" s="2" t="s">
        <v>23</v>
      </c>
      <c r="O334" s="2" t="s">
        <v>865</v>
      </c>
      <c r="P334" s="2" t="s">
        <v>866</v>
      </c>
    </row>
    <row r="335" spans="1:16" ht="15.6" x14ac:dyDescent="0.3">
      <c r="A335" s="4">
        <v>1254077</v>
      </c>
      <c r="B335" s="4" t="s">
        <v>62</v>
      </c>
      <c r="C335" s="4" t="s">
        <v>55</v>
      </c>
      <c r="D335" s="4" t="str">
        <f t="shared" si="5"/>
        <v>IPL-2021</v>
      </c>
      <c r="E335" s="4">
        <f>YEAR('IPL Info'!$F335)</f>
        <v>2021</v>
      </c>
      <c r="F335" s="5">
        <v>44311</v>
      </c>
      <c r="G335" s="4" t="s">
        <v>62</v>
      </c>
      <c r="H335" s="4" t="s">
        <v>31</v>
      </c>
      <c r="I335" s="4" t="s">
        <v>173</v>
      </c>
      <c r="J335" s="4" t="s">
        <v>62</v>
      </c>
      <c r="K335" s="4" t="s">
        <v>20</v>
      </c>
      <c r="L335" s="4" t="s">
        <v>854</v>
      </c>
      <c r="M335" s="4" t="s">
        <v>125</v>
      </c>
      <c r="N335" s="4" t="s">
        <v>126</v>
      </c>
      <c r="O335" s="4" t="s">
        <v>867</v>
      </c>
      <c r="P335" s="4" t="s">
        <v>868</v>
      </c>
    </row>
    <row r="336" spans="1:16" ht="15.6" x14ac:dyDescent="0.3">
      <c r="A336" s="2">
        <v>1254076</v>
      </c>
      <c r="B336" s="2" t="s">
        <v>51</v>
      </c>
      <c r="C336" s="2" t="s">
        <v>445</v>
      </c>
      <c r="D336" s="2" t="str">
        <f t="shared" si="5"/>
        <v>IPL-2021</v>
      </c>
      <c r="E336" s="2">
        <f>YEAR('IPL Info'!$F336)</f>
        <v>2021</v>
      </c>
      <c r="F336" s="3">
        <v>44311</v>
      </c>
      <c r="G336" s="2" t="s">
        <v>51</v>
      </c>
      <c r="H336" s="2" t="s">
        <v>31</v>
      </c>
      <c r="I336" s="2" t="s">
        <v>19</v>
      </c>
      <c r="J336" s="2" t="s">
        <v>20</v>
      </c>
      <c r="K336" s="2" t="s">
        <v>51</v>
      </c>
      <c r="L336" s="2" t="s">
        <v>305</v>
      </c>
      <c r="M336" s="2" t="s">
        <v>73</v>
      </c>
      <c r="N336" s="2" t="s">
        <v>74</v>
      </c>
      <c r="O336" s="2" t="s">
        <v>869</v>
      </c>
      <c r="P336" s="2" t="s">
        <v>870</v>
      </c>
    </row>
    <row r="337" spans="1:16" ht="15.6" x14ac:dyDescent="0.3">
      <c r="A337" s="4">
        <v>1254075</v>
      </c>
      <c r="B337" s="4" t="s">
        <v>56</v>
      </c>
      <c r="C337" s="4" t="s">
        <v>77</v>
      </c>
      <c r="D337" s="4" t="str">
        <f t="shared" si="5"/>
        <v>IPL-2021</v>
      </c>
      <c r="E337" s="4">
        <f>YEAR('IPL Info'!$F337)</f>
        <v>2021</v>
      </c>
      <c r="F337" s="5">
        <v>44310</v>
      </c>
      <c r="G337" s="4" t="s">
        <v>77</v>
      </c>
      <c r="H337" s="4" t="s">
        <v>18</v>
      </c>
      <c r="I337" s="4" t="s">
        <v>19</v>
      </c>
      <c r="J337" s="4" t="s">
        <v>20</v>
      </c>
      <c r="K337" s="4" t="s">
        <v>77</v>
      </c>
      <c r="L337" s="4" t="s">
        <v>871</v>
      </c>
      <c r="M337" s="4" t="s">
        <v>73</v>
      </c>
      <c r="N337" s="4" t="s">
        <v>74</v>
      </c>
      <c r="O337" s="4" t="s">
        <v>872</v>
      </c>
      <c r="P337" s="4" t="s">
        <v>873</v>
      </c>
    </row>
    <row r="338" spans="1:16" ht="15.6" x14ac:dyDescent="0.3">
      <c r="A338" s="2">
        <v>1254074</v>
      </c>
      <c r="B338" s="2" t="s">
        <v>26</v>
      </c>
      <c r="C338" s="2" t="s">
        <v>17</v>
      </c>
      <c r="D338" s="2" t="str">
        <f t="shared" si="5"/>
        <v>IPL-2021</v>
      </c>
      <c r="E338" s="2">
        <f>YEAR('IPL Info'!$F338)</f>
        <v>2021</v>
      </c>
      <c r="F338" s="3">
        <v>44309</v>
      </c>
      <c r="G338" s="2" t="s">
        <v>17</v>
      </c>
      <c r="H338" s="2" t="s">
        <v>18</v>
      </c>
      <c r="I338" s="2" t="s">
        <v>19</v>
      </c>
      <c r="J338" s="2" t="s">
        <v>20</v>
      </c>
      <c r="K338" s="2" t="s">
        <v>17</v>
      </c>
      <c r="L338" s="2" t="s">
        <v>196</v>
      </c>
      <c r="M338" s="2" t="s">
        <v>125</v>
      </c>
      <c r="N338" s="2" t="s">
        <v>126</v>
      </c>
      <c r="O338" s="2" t="s">
        <v>874</v>
      </c>
      <c r="P338" s="2" t="s">
        <v>875</v>
      </c>
    </row>
    <row r="339" spans="1:16" ht="15.6" x14ac:dyDescent="0.3">
      <c r="A339" s="4">
        <v>1254073</v>
      </c>
      <c r="B339" s="4" t="s">
        <v>77</v>
      </c>
      <c r="C339" s="4" t="s">
        <v>445</v>
      </c>
      <c r="D339" s="4" t="str">
        <f t="shared" si="5"/>
        <v>IPL-2021</v>
      </c>
      <c r="E339" s="4">
        <f>YEAR('IPL Info'!$F339)</f>
        <v>2021</v>
      </c>
      <c r="F339" s="5">
        <v>44308</v>
      </c>
      <c r="G339" s="4" t="s">
        <v>445</v>
      </c>
      <c r="H339" s="4" t="s">
        <v>18</v>
      </c>
      <c r="I339" s="4" t="s">
        <v>19</v>
      </c>
      <c r="J339" s="4" t="s">
        <v>20</v>
      </c>
      <c r="K339" s="4" t="s">
        <v>445</v>
      </c>
      <c r="L339" s="4" t="s">
        <v>452</v>
      </c>
      <c r="M339" s="4" t="s">
        <v>73</v>
      </c>
      <c r="N339" s="4" t="s">
        <v>74</v>
      </c>
      <c r="O339" s="4" t="s">
        <v>876</v>
      </c>
      <c r="P339" s="4" t="s">
        <v>877</v>
      </c>
    </row>
    <row r="340" spans="1:16" ht="15.6" x14ac:dyDescent="0.3">
      <c r="A340" s="2">
        <v>1254072</v>
      </c>
      <c r="B340" s="2" t="s">
        <v>51</v>
      </c>
      <c r="C340" s="2" t="s">
        <v>56</v>
      </c>
      <c r="D340" s="2" t="str">
        <f t="shared" si="5"/>
        <v>IPL-2021</v>
      </c>
      <c r="E340" s="2">
        <f>YEAR('IPL Info'!$F340)</f>
        <v>2021</v>
      </c>
      <c r="F340" s="3">
        <v>44307</v>
      </c>
      <c r="G340" s="2" t="s">
        <v>56</v>
      </c>
      <c r="H340" s="2" t="s">
        <v>18</v>
      </c>
      <c r="I340" s="2" t="s">
        <v>19</v>
      </c>
      <c r="J340" s="2" t="s">
        <v>20</v>
      </c>
      <c r="K340" s="2" t="s">
        <v>51</v>
      </c>
      <c r="L340" s="2" t="s">
        <v>271</v>
      </c>
      <c r="M340" s="2" t="s">
        <v>73</v>
      </c>
      <c r="N340" s="2" t="s">
        <v>74</v>
      </c>
      <c r="O340" s="2" t="s">
        <v>878</v>
      </c>
      <c r="P340" s="2" t="s">
        <v>879</v>
      </c>
    </row>
    <row r="341" spans="1:16" ht="15.6" x14ac:dyDescent="0.3">
      <c r="A341" s="4">
        <v>1254071</v>
      </c>
      <c r="B341" s="4" t="s">
        <v>17</v>
      </c>
      <c r="C341" s="4" t="s">
        <v>55</v>
      </c>
      <c r="D341" s="4" t="str">
        <f t="shared" si="5"/>
        <v>IPL-2021</v>
      </c>
      <c r="E341" s="4">
        <f>YEAR('IPL Info'!$F341)</f>
        <v>2021</v>
      </c>
      <c r="F341" s="5">
        <v>44307</v>
      </c>
      <c r="G341" s="4" t="s">
        <v>17</v>
      </c>
      <c r="H341" s="4" t="s">
        <v>31</v>
      </c>
      <c r="I341" s="4" t="s">
        <v>19</v>
      </c>
      <c r="J341" s="4" t="s">
        <v>20</v>
      </c>
      <c r="K341" s="4" t="s">
        <v>55</v>
      </c>
      <c r="L341" s="4" t="s">
        <v>334</v>
      </c>
      <c r="M341" s="4" t="s">
        <v>125</v>
      </c>
      <c r="N341" s="4" t="s">
        <v>126</v>
      </c>
      <c r="O341" s="4" t="s">
        <v>880</v>
      </c>
      <c r="P341" s="4" t="s">
        <v>881</v>
      </c>
    </row>
    <row r="342" spans="1:16" ht="15.6" x14ac:dyDescent="0.3">
      <c r="A342" s="2">
        <v>1254070</v>
      </c>
      <c r="B342" s="2" t="s">
        <v>26</v>
      </c>
      <c r="C342" s="2" t="s">
        <v>62</v>
      </c>
      <c r="D342" s="2" t="str">
        <f t="shared" si="5"/>
        <v>IPL-2021</v>
      </c>
      <c r="E342" s="2">
        <f>YEAR('IPL Info'!$F342)</f>
        <v>2021</v>
      </c>
      <c r="F342" s="3">
        <v>44306</v>
      </c>
      <c r="G342" s="2" t="s">
        <v>26</v>
      </c>
      <c r="H342" s="2" t="s">
        <v>31</v>
      </c>
      <c r="I342" s="2" t="s">
        <v>19</v>
      </c>
      <c r="J342" s="2" t="s">
        <v>20</v>
      </c>
      <c r="K342" s="2" t="s">
        <v>62</v>
      </c>
      <c r="L342" s="2" t="s">
        <v>882</v>
      </c>
      <c r="M342" s="2" t="s">
        <v>125</v>
      </c>
      <c r="N342" s="2" t="s">
        <v>126</v>
      </c>
      <c r="O342" s="2" t="s">
        <v>883</v>
      </c>
      <c r="P342" s="2" t="s">
        <v>884</v>
      </c>
    </row>
    <row r="343" spans="1:16" ht="15.6" x14ac:dyDescent="0.3">
      <c r="A343" s="4">
        <v>1254069</v>
      </c>
      <c r="B343" s="4" t="s">
        <v>51</v>
      </c>
      <c r="C343" s="4" t="s">
        <v>77</v>
      </c>
      <c r="D343" s="4" t="str">
        <f t="shared" si="5"/>
        <v>IPL-2021</v>
      </c>
      <c r="E343" s="4">
        <f>YEAR('IPL Info'!$F343)</f>
        <v>2021</v>
      </c>
      <c r="F343" s="5">
        <v>44305</v>
      </c>
      <c r="G343" s="4" t="s">
        <v>77</v>
      </c>
      <c r="H343" s="4" t="s">
        <v>18</v>
      </c>
      <c r="I343" s="4" t="s">
        <v>19</v>
      </c>
      <c r="J343" s="4" t="s">
        <v>20</v>
      </c>
      <c r="K343" s="4" t="s">
        <v>51</v>
      </c>
      <c r="L343" s="4" t="s">
        <v>589</v>
      </c>
      <c r="M343" s="4" t="s">
        <v>73</v>
      </c>
      <c r="N343" s="4" t="s">
        <v>74</v>
      </c>
      <c r="O343" s="4" t="s">
        <v>885</v>
      </c>
      <c r="P343" s="4" t="s">
        <v>886</v>
      </c>
    </row>
    <row r="344" spans="1:16" ht="15.6" x14ac:dyDescent="0.3">
      <c r="A344" s="2">
        <v>1254068</v>
      </c>
      <c r="B344" s="2" t="s">
        <v>17</v>
      </c>
      <c r="C344" s="2" t="s">
        <v>62</v>
      </c>
      <c r="D344" s="2" t="str">
        <f t="shared" si="5"/>
        <v>IPL-2021</v>
      </c>
      <c r="E344" s="2">
        <f>YEAR('IPL Info'!$F344)</f>
        <v>2021</v>
      </c>
      <c r="F344" s="3">
        <v>44304</v>
      </c>
      <c r="G344" s="2" t="s">
        <v>62</v>
      </c>
      <c r="H344" s="2" t="s">
        <v>18</v>
      </c>
      <c r="I344" s="2" t="s">
        <v>19</v>
      </c>
      <c r="J344" s="2" t="s">
        <v>20</v>
      </c>
      <c r="K344" s="2" t="s">
        <v>62</v>
      </c>
      <c r="L344" s="2" t="s">
        <v>571</v>
      </c>
      <c r="M344" s="2" t="s">
        <v>73</v>
      </c>
      <c r="N344" s="2" t="s">
        <v>74</v>
      </c>
      <c r="O344" s="2" t="s">
        <v>887</v>
      </c>
      <c r="P344" s="2" t="s">
        <v>888</v>
      </c>
    </row>
    <row r="345" spans="1:16" ht="15.6" x14ac:dyDescent="0.3">
      <c r="A345" s="4">
        <v>1254067</v>
      </c>
      <c r="B345" s="4" t="s">
        <v>445</v>
      </c>
      <c r="C345" s="4" t="s">
        <v>56</v>
      </c>
      <c r="D345" s="4" t="str">
        <f t="shared" si="5"/>
        <v>IPL-2021</v>
      </c>
      <c r="E345" s="4">
        <f>YEAR('IPL Info'!$F345)</f>
        <v>2021</v>
      </c>
      <c r="F345" s="5">
        <v>44304</v>
      </c>
      <c r="G345" s="4" t="s">
        <v>445</v>
      </c>
      <c r="H345" s="4" t="s">
        <v>31</v>
      </c>
      <c r="I345" s="4" t="s">
        <v>19</v>
      </c>
      <c r="J345" s="4" t="s">
        <v>20</v>
      </c>
      <c r="K345" s="4" t="s">
        <v>445</v>
      </c>
      <c r="L345" s="4" t="s">
        <v>861</v>
      </c>
      <c r="M345" s="4" t="s">
        <v>125</v>
      </c>
      <c r="N345" s="4" t="s">
        <v>126</v>
      </c>
      <c r="O345" s="4" t="s">
        <v>889</v>
      </c>
      <c r="P345" s="4" t="s">
        <v>890</v>
      </c>
    </row>
    <row r="346" spans="1:16" ht="15.6" x14ac:dyDescent="0.3">
      <c r="A346" s="2">
        <v>1254066</v>
      </c>
      <c r="B346" s="2" t="s">
        <v>26</v>
      </c>
      <c r="C346" s="2" t="s">
        <v>55</v>
      </c>
      <c r="D346" s="2" t="str">
        <f t="shared" si="5"/>
        <v>IPL-2021</v>
      </c>
      <c r="E346" s="2">
        <f>YEAR('IPL Info'!$F346)</f>
        <v>2021</v>
      </c>
      <c r="F346" s="3">
        <v>44303</v>
      </c>
      <c r="G346" s="2" t="s">
        <v>26</v>
      </c>
      <c r="H346" s="2" t="s">
        <v>31</v>
      </c>
      <c r="I346" s="2" t="s">
        <v>19</v>
      </c>
      <c r="J346" s="2" t="s">
        <v>20</v>
      </c>
      <c r="K346" s="2" t="s">
        <v>26</v>
      </c>
      <c r="L346" s="2" t="s">
        <v>819</v>
      </c>
      <c r="M346" s="2" t="s">
        <v>125</v>
      </c>
      <c r="N346" s="2" t="s">
        <v>126</v>
      </c>
      <c r="O346" s="2" t="s">
        <v>891</v>
      </c>
      <c r="P346" s="2" t="s">
        <v>892</v>
      </c>
    </row>
    <row r="347" spans="1:16" ht="15.6" x14ac:dyDescent="0.3">
      <c r="A347" s="4">
        <v>1254065</v>
      </c>
      <c r="B347" s="4" t="s">
        <v>17</v>
      </c>
      <c r="C347" s="4" t="s">
        <v>51</v>
      </c>
      <c r="D347" s="4" t="str">
        <f t="shared" si="5"/>
        <v>IPL-2021</v>
      </c>
      <c r="E347" s="4">
        <f>YEAR('IPL Info'!$F347)</f>
        <v>2021</v>
      </c>
      <c r="F347" s="5">
        <v>44302</v>
      </c>
      <c r="G347" s="4" t="s">
        <v>51</v>
      </c>
      <c r="H347" s="4" t="s">
        <v>18</v>
      </c>
      <c r="I347" s="4" t="s">
        <v>19</v>
      </c>
      <c r="J347" s="4" t="s">
        <v>20</v>
      </c>
      <c r="K347" s="4" t="s">
        <v>51</v>
      </c>
      <c r="L347" s="4" t="s">
        <v>893</v>
      </c>
      <c r="M347" s="4" t="s">
        <v>73</v>
      </c>
      <c r="N347" s="4" t="s">
        <v>74</v>
      </c>
      <c r="O347" s="4" t="s">
        <v>894</v>
      </c>
      <c r="P347" s="4" t="s">
        <v>895</v>
      </c>
    </row>
    <row r="348" spans="1:16" ht="15.6" x14ac:dyDescent="0.3">
      <c r="A348" s="2">
        <v>1254064</v>
      </c>
      <c r="B348" s="2" t="s">
        <v>62</v>
      </c>
      <c r="C348" s="2" t="s">
        <v>77</v>
      </c>
      <c r="D348" s="2" t="str">
        <f t="shared" si="5"/>
        <v>IPL-2021</v>
      </c>
      <c r="E348" s="2">
        <f>YEAR('IPL Info'!$F348)</f>
        <v>2021</v>
      </c>
      <c r="F348" s="3">
        <v>44301</v>
      </c>
      <c r="G348" s="2" t="s">
        <v>77</v>
      </c>
      <c r="H348" s="2" t="s">
        <v>18</v>
      </c>
      <c r="I348" s="2" t="s">
        <v>19</v>
      </c>
      <c r="J348" s="2" t="s">
        <v>20</v>
      </c>
      <c r="K348" s="2" t="s">
        <v>77</v>
      </c>
      <c r="L348" s="2" t="s">
        <v>896</v>
      </c>
      <c r="M348" s="2" t="s">
        <v>73</v>
      </c>
      <c r="N348" s="2" t="s">
        <v>74</v>
      </c>
      <c r="O348" s="2" t="s">
        <v>897</v>
      </c>
      <c r="P348" s="2" t="s">
        <v>886</v>
      </c>
    </row>
    <row r="349" spans="1:16" ht="15.6" x14ac:dyDescent="0.3">
      <c r="A349" s="4">
        <v>1254063</v>
      </c>
      <c r="B349" s="4" t="s">
        <v>445</v>
      </c>
      <c r="C349" s="4" t="s">
        <v>55</v>
      </c>
      <c r="D349" s="4" t="str">
        <f t="shared" si="5"/>
        <v>IPL-2021</v>
      </c>
      <c r="E349" s="4">
        <f>YEAR('IPL Info'!$F349)</f>
        <v>2021</v>
      </c>
      <c r="F349" s="5">
        <v>44300</v>
      </c>
      <c r="G349" s="4" t="s">
        <v>55</v>
      </c>
      <c r="H349" s="4" t="s">
        <v>18</v>
      </c>
      <c r="I349" s="4" t="s">
        <v>19</v>
      </c>
      <c r="J349" s="4" t="s">
        <v>20</v>
      </c>
      <c r="K349" s="4" t="s">
        <v>445</v>
      </c>
      <c r="L349" s="4" t="s">
        <v>533</v>
      </c>
      <c r="M349" s="4" t="s">
        <v>125</v>
      </c>
      <c r="N349" s="4" t="s">
        <v>126</v>
      </c>
      <c r="O349" s="4" t="s">
        <v>898</v>
      </c>
      <c r="P349" s="4" t="s">
        <v>899</v>
      </c>
    </row>
    <row r="350" spans="1:16" ht="15.6" x14ac:dyDescent="0.3">
      <c r="A350" s="2">
        <v>1254062</v>
      </c>
      <c r="B350" s="2" t="s">
        <v>26</v>
      </c>
      <c r="C350" s="2" t="s">
        <v>56</v>
      </c>
      <c r="D350" s="2" t="str">
        <f t="shared" si="5"/>
        <v>IPL-2021</v>
      </c>
      <c r="E350" s="2">
        <f>YEAR('IPL Info'!$F350)</f>
        <v>2021</v>
      </c>
      <c r="F350" s="3">
        <v>44299</v>
      </c>
      <c r="G350" s="2" t="s">
        <v>56</v>
      </c>
      <c r="H350" s="2" t="s">
        <v>18</v>
      </c>
      <c r="I350" s="2" t="s">
        <v>19</v>
      </c>
      <c r="J350" s="2" t="s">
        <v>20</v>
      </c>
      <c r="K350" s="2" t="s">
        <v>26</v>
      </c>
      <c r="L350" s="2" t="s">
        <v>900</v>
      </c>
      <c r="M350" s="2" t="s">
        <v>125</v>
      </c>
      <c r="N350" s="2" t="s">
        <v>126</v>
      </c>
      <c r="O350" s="2" t="s">
        <v>901</v>
      </c>
      <c r="P350" s="2" t="s">
        <v>902</v>
      </c>
    </row>
    <row r="351" spans="1:16" ht="15.6" x14ac:dyDescent="0.3">
      <c r="A351" s="4">
        <v>1254061</v>
      </c>
      <c r="B351" s="4" t="s">
        <v>17</v>
      </c>
      <c r="C351" s="4" t="s">
        <v>77</v>
      </c>
      <c r="D351" s="4" t="str">
        <f t="shared" si="5"/>
        <v>IPL-2021</v>
      </c>
      <c r="E351" s="4">
        <f>YEAR('IPL Info'!$F351)</f>
        <v>2021</v>
      </c>
      <c r="F351" s="5">
        <v>44298</v>
      </c>
      <c r="G351" s="4" t="s">
        <v>77</v>
      </c>
      <c r="H351" s="4" t="s">
        <v>18</v>
      </c>
      <c r="I351" s="4" t="s">
        <v>19</v>
      </c>
      <c r="J351" s="4" t="s">
        <v>20</v>
      </c>
      <c r="K351" s="4" t="s">
        <v>17</v>
      </c>
      <c r="L351" s="4" t="s">
        <v>331</v>
      </c>
      <c r="M351" s="4" t="s">
        <v>73</v>
      </c>
      <c r="N351" s="4" t="s">
        <v>74</v>
      </c>
      <c r="O351" s="4" t="s">
        <v>894</v>
      </c>
      <c r="P351" s="4" t="s">
        <v>903</v>
      </c>
    </row>
    <row r="352" spans="1:16" ht="15.6" x14ac:dyDescent="0.3">
      <c r="A352" s="2">
        <v>1254060</v>
      </c>
      <c r="B352" s="2" t="s">
        <v>56</v>
      </c>
      <c r="C352" s="2" t="s">
        <v>55</v>
      </c>
      <c r="D352" s="2" t="str">
        <f t="shared" si="5"/>
        <v>IPL-2021</v>
      </c>
      <c r="E352" s="2">
        <f>YEAR('IPL Info'!$F352)</f>
        <v>2021</v>
      </c>
      <c r="F352" s="3">
        <v>44297</v>
      </c>
      <c r="G352" s="2" t="s">
        <v>55</v>
      </c>
      <c r="H352" s="2" t="s">
        <v>18</v>
      </c>
      <c r="I352" s="2" t="s">
        <v>19</v>
      </c>
      <c r="J352" s="2" t="s">
        <v>20</v>
      </c>
      <c r="K352" s="2" t="s">
        <v>56</v>
      </c>
      <c r="L352" s="2" t="s">
        <v>235</v>
      </c>
      <c r="M352" s="2" t="s">
        <v>125</v>
      </c>
      <c r="N352" s="2" t="s">
        <v>126</v>
      </c>
      <c r="O352" s="2" t="s">
        <v>904</v>
      </c>
      <c r="P352" s="2" t="s">
        <v>905</v>
      </c>
    </row>
    <row r="353" spans="1:16" ht="15.6" x14ac:dyDescent="0.3">
      <c r="A353" s="4">
        <v>1254059</v>
      </c>
      <c r="B353" s="4" t="s">
        <v>51</v>
      </c>
      <c r="C353" s="4" t="s">
        <v>62</v>
      </c>
      <c r="D353" s="4" t="str">
        <f t="shared" si="5"/>
        <v>IPL-2021</v>
      </c>
      <c r="E353" s="4">
        <f>YEAR('IPL Info'!$F353)</f>
        <v>2021</v>
      </c>
      <c r="F353" s="5">
        <v>44296</v>
      </c>
      <c r="G353" s="4" t="s">
        <v>62</v>
      </c>
      <c r="H353" s="4" t="s">
        <v>18</v>
      </c>
      <c r="I353" s="4" t="s">
        <v>19</v>
      </c>
      <c r="J353" s="4" t="s">
        <v>20</v>
      </c>
      <c r="K353" s="4" t="s">
        <v>62</v>
      </c>
      <c r="L353" s="4" t="s">
        <v>571</v>
      </c>
      <c r="M353" s="4" t="s">
        <v>73</v>
      </c>
      <c r="N353" s="4" t="s">
        <v>74</v>
      </c>
      <c r="O353" s="4" t="s">
        <v>885</v>
      </c>
      <c r="P353" s="4" t="s">
        <v>906</v>
      </c>
    </row>
    <row r="354" spans="1:16" ht="15.6" x14ac:dyDescent="0.3">
      <c r="A354" s="2">
        <v>1254058</v>
      </c>
      <c r="B354" s="2" t="s">
        <v>26</v>
      </c>
      <c r="C354" s="2" t="s">
        <v>445</v>
      </c>
      <c r="D354" s="2" t="str">
        <f t="shared" si="5"/>
        <v>IPL-2021</v>
      </c>
      <c r="E354" s="2">
        <f>YEAR('IPL Info'!$F354)</f>
        <v>2021</v>
      </c>
      <c r="F354" s="3">
        <v>44295</v>
      </c>
      <c r="G354" s="2" t="s">
        <v>445</v>
      </c>
      <c r="H354" s="2" t="s">
        <v>18</v>
      </c>
      <c r="I354" s="2" t="s">
        <v>19</v>
      </c>
      <c r="J354" s="2" t="s">
        <v>20</v>
      </c>
      <c r="K354" s="2" t="s">
        <v>445</v>
      </c>
      <c r="L354" s="2" t="s">
        <v>142</v>
      </c>
      <c r="M354" s="2" t="s">
        <v>125</v>
      </c>
      <c r="N354" s="2" t="s">
        <v>126</v>
      </c>
      <c r="O354" s="2" t="s">
        <v>907</v>
      </c>
      <c r="P354" s="2" t="s">
        <v>908</v>
      </c>
    </row>
    <row r="355" spans="1:16" ht="15.6" x14ac:dyDescent="0.3">
      <c r="A355" s="4">
        <v>1237181</v>
      </c>
      <c r="B355" s="4" t="s">
        <v>62</v>
      </c>
      <c r="C355" s="4" t="s">
        <v>26</v>
      </c>
      <c r="D355" s="4" t="str">
        <f t="shared" si="5"/>
        <v>IPL-2020</v>
      </c>
      <c r="E355" s="4">
        <f>YEAR('IPL Info'!$F355)</f>
        <v>2020</v>
      </c>
      <c r="F355" s="5">
        <v>44145</v>
      </c>
      <c r="G355" s="4" t="s">
        <v>62</v>
      </c>
      <c r="H355" s="4" t="s">
        <v>31</v>
      </c>
      <c r="I355" s="4" t="s">
        <v>19</v>
      </c>
      <c r="J355" s="4" t="s">
        <v>20</v>
      </c>
      <c r="K355" s="4" t="s">
        <v>26</v>
      </c>
      <c r="L355" s="4" t="s">
        <v>148</v>
      </c>
      <c r="M355" s="4" t="s">
        <v>772</v>
      </c>
      <c r="N355" s="4" t="s">
        <v>20</v>
      </c>
      <c r="O355" s="4" t="s">
        <v>909</v>
      </c>
      <c r="P355" s="4" t="s">
        <v>910</v>
      </c>
    </row>
    <row r="356" spans="1:16" ht="15.6" x14ac:dyDescent="0.3">
      <c r="A356" s="2">
        <v>1237180</v>
      </c>
      <c r="B356" s="2" t="s">
        <v>62</v>
      </c>
      <c r="C356" s="2" t="s">
        <v>55</v>
      </c>
      <c r="D356" s="2" t="str">
        <f t="shared" si="5"/>
        <v>IPL-2020</v>
      </c>
      <c r="E356" s="2">
        <f>YEAR('IPL Info'!$F356)</f>
        <v>2020</v>
      </c>
      <c r="F356" s="3">
        <v>44143</v>
      </c>
      <c r="G356" s="2" t="s">
        <v>62</v>
      </c>
      <c r="H356" s="2" t="s">
        <v>31</v>
      </c>
      <c r="I356" s="2" t="s">
        <v>19</v>
      </c>
      <c r="J356" s="2" t="s">
        <v>20</v>
      </c>
      <c r="K356" s="2" t="s">
        <v>62</v>
      </c>
      <c r="L356" s="2" t="s">
        <v>318</v>
      </c>
      <c r="M356" s="2" t="s">
        <v>911</v>
      </c>
      <c r="N356" s="2" t="s">
        <v>788</v>
      </c>
      <c r="O356" s="2" t="s">
        <v>912</v>
      </c>
      <c r="P356" s="2" t="s">
        <v>913</v>
      </c>
    </row>
    <row r="357" spans="1:16" ht="15.6" x14ac:dyDescent="0.3">
      <c r="A357" s="4">
        <v>1237178</v>
      </c>
      <c r="B357" s="4" t="s">
        <v>445</v>
      </c>
      <c r="C357" s="4" t="s">
        <v>55</v>
      </c>
      <c r="D357" s="4" t="str">
        <f t="shared" si="5"/>
        <v>IPL-2020</v>
      </c>
      <c r="E357" s="4">
        <f>YEAR('IPL Info'!$F357)</f>
        <v>2020</v>
      </c>
      <c r="F357" s="5">
        <v>44141</v>
      </c>
      <c r="G357" s="4" t="s">
        <v>55</v>
      </c>
      <c r="H357" s="4" t="s">
        <v>18</v>
      </c>
      <c r="I357" s="4" t="s">
        <v>19</v>
      </c>
      <c r="J357" s="4" t="s">
        <v>20</v>
      </c>
      <c r="K357" s="4" t="s">
        <v>55</v>
      </c>
      <c r="L357" s="4" t="s">
        <v>723</v>
      </c>
      <c r="M357" s="4" t="s">
        <v>911</v>
      </c>
      <c r="N357" s="4" t="s">
        <v>788</v>
      </c>
      <c r="O357" s="4" t="s">
        <v>914</v>
      </c>
      <c r="P357" s="4" t="s">
        <v>915</v>
      </c>
    </row>
    <row r="358" spans="1:16" ht="15.6" x14ac:dyDescent="0.3">
      <c r="A358" s="2">
        <v>1237177</v>
      </c>
      <c r="B358" s="2" t="s">
        <v>26</v>
      </c>
      <c r="C358" s="2" t="s">
        <v>62</v>
      </c>
      <c r="D358" s="2" t="str">
        <f t="shared" si="5"/>
        <v>IPL-2020</v>
      </c>
      <c r="E358" s="2">
        <f>YEAR('IPL Info'!$F358)</f>
        <v>2020</v>
      </c>
      <c r="F358" s="3">
        <v>44140</v>
      </c>
      <c r="G358" s="2" t="s">
        <v>62</v>
      </c>
      <c r="H358" s="2" t="s">
        <v>18</v>
      </c>
      <c r="I358" s="2" t="s">
        <v>19</v>
      </c>
      <c r="J358" s="2" t="s">
        <v>20</v>
      </c>
      <c r="K358" s="2" t="s">
        <v>26</v>
      </c>
      <c r="L358" s="2" t="s">
        <v>356</v>
      </c>
      <c r="M358" s="2" t="s">
        <v>772</v>
      </c>
      <c r="N358" s="2" t="s">
        <v>20</v>
      </c>
      <c r="O358" s="2" t="s">
        <v>916</v>
      </c>
      <c r="P358" s="2" t="s">
        <v>917</v>
      </c>
    </row>
    <row r="359" spans="1:16" ht="15.6" x14ac:dyDescent="0.3">
      <c r="A359" s="4">
        <v>1216495</v>
      </c>
      <c r="B359" s="4" t="s">
        <v>26</v>
      </c>
      <c r="C359" s="4" t="s">
        <v>55</v>
      </c>
      <c r="D359" s="4" t="str">
        <f t="shared" si="5"/>
        <v>IPL-2020</v>
      </c>
      <c r="E359" s="4">
        <f>YEAR('IPL Info'!$F359)</f>
        <v>2020</v>
      </c>
      <c r="F359" s="5">
        <v>44138</v>
      </c>
      <c r="G359" s="4" t="s">
        <v>55</v>
      </c>
      <c r="H359" s="4" t="s">
        <v>18</v>
      </c>
      <c r="I359" s="4" t="s">
        <v>19</v>
      </c>
      <c r="J359" s="4" t="s">
        <v>20</v>
      </c>
      <c r="K359" s="4" t="s">
        <v>55</v>
      </c>
      <c r="L359" s="4" t="s">
        <v>918</v>
      </c>
      <c r="M359" s="4" t="s">
        <v>776</v>
      </c>
      <c r="N359" s="4" t="s">
        <v>20</v>
      </c>
      <c r="O359" s="4" t="s">
        <v>919</v>
      </c>
      <c r="P359" s="4" t="s">
        <v>920</v>
      </c>
    </row>
    <row r="360" spans="1:16" ht="15.6" x14ac:dyDescent="0.3">
      <c r="A360" s="2">
        <v>1216505</v>
      </c>
      <c r="B360" s="2" t="s">
        <v>445</v>
      </c>
      <c r="C360" s="2" t="s">
        <v>62</v>
      </c>
      <c r="D360" s="2" t="str">
        <f t="shared" si="5"/>
        <v>IPL-2020</v>
      </c>
      <c r="E360" s="2">
        <f>YEAR('IPL Info'!$F360)</f>
        <v>2020</v>
      </c>
      <c r="F360" s="3">
        <v>44137</v>
      </c>
      <c r="G360" s="2" t="s">
        <v>62</v>
      </c>
      <c r="H360" s="2" t="s">
        <v>18</v>
      </c>
      <c r="I360" s="2" t="s">
        <v>19</v>
      </c>
      <c r="J360" s="2" t="s">
        <v>20</v>
      </c>
      <c r="K360" s="2" t="s">
        <v>62</v>
      </c>
      <c r="L360" s="2" t="s">
        <v>838</v>
      </c>
      <c r="M360" s="2" t="s">
        <v>911</v>
      </c>
      <c r="N360" s="2" t="s">
        <v>788</v>
      </c>
      <c r="O360" s="2" t="s">
        <v>921</v>
      </c>
      <c r="P360" s="2" t="s">
        <v>922</v>
      </c>
    </row>
    <row r="361" spans="1:16" ht="15.6" x14ac:dyDescent="0.3">
      <c r="A361" s="4">
        <v>1216530</v>
      </c>
      <c r="B361" s="4" t="s">
        <v>56</v>
      </c>
      <c r="C361" s="4" t="s">
        <v>77</v>
      </c>
      <c r="D361" s="4" t="str">
        <f t="shared" si="5"/>
        <v>IPL-2020</v>
      </c>
      <c r="E361" s="4">
        <f>YEAR('IPL Info'!$F361)</f>
        <v>2020</v>
      </c>
      <c r="F361" s="5">
        <v>44136</v>
      </c>
      <c r="G361" s="4" t="s">
        <v>77</v>
      </c>
      <c r="H361" s="4" t="s">
        <v>18</v>
      </c>
      <c r="I361" s="4" t="s">
        <v>19</v>
      </c>
      <c r="J361" s="4" t="s">
        <v>20</v>
      </c>
      <c r="K361" s="4" t="s">
        <v>56</v>
      </c>
      <c r="L361" s="4" t="s">
        <v>739</v>
      </c>
      <c r="M361" s="4" t="s">
        <v>772</v>
      </c>
      <c r="N361" s="4" t="s">
        <v>20</v>
      </c>
      <c r="O361" s="4" t="s">
        <v>923</v>
      </c>
      <c r="P361" s="4" t="s">
        <v>924</v>
      </c>
    </row>
    <row r="362" spans="1:16" ht="15.6" x14ac:dyDescent="0.3">
      <c r="A362" s="2">
        <v>1216506</v>
      </c>
      <c r="B362" s="2" t="s">
        <v>925</v>
      </c>
      <c r="C362" s="2" t="s">
        <v>51</v>
      </c>
      <c r="D362" s="2" t="str">
        <f t="shared" si="5"/>
        <v>IPL-2020</v>
      </c>
      <c r="E362" s="2">
        <f>YEAR('IPL Info'!$F362)</f>
        <v>2020</v>
      </c>
      <c r="F362" s="3">
        <v>44136</v>
      </c>
      <c r="G362" s="2" t="s">
        <v>51</v>
      </c>
      <c r="H362" s="2" t="s">
        <v>18</v>
      </c>
      <c r="I362" s="2" t="s">
        <v>19</v>
      </c>
      <c r="J362" s="2" t="s">
        <v>20</v>
      </c>
      <c r="K362" s="2" t="s">
        <v>51</v>
      </c>
      <c r="L362" s="2" t="s">
        <v>325</v>
      </c>
      <c r="M362" s="2" t="s">
        <v>911</v>
      </c>
      <c r="N362" s="2" t="s">
        <v>788</v>
      </c>
      <c r="O362" s="2" t="s">
        <v>926</v>
      </c>
      <c r="P362" s="2" t="s">
        <v>927</v>
      </c>
    </row>
    <row r="363" spans="1:16" ht="15.6" x14ac:dyDescent="0.3">
      <c r="A363" s="4">
        <v>1216535</v>
      </c>
      <c r="B363" s="4" t="s">
        <v>62</v>
      </c>
      <c r="C363" s="4" t="s">
        <v>26</v>
      </c>
      <c r="D363" s="4" t="str">
        <f t="shared" si="5"/>
        <v>IPL-2020</v>
      </c>
      <c r="E363" s="4">
        <f>YEAR('IPL Info'!$F363)</f>
        <v>2020</v>
      </c>
      <c r="F363" s="5">
        <v>44135</v>
      </c>
      <c r="G363" s="4" t="s">
        <v>26</v>
      </c>
      <c r="H363" s="4" t="s">
        <v>18</v>
      </c>
      <c r="I363" s="4" t="s">
        <v>19</v>
      </c>
      <c r="J363" s="4" t="s">
        <v>20</v>
      </c>
      <c r="K363" s="4" t="s">
        <v>26</v>
      </c>
      <c r="L363" s="4" t="s">
        <v>66</v>
      </c>
      <c r="M363" s="4" t="s">
        <v>772</v>
      </c>
      <c r="N363" s="4" t="s">
        <v>20</v>
      </c>
      <c r="O363" s="4" t="s">
        <v>928</v>
      </c>
      <c r="P363" s="4" t="s">
        <v>929</v>
      </c>
    </row>
    <row r="364" spans="1:16" ht="15.6" x14ac:dyDescent="0.3">
      <c r="A364" s="2">
        <v>1216502</v>
      </c>
      <c r="B364" s="2" t="s">
        <v>445</v>
      </c>
      <c r="C364" s="2" t="s">
        <v>55</v>
      </c>
      <c r="D364" s="2" t="str">
        <f t="shared" si="5"/>
        <v>IPL-2020</v>
      </c>
      <c r="E364" s="2">
        <f>YEAR('IPL Info'!$F364)</f>
        <v>2020</v>
      </c>
      <c r="F364" s="3">
        <v>44135</v>
      </c>
      <c r="G364" s="2" t="s">
        <v>55</v>
      </c>
      <c r="H364" s="2" t="s">
        <v>18</v>
      </c>
      <c r="I364" s="2" t="s">
        <v>19</v>
      </c>
      <c r="J364" s="2" t="s">
        <v>20</v>
      </c>
      <c r="K364" s="2" t="s">
        <v>55</v>
      </c>
      <c r="L364" s="2" t="s">
        <v>344</v>
      </c>
      <c r="M364" s="2" t="s">
        <v>776</v>
      </c>
      <c r="N364" s="2" t="s">
        <v>20</v>
      </c>
      <c r="O364" s="2" t="s">
        <v>930</v>
      </c>
      <c r="P364" s="2" t="s">
        <v>931</v>
      </c>
    </row>
    <row r="365" spans="1:16" ht="15.6" x14ac:dyDescent="0.3">
      <c r="A365" s="4">
        <v>1216537</v>
      </c>
      <c r="B365" s="4" t="s">
        <v>925</v>
      </c>
      <c r="C365" s="4" t="s">
        <v>77</v>
      </c>
      <c r="D365" s="4" t="str">
        <f t="shared" si="5"/>
        <v>IPL-2020</v>
      </c>
      <c r="E365" s="4">
        <f>YEAR('IPL Info'!$F365)</f>
        <v>2020</v>
      </c>
      <c r="F365" s="5">
        <v>44134</v>
      </c>
      <c r="G365" s="4" t="s">
        <v>77</v>
      </c>
      <c r="H365" s="4" t="s">
        <v>18</v>
      </c>
      <c r="I365" s="4" t="s">
        <v>19</v>
      </c>
      <c r="J365" s="4" t="s">
        <v>20</v>
      </c>
      <c r="K365" s="4" t="s">
        <v>77</v>
      </c>
      <c r="L365" s="4" t="s">
        <v>932</v>
      </c>
      <c r="M365" s="4" t="s">
        <v>911</v>
      </c>
      <c r="N365" s="4" t="s">
        <v>788</v>
      </c>
      <c r="O365" s="4" t="s">
        <v>933</v>
      </c>
      <c r="P365" s="4" t="s">
        <v>934</v>
      </c>
    </row>
    <row r="366" spans="1:16" ht="15.6" x14ac:dyDescent="0.3">
      <c r="A366" s="2">
        <v>1216536</v>
      </c>
      <c r="B366" s="2" t="s">
        <v>56</v>
      </c>
      <c r="C366" s="2" t="s">
        <v>51</v>
      </c>
      <c r="D366" s="2" t="str">
        <f t="shared" si="5"/>
        <v>IPL-2020</v>
      </c>
      <c r="E366" s="2">
        <f>YEAR('IPL Info'!$F366)</f>
        <v>2020</v>
      </c>
      <c r="F366" s="3">
        <v>44133</v>
      </c>
      <c r="G366" s="2" t="s">
        <v>51</v>
      </c>
      <c r="H366" s="2" t="s">
        <v>18</v>
      </c>
      <c r="I366" s="2" t="s">
        <v>19</v>
      </c>
      <c r="J366" s="2" t="s">
        <v>20</v>
      </c>
      <c r="K366" s="2" t="s">
        <v>51</v>
      </c>
      <c r="L366" s="2" t="s">
        <v>325</v>
      </c>
      <c r="M366" s="2" t="s">
        <v>772</v>
      </c>
      <c r="N366" s="2" t="s">
        <v>20</v>
      </c>
      <c r="O366" s="2" t="s">
        <v>935</v>
      </c>
      <c r="P366" s="2" t="s">
        <v>936</v>
      </c>
    </row>
    <row r="367" spans="1:16" ht="15.6" x14ac:dyDescent="0.3">
      <c r="A367" s="4">
        <v>1216499</v>
      </c>
      <c r="B367" s="4" t="s">
        <v>445</v>
      </c>
      <c r="C367" s="4" t="s">
        <v>26</v>
      </c>
      <c r="D367" s="4" t="str">
        <f t="shared" si="5"/>
        <v>IPL-2020</v>
      </c>
      <c r="E367" s="4">
        <f>YEAR('IPL Info'!$F367)</f>
        <v>2020</v>
      </c>
      <c r="F367" s="5">
        <v>44132</v>
      </c>
      <c r="G367" s="4" t="s">
        <v>26</v>
      </c>
      <c r="H367" s="4" t="s">
        <v>18</v>
      </c>
      <c r="I367" s="4" t="s">
        <v>19</v>
      </c>
      <c r="J367" s="4" t="s">
        <v>20</v>
      </c>
      <c r="K367" s="4" t="s">
        <v>26</v>
      </c>
      <c r="L367" s="4" t="s">
        <v>72</v>
      </c>
      <c r="M367" s="4" t="s">
        <v>911</v>
      </c>
      <c r="N367" s="4" t="s">
        <v>788</v>
      </c>
      <c r="O367" s="4" t="s">
        <v>937</v>
      </c>
      <c r="P367" s="4" t="s">
        <v>938</v>
      </c>
    </row>
    <row r="368" spans="1:16" ht="15.6" x14ac:dyDescent="0.3">
      <c r="A368" s="2">
        <v>1216524</v>
      </c>
      <c r="B368" s="2" t="s">
        <v>55</v>
      </c>
      <c r="C368" s="2" t="s">
        <v>62</v>
      </c>
      <c r="D368" s="2" t="str">
        <f t="shared" si="5"/>
        <v>IPL-2020</v>
      </c>
      <c r="E368" s="2">
        <f>YEAR('IPL Info'!$F368)</f>
        <v>2020</v>
      </c>
      <c r="F368" s="3">
        <v>44131</v>
      </c>
      <c r="G368" s="2" t="s">
        <v>62</v>
      </c>
      <c r="H368" s="2" t="s">
        <v>18</v>
      </c>
      <c r="I368" s="2" t="s">
        <v>19</v>
      </c>
      <c r="J368" s="2" t="s">
        <v>20</v>
      </c>
      <c r="K368" s="2" t="s">
        <v>55</v>
      </c>
      <c r="L368" s="2" t="s">
        <v>632</v>
      </c>
      <c r="M368" s="2" t="s">
        <v>772</v>
      </c>
      <c r="N368" s="2" t="s">
        <v>20</v>
      </c>
      <c r="O368" s="2" t="s">
        <v>939</v>
      </c>
      <c r="P368" s="2" t="s">
        <v>940</v>
      </c>
    </row>
    <row r="369" spans="1:16" ht="15.6" x14ac:dyDescent="0.3">
      <c r="A369" s="4">
        <v>1216520</v>
      </c>
      <c r="B369" s="4" t="s">
        <v>56</v>
      </c>
      <c r="C369" s="4" t="s">
        <v>925</v>
      </c>
      <c r="D369" s="4" t="str">
        <f t="shared" si="5"/>
        <v>IPL-2020</v>
      </c>
      <c r="E369" s="4">
        <f>YEAR('IPL Info'!$F369)</f>
        <v>2020</v>
      </c>
      <c r="F369" s="5">
        <v>44130</v>
      </c>
      <c r="G369" s="4" t="s">
        <v>925</v>
      </c>
      <c r="H369" s="4" t="s">
        <v>18</v>
      </c>
      <c r="I369" s="4" t="s">
        <v>19</v>
      </c>
      <c r="J369" s="4" t="s">
        <v>20</v>
      </c>
      <c r="K369" s="4" t="s">
        <v>925</v>
      </c>
      <c r="L369" s="4" t="s">
        <v>941</v>
      </c>
      <c r="M369" s="4" t="s">
        <v>776</v>
      </c>
      <c r="N369" s="4" t="s">
        <v>20</v>
      </c>
      <c r="O369" s="4" t="s">
        <v>942</v>
      </c>
      <c r="P369" s="4" t="s">
        <v>933</v>
      </c>
    </row>
    <row r="370" spans="1:16" ht="15.6" x14ac:dyDescent="0.3">
      <c r="A370" s="2">
        <v>1216544</v>
      </c>
      <c r="B370" s="2" t="s">
        <v>445</v>
      </c>
      <c r="C370" s="2" t="s">
        <v>51</v>
      </c>
      <c r="D370" s="2" t="str">
        <f t="shared" si="5"/>
        <v>IPL-2020</v>
      </c>
      <c r="E370" s="2">
        <f>YEAR('IPL Info'!$F370)</f>
        <v>2020</v>
      </c>
      <c r="F370" s="3">
        <v>44129</v>
      </c>
      <c r="G370" s="2" t="s">
        <v>445</v>
      </c>
      <c r="H370" s="2" t="s">
        <v>31</v>
      </c>
      <c r="I370" s="2" t="s">
        <v>19</v>
      </c>
      <c r="J370" s="2" t="s">
        <v>20</v>
      </c>
      <c r="K370" s="2" t="s">
        <v>51</v>
      </c>
      <c r="L370" s="2" t="s">
        <v>325</v>
      </c>
      <c r="M370" s="2" t="s">
        <v>772</v>
      </c>
      <c r="N370" s="2" t="s">
        <v>20</v>
      </c>
      <c r="O370" s="2" t="s">
        <v>943</v>
      </c>
      <c r="P370" s="2" t="s">
        <v>944</v>
      </c>
    </row>
    <row r="371" spans="1:16" ht="15.6" x14ac:dyDescent="0.3">
      <c r="A371" s="4">
        <v>1216541</v>
      </c>
      <c r="B371" s="4" t="s">
        <v>26</v>
      </c>
      <c r="C371" s="4" t="s">
        <v>77</v>
      </c>
      <c r="D371" s="4" t="str">
        <f t="shared" si="5"/>
        <v>IPL-2020</v>
      </c>
      <c r="E371" s="4">
        <f>YEAR('IPL Info'!$F371)</f>
        <v>2020</v>
      </c>
      <c r="F371" s="5">
        <v>44129</v>
      </c>
      <c r="G371" s="4" t="s">
        <v>26</v>
      </c>
      <c r="H371" s="4" t="s">
        <v>31</v>
      </c>
      <c r="I371" s="4" t="s">
        <v>19</v>
      </c>
      <c r="J371" s="4" t="s">
        <v>20</v>
      </c>
      <c r="K371" s="4" t="s">
        <v>77</v>
      </c>
      <c r="L371" s="4" t="s">
        <v>932</v>
      </c>
      <c r="M371" s="4" t="s">
        <v>911</v>
      </c>
      <c r="N371" s="4" t="s">
        <v>788</v>
      </c>
      <c r="O371" s="4" t="s">
        <v>945</v>
      </c>
      <c r="P371" s="4" t="s">
        <v>946</v>
      </c>
    </row>
    <row r="372" spans="1:16" ht="15.6" x14ac:dyDescent="0.3">
      <c r="A372" s="2">
        <v>1216497</v>
      </c>
      <c r="B372" s="2" t="s">
        <v>56</v>
      </c>
      <c r="C372" s="2" t="s">
        <v>62</v>
      </c>
      <c r="D372" s="2" t="str">
        <f t="shared" si="5"/>
        <v>IPL-2020</v>
      </c>
      <c r="E372" s="2">
        <f>YEAR('IPL Info'!$F372)</f>
        <v>2020</v>
      </c>
      <c r="F372" s="3">
        <v>44128</v>
      </c>
      <c r="G372" s="2" t="s">
        <v>62</v>
      </c>
      <c r="H372" s="2" t="s">
        <v>18</v>
      </c>
      <c r="I372" s="2" t="s">
        <v>19</v>
      </c>
      <c r="J372" s="2" t="s">
        <v>20</v>
      </c>
      <c r="K372" s="2" t="s">
        <v>56</v>
      </c>
      <c r="L372" s="2" t="s">
        <v>288</v>
      </c>
      <c r="M372" s="2" t="s">
        <v>911</v>
      </c>
      <c r="N372" s="2" t="s">
        <v>788</v>
      </c>
      <c r="O372" s="2" t="s">
        <v>947</v>
      </c>
      <c r="P372" s="2" t="s">
        <v>948</v>
      </c>
    </row>
    <row r="373" spans="1:16" ht="15.6" x14ac:dyDescent="0.3">
      <c r="A373" s="4">
        <v>1216498</v>
      </c>
      <c r="B373" s="4" t="s">
        <v>925</v>
      </c>
      <c r="C373" s="4" t="s">
        <v>55</v>
      </c>
      <c r="D373" s="4" t="str">
        <f t="shared" si="5"/>
        <v>IPL-2020</v>
      </c>
      <c r="E373" s="4">
        <f>YEAR('IPL Info'!$F373)</f>
        <v>2020</v>
      </c>
      <c r="F373" s="5">
        <v>44128</v>
      </c>
      <c r="G373" s="4" t="s">
        <v>55</v>
      </c>
      <c r="H373" s="4" t="s">
        <v>18</v>
      </c>
      <c r="I373" s="4" t="s">
        <v>19</v>
      </c>
      <c r="J373" s="4" t="s">
        <v>20</v>
      </c>
      <c r="K373" s="4" t="s">
        <v>925</v>
      </c>
      <c r="L373" s="4" t="s">
        <v>949</v>
      </c>
      <c r="M373" s="4" t="s">
        <v>772</v>
      </c>
      <c r="N373" s="4" t="s">
        <v>20</v>
      </c>
      <c r="O373" s="4" t="s">
        <v>933</v>
      </c>
      <c r="P373" s="4" t="s">
        <v>950</v>
      </c>
    </row>
    <row r="374" spans="1:16" ht="15.6" x14ac:dyDescent="0.3">
      <c r="A374" s="2">
        <v>1216521</v>
      </c>
      <c r="B374" s="2" t="s">
        <v>51</v>
      </c>
      <c r="C374" s="2" t="s">
        <v>26</v>
      </c>
      <c r="D374" s="2" t="str">
        <f t="shared" si="5"/>
        <v>IPL-2020</v>
      </c>
      <c r="E374" s="2">
        <f>YEAR('IPL Info'!$F374)</f>
        <v>2020</v>
      </c>
      <c r="F374" s="3">
        <v>44127</v>
      </c>
      <c r="G374" s="2" t="s">
        <v>26</v>
      </c>
      <c r="H374" s="2" t="s">
        <v>18</v>
      </c>
      <c r="I374" s="2" t="s">
        <v>19</v>
      </c>
      <c r="J374" s="2" t="s">
        <v>20</v>
      </c>
      <c r="K374" s="2" t="s">
        <v>26</v>
      </c>
      <c r="L374" s="2" t="s">
        <v>148</v>
      </c>
      <c r="M374" s="2" t="s">
        <v>776</v>
      </c>
      <c r="N374" s="2" t="s">
        <v>20</v>
      </c>
      <c r="O374" s="2" t="s">
        <v>951</v>
      </c>
      <c r="P374" s="2" t="s">
        <v>952</v>
      </c>
    </row>
    <row r="375" spans="1:16" ht="15.6" x14ac:dyDescent="0.3">
      <c r="A375" s="4">
        <v>1216518</v>
      </c>
      <c r="B375" s="4" t="s">
        <v>77</v>
      </c>
      <c r="C375" s="4" t="s">
        <v>55</v>
      </c>
      <c r="D375" s="4" t="str">
        <f t="shared" si="5"/>
        <v>IPL-2020</v>
      </c>
      <c r="E375" s="4">
        <f>YEAR('IPL Info'!$F375)</f>
        <v>2020</v>
      </c>
      <c r="F375" s="5">
        <v>44126</v>
      </c>
      <c r="G375" s="4" t="s">
        <v>55</v>
      </c>
      <c r="H375" s="4" t="s">
        <v>18</v>
      </c>
      <c r="I375" s="4" t="s">
        <v>19</v>
      </c>
      <c r="J375" s="4" t="s">
        <v>20</v>
      </c>
      <c r="K375" s="4" t="s">
        <v>55</v>
      </c>
      <c r="L375" s="4" t="s">
        <v>953</v>
      </c>
      <c r="M375" s="4" t="s">
        <v>772</v>
      </c>
      <c r="N375" s="4" t="s">
        <v>20</v>
      </c>
      <c r="O375" s="4" t="s">
        <v>954</v>
      </c>
      <c r="P375" s="4" t="s">
        <v>955</v>
      </c>
    </row>
    <row r="376" spans="1:16" ht="15.6" x14ac:dyDescent="0.3">
      <c r="A376" s="2">
        <v>1216494</v>
      </c>
      <c r="B376" s="2" t="s">
        <v>56</v>
      </c>
      <c r="C376" s="2" t="s">
        <v>445</v>
      </c>
      <c r="D376" s="2" t="str">
        <f t="shared" si="5"/>
        <v>IPL-2020</v>
      </c>
      <c r="E376" s="2">
        <f>YEAR('IPL Info'!$F376)</f>
        <v>2020</v>
      </c>
      <c r="F376" s="3">
        <v>44125</v>
      </c>
      <c r="G376" s="2" t="s">
        <v>56</v>
      </c>
      <c r="H376" s="2" t="s">
        <v>31</v>
      </c>
      <c r="I376" s="2" t="s">
        <v>19</v>
      </c>
      <c r="J376" s="2" t="s">
        <v>20</v>
      </c>
      <c r="K376" s="2" t="s">
        <v>445</v>
      </c>
      <c r="L376" s="2" t="s">
        <v>210</v>
      </c>
      <c r="M376" s="2" t="s">
        <v>911</v>
      </c>
      <c r="N376" s="2" t="s">
        <v>788</v>
      </c>
      <c r="O376" s="2" t="s">
        <v>956</v>
      </c>
      <c r="P376" s="2" t="s">
        <v>957</v>
      </c>
    </row>
    <row r="377" spans="1:16" ht="15.6" x14ac:dyDescent="0.3">
      <c r="A377" s="4">
        <v>1216546</v>
      </c>
      <c r="B377" s="4" t="s">
        <v>62</v>
      </c>
      <c r="C377" s="4" t="s">
        <v>925</v>
      </c>
      <c r="D377" s="4" t="str">
        <f t="shared" si="5"/>
        <v>IPL-2020</v>
      </c>
      <c r="E377" s="4">
        <f>YEAR('IPL Info'!$F377)</f>
        <v>2020</v>
      </c>
      <c r="F377" s="5">
        <v>44124</v>
      </c>
      <c r="G377" s="4" t="s">
        <v>62</v>
      </c>
      <c r="H377" s="4" t="s">
        <v>31</v>
      </c>
      <c r="I377" s="4" t="s">
        <v>19</v>
      </c>
      <c r="J377" s="4" t="s">
        <v>20</v>
      </c>
      <c r="K377" s="4" t="s">
        <v>925</v>
      </c>
      <c r="L377" s="4" t="s">
        <v>571</v>
      </c>
      <c r="M377" s="4" t="s">
        <v>772</v>
      </c>
      <c r="N377" s="4" t="s">
        <v>20</v>
      </c>
      <c r="O377" s="4" t="s">
        <v>958</v>
      </c>
      <c r="P377" s="4" t="s">
        <v>959</v>
      </c>
    </row>
    <row r="378" spans="1:16" ht="15.6" x14ac:dyDescent="0.3">
      <c r="A378" s="2">
        <v>1216533</v>
      </c>
      <c r="B378" s="2" t="s">
        <v>51</v>
      </c>
      <c r="C378" s="2" t="s">
        <v>77</v>
      </c>
      <c r="D378" s="2" t="str">
        <f t="shared" si="5"/>
        <v>IPL-2020</v>
      </c>
      <c r="E378" s="2">
        <f>YEAR('IPL Info'!$F378)</f>
        <v>2020</v>
      </c>
      <c r="F378" s="3">
        <v>44123</v>
      </c>
      <c r="G378" s="2" t="s">
        <v>51</v>
      </c>
      <c r="H378" s="2" t="s">
        <v>31</v>
      </c>
      <c r="I378" s="2" t="s">
        <v>19</v>
      </c>
      <c r="J378" s="2" t="s">
        <v>20</v>
      </c>
      <c r="K378" s="2" t="s">
        <v>77</v>
      </c>
      <c r="L378" s="2" t="s">
        <v>165</v>
      </c>
      <c r="M378" s="2" t="s">
        <v>911</v>
      </c>
      <c r="N378" s="2" t="s">
        <v>788</v>
      </c>
      <c r="O378" s="2" t="s">
        <v>960</v>
      </c>
      <c r="P378" s="2" t="s">
        <v>961</v>
      </c>
    </row>
    <row r="379" spans="1:16" ht="15.6" x14ac:dyDescent="0.3">
      <c r="A379" s="4">
        <v>1216517</v>
      </c>
      <c r="B379" s="4" t="s">
        <v>26</v>
      </c>
      <c r="C379" s="4" t="s">
        <v>925</v>
      </c>
      <c r="D379" s="4" t="str">
        <f t="shared" si="5"/>
        <v>IPL-2020</v>
      </c>
      <c r="E379" s="4">
        <f>YEAR('IPL Info'!$F379)</f>
        <v>2020</v>
      </c>
      <c r="F379" s="5">
        <v>44122</v>
      </c>
      <c r="G379" s="4" t="s">
        <v>26</v>
      </c>
      <c r="H379" s="4" t="s">
        <v>31</v>
      </c>
      <c r="I379" s="4" t="s">
        <v>173</v>
      </c>
      <c r="J379" s="4" t="s">
        <v>925</v>
      </c>
      <c r="K379" s="4" t="s">
        <v>20</v>
      </c>
      <c r="L379" s="4" t="s">
        <v>196</v>
      </c>
      <c r="M379" s="4" t="s">
        <v>772</v>
      </c>
      <c r="N379" s="4" t="s">
        <v>20</v>
      </c>
      <c r="O379" s="4" t="s">
        <v>962</v>
      </c>
      <c r="P379" s="4" t="s">
        <v>963</v>
      </c>
    </row>
    <row r="380" spans="1:16" ht="15.6" x14ac:dyDescent="0.3">
      <c r="A380" s="2">
        <v>1216512</v>
      </c>
      <c r="B380" s="2" t="s">
        <v>56</v>
      </c>
      <c r="C380" s="2" t="s">
        <v>55</v>
      </c>
      <c r="D380" s="2" t="str">
        <f t="shared" si="5"/>
        <v>IPL-2020</v>
      </c>
      <c r="E380" s="2">
        <f>YEAR('IPL Info'!$F380)</f>
        <v>2020</v>
      </c>
      <c r="F380" s="3">
        <v>44122</v>
      </c>
      <c r="G380" s="2" t="s">
        <v>55</v>
      </c>
      <c r="H380" s="2" t="s">
        <v>18</v>
      </c>
      <c r="I380" s="2" t="s">
        <v>173</v>
      </c>
      <c r="J380" s="2" t="s">
        <v>56</v>
      </c>
      <c r="K380" s="2" t="s">
        <v>20</v>
      </c>
      <c r="L380" s="2" t="s">
        <v>749</v>
      </c>
      <c r="M380" s="2" t="s">
        <v>911</v>
      </c>
      <c r="N380" s="2" t="s">
        <v>788</v>
      </c>
      <c r="O380" s="2" t="s">
        <v>964</v>
      </c>
      <c r="P380" s="2" t="s">
        <v>965</v>
      </c>
    </row>
    <row r="381" spans="1:16" ht="15.6" x14ac:dyDescent="0.3">
      <c r="A381" s="4">
        <v>1216522</v>
      </c>
      <c r="B381" s="4" t="s">
        <v>77</v>
      </c>
      <c r="C381" s="4" t="s">
        <v>445</v>
      </c>
      <c r="D381" s="4" t="str">
        <f t="shared" si="5"/>
        <v>IPL-2020</v>
      </c>
      <c r="E381" s="4">
        <f>YEAR('IPL Info'!$F381)</f>
        <v>2020</v>
      </c>
      <c r="F381" s="5">
        <v>44121</v>
      </c>
      <c r="G381" s="4" t="s">
        <v>77</v>
      </c>
      <c r="H381" s="4" t="s">
        <v>31</v>
      </c>
      <c r="I381" s="4" t="s">
        <v>19</v>
      </c>
      <c r="J381" s="4" t="s">
        <v>20</v>
      </c>
      <c r="K381" s="4" t="s">
        <v>445</v>
      </c>
      <c r="L381" s="4" t="s">
        <v>861</v>
      </c>
      <c r="M381" s="4" t="s">
        <v>772</v>
      </c>
      <c r="N381" s="4" t="s">
        <v>20</v>
      </c>
      <c r="O381" s="4" t="s">
        <v>966</v>
      </c>
      <c r="P381" s="4" t="s">
        <v>967</v>
      </c>
    </row>
    <row r="382" spans="1:16" ht="15.6" x14ac:dyDescent="0.3">
      <c r="A382" s="2">
        <v>1216509</v>
      </c>
      <c r="B382" s="2" t="s">
        <v>51</v>
      </c>
      <c r="C382" s="2" t="s">
        <v>62</v>
      </c>
      <c r="D382" s="2" t="str">
        <f t="shared" si="5"/>
        <v>IPL-2020</v>
      </c>
      <c r="E382" s="2">
        <f>YEAR('IPL Info'!$F382)</f>
        <v>2020</v>
      </c>
      <c r="F382" s="3">
        <v>44121</v>
      </c>
      <c r="G382" s="2" t="s">
        <v>51</v>
      </c>
      <c r="H382" s="2" t="s">
        <v>31</v>
      </c>
      <c r="I382" s="2" t="s">
        <v>19</v>
      </c>
      <c r="J382" s="2" t="s">
        <v>20</v>
      </c>
      <c r="K382" s="2" t="s">
        <v>62</v>
      </c>
      <c r="L382" s="2" t="s">
        <v>571</v>
      </c>
      <c r="M382" s="2" t="s">
        <v>776</v>
      </c>
      <c r="N382" s="2" t="s">
        <v>20</v>
      </c>
      <c r="O382" s="2" t="s">
        <v>968</v>
      </c>
      <c r="P382" s="2" t="s">
        <v>969</v>
      </c>
    </row>
    <row r="383" spans="1:16" ht="15.6" x14ac:dyDescent="0.3">
      <c r="A383" s="4">
        <v>1216526</v>
      </c>
      <c r="B383" s="4" t="s">
        <v>56</v>
      </c>
      <c r="C383" s="4" t="s">
        <v>26</v>
      </c>
      <c r="D383" s="4" t="str">
        <f t="shared" si="5"/>
        <v>IPL-2020</v>
      </c>
      <c r="E383" s="4">
        <f>YEAR('IPL Info'!$F383)</f>
        <v>2020</v>
      </c>
      <c r="F383" s="5">
        <v>44120</v>
      </c>
      <c r="G383" s="4" t="s">
        <v>56</v>
      </c>
      <c r="H383" s="4" t="s">
        <v>31</v>
      </c>
      <c r="I383" s="4" t="s">
        <v>19</v>
      </c>
      <c r="J383" s="4" t="s">
        <v>20</v>
      </c>
      <c r="K383" s="4" t="s">
        <v>26</v>
      </c>
      <c r="L383" s="4" t="s">
        <v>246</v>
      </c>
      <c r="M383" s="4" t="s">
        <v>911</v>
      </c>
      <c r="N383" s="4" t="s">
        <v>788</v>
      </c>
      <c r="O383" s="4" t="s">
        <v>970</v>
      </c>
      <c r="P383" s="4" t="s">
        <v>971</v>
      </c>
    </row>
    <row r="384" spans="1:16" ht="15.6" x14ac:dyDescent="0.3">
      <c r="A384" s="2">
        <v>1216531</v>
      </c>
      <c r="B384" s="2" t="s">
        <v>445</v>
      </c>
      <c r="C384" s="2" t="s">
        <v>925</v>
      </c>
      <c r="D384" s="2" t="str">
        <f t="shared" si="5"/>
        <v>IPL-2020</v>
      </c>
      <c r="E384" s="2">
        <f>YEAR('IPL Info'!$F384)</f>
        <v>2020</v>
      </c>
      <c r="F384" s="3">
        <v>44119</v>
      </c>
      <c r="G384" s="2" t="s">
        <v>445</v>
      </c>
      <c r="H384" s="2" t="s">
        <v>31</v>
      </c>
      <c r="I384" s="2" t="s">
        <v>19</v>
      </c>
      <c r="J384" s="2" t="s">
        <v>20</v>
      </c>
      <c r="K384" s="2" t="s">
        <v>925</v>
      </c>
      <c r="L384" s="2" t="s">
        <v>196</v>
      </c>
      <c r="M384" s="2" t="s">
        <v>776</v>
      </c>
      <c r="N384" s="2" t="s">
        <v>20</v>
      </c>
      <c r="O384" s="2" t="s">
        <v>972</v>
      </c>
      <c r="P384" s="2" t="s">
        <v>963</v>
      </c>
    </row>
    <row r="385" spans="1:16" ht="15.6" x14ac:dyDescent="0.3">
      <c r="A385" s="4">
        <v>1216543</v>
      </c>
      <c r="B385" s="4" t="s">
        <v>62</v>
      </c>
      <c r="C385" s="4" t="s">
        <v>77</v>
      </c>
      <c r="D385" s="4" t="str">
        <f t="shared" si="5"/>
        <v>IPL-2020</v>
      </c>
      <c r="E385" s="4">
        <f>YEAR('IPL Info'!$F385)</f>
        <v>2020</v>
      </c>
      <c r="F385" s="5">
        <v>44118</v>
      </c>
      <c r="G385" s="4" t="s">
        <v>62</v>
      </c>
      <c r="H385" s="4" t="s">
        <v>31</v>
      </c>
      <c r="I385" s="4" t="s">
        <v>19</v>
      </c>
      <c r="J385" s="4" t="s">
        <v>20</v>
      </c>
      <c r="K385" s="4" t="s">
        <v>62</v>
      </c>
      <c r="L385" s="4" t="s">
        <v>838</v>
      </c>
      <c r="M385" s="4" t="s">
        <v>772</v>
      </c>
      <c r="N385" s="4" t="s">
        <v>20</v>
      </c>
      <c r="O385" s="4" t="s">
        <v>969</v>
      </c>
      <c r="P385" s="4" t="s">
        <v>973</v>
      </c>
    </row>
    <row r="386" spans="1:16" ht="15.6" x14ac:dyDescent="0.3">
      <c r="A386" s="2">
        <v>1216528</v>
      </c>
      <c r="B386" s="2" t="s">
        <v>51</v>
      </c>
      <c r="C386" s="2" t="s">
        <v>55</v>
      </c>
      <c r="D386" s="2" t="str">
        <f t="shared" si="5"/>
        <v>IPL-2020</v>
      </c>
      <c r="E386" s="2">
        <f>YEAR('IPL Info'!$F386)</f>
        <v>2020</v>
      </c>
      <c r="F386" s="3">
        <v>44117</v>
      </c>
      <c r="G386" s="2" t="s">
        <v>51</v>
      </c>
      <c r="H386" s="2" t="s">
        <v>31</v>
      </c>
      <c r="I386" s="2" t="s">
        <v>19</v>
      </c>
      <c r="J386" s="2" t="s">
        <v>20</v>
      </c>
      <c r="K386" s="2" t="s">
        <v>51</v>
      </c>
      <c r="L386" s="2" t="s">
        <v>305</v>
      </c>
      <c r="M386" s="2" t="s">
        <v>772</v>
      </c>
      <c r="N386" s="2" t="s">
        <v>20</v>
      </c>
      <c r="O386" s="2" t="s">
        <v>974</v>
      </c>
      <c r="P386" s="2" t="s">
        <v>975</v>
      </c>
    </row>
    <row r="387" spans="1:16" ht="15.6" x14ac:dyDescent="0.3">
      <c r="A387" s="4">
        <v>1216540</v>
      </c>
      <c r="B387" s="4" t="s">
        <v>445</v>
      </c>
      <c r="C387" s="4" t="s">
        <v>56</v>
      </c>
      <c r="D387" s="4" t="str">
        <f t="shared" ref="D387:D450" si="6">_xlfn.SINGLE(_xlfn.CONCAT("IPL-",E387))</f>
        <v>IPL-2020</v>
      </c>
      <c r="E387" s="4">
        <f>YEAR('IPL Info'!$F387)</f>
        <v>2020</v>
      </c>
      <c r="F387" s="5">
        <v>44116</v>
      </c>
      <c r="G387" s="4" t="s">
        <v>445</v>
      </c>
      <c r="H387" s="4" t="s">
        <v>31</v>
      </c>
      <c r="I387" s="4" t="s">
        <v>19</v>
      </c>
      <c r="J387" s="4" t="s">
        <v>20</v>
      </c>
      <c r="K387" s="4" t="s">
        <v>445</v>
      </c>
      <c r="L387" s="4" t="s">
        <v>861</v>
      </c>
      <c r="M387" s="4" t="s">
        <v>776</v>
      </c>
      <c r="N387" s="4" t="s">
        <v>20</v>
      </c>
      <c r="O387" s="4" t="s">
        <v>976</v>
      </c>
      <c r="P387" s="4" t="s">
        <v>977</v>
      </c>
    </row>
    <row r="388" spans="1:16" ht="15.6" x14ac:dyDescent="0.3">
      <c r="A388" s="2">
        <v>1216529</v>
      </c>
      <c r="B388" s="2" t="s">
        <v>62</v>
      </c>
      <c r="C388" s="2" t="s">
        <v>26</v>
      </c>
      <c r="D388" s="2" t="str">
        <f t="shared" si="6"/>
        <v>IPL-2020</v>
      </c>
      <c r="E388" s="2">
        <f>YEAR('IPL Info'!$F388)</f>
        <v>2020</v>
      </c>
      <c r="F388" s="3">
        <v>44115</v>
      </c>
      <c r="G388" s="2" t="s">
        <v>62</v>
      </c>
      <c r="H388" s="2" t="s">
        <v>31</v>
      </c>
      <c r="I388" s="2" t="s">
        <v>19</v>
      </c>
      <c r="J388" s="2" t="s">
        <v>20</v>
      </c>
      <c r="K388" s="2" t="s">
        <v>26</v>
      </c>
      <c r="L388" s="2" t="s">
        <v>246</v>
      </c>
      <c r="M388" s="2" t="s">
        <v>911</v>
      </c>
      <c r="N388" s="2" t="s">
        <v>788</v>
      </c>
      <c r="O388" s="2" t="s">
        <v>978</v>
      </c>
      <c r="P388" s="2" t="s">
        <v>979</v>
      </c>
    </row>
    <row r="389" spans="1:16" ht="15.6" x14ac:dyDescent="0.3">
      <c r="A389" s="4">
        <v>1216507</v>
      </c>
      <c r="B389" s="4" t="s">
        <v>55</v>
      </c>
      <c r="C389" s="4" t="s">
        <v>77</v>
      </c>
      <c r="D389" s="4" t="str">
        <f t="shared" si="6"/>
        <v>IPL-2020</v>
      </c>
      <c r="E389" s="4">
        <f>YEAR('IPL Info'!$F389)</f>
        <v>2020</v>
      </c>
      <c r="F389" s="5">
        <v>44115</v>
      </c>
      <c r="G389" s="4" t="s">
        <v>55</v>
      </c>
      <c r="H389" s="4" t="s">
        <v>31</v>
      </c>
      <c r="I389" s="4" t="s">
        <v>19</v>
      </c>
      <c r="J389" s="4" t="s">
        <v>20</v>
      </c>
      <c r="K389" s="4" t="s">
        <v>77</v>
      </c>
      <c r="L389" s="4" t="s">
        <v>675</v>
      </c>
      <c r="M389" s="4" t="s">
        <v>772</v>
      </c>
      <c r="N389" s="4" t="s">
        <v>20</v>
      </c>
      <c r="O389" s="4" t="s">
        <v>980</v>
      </c>
      <c r="P389" s="4" t="s">
        <v>973</v>
      </c>
    </row>
    <row r="390" spans="1:16" ht="15.6" x14ac:dyDescent="0.3">
      <c r="A390" s="2">
        <v>1216523</v>
      </c>
      <c r="B390" s="2" t="s">
        <v>56</v>
      </c>
      <c r="C390" s="2" t="s">
        <v>925</v>
      </c>
      <c r="D390" s="2" t="str">
        <f t="shared" si="6"/>
        <v>IPL-2020</v>
      </c>
      <c r="E390" s="2">
        <f>YEAR('IPL Info'!$F390)</f>
        <v>2020</v>
      </c>
      <c r="F390" s="3">
        <v>44114</v>
      </c>
      <c r="G390" s="2" t="s">
        <v>56</v>
      </c>
      <c r="H390" s="2" t="s">
        <v>31</v>
      </c>
      <c r="I390" s="2" t="s">
        <v>19</v>
      </c>
      <c r="J390" s="2" t="s">
        <v>20</v>
      </c>
      <c r="K390" s="2" t="s">
        <v>56</v>
      </c>
      <c r="L390" s="2" t="s">
        <v>709</v>
      </c>
      <c r="M390" s="2" t="s">
        <v>911</v>
      </c>
      <c r="N390" s="2" t="s">
        <v>788</v>
      </c>
      <c r="O390" s="2" t="s">
        <v>981</v>
      </c>
      <c r="P390" s="2" t="s">
        <v>982</v>
      </c>
    </row>
    <row r="391" spans="1:16" ht="15.6" x14ac:dyDescent="0.3">
      <c r="A391" s="4">
        <v>1216525</v>
      </c>
      <c r="B391" s="4" t="s">
        <v>445</v>
      </c>
      <c r="C391" s="4" t="s">
        <v>51</v>
      </c>
      <c r="D391" s="4" t="str">
        <f t="shared" si="6"/>
        <v>IPL-2020</v>
      </c>
      <c r="E391" s="4">
        <f>YEAR('IPL Info'!$F391)</f>
        <v>2020</v>
      </c>
      <c r="F391" s="5">
        <v>44114</v>
      </c>
      <c r="G391" s="4" t="s">
        <v>445</v>
      </c>
      <c r="H391" s="4" t="s">
        <v>31</v>
      </c>
      <c r="I391" s="4" t="s">
        <v>19</v>
      </c>
      <c r="J391" s="4" t="s">
        <v>20</v>
      </c>
      <c r="K391" s="4" t="s">
        <v>445</v>
      </c>
      <c r="L391" s="4" t="s">
        <v>158</v>
      </c>
      <c r="M391" s="4" t="s">
        <v>772</v>
      </c>
      <c r="N391" s="4" t="s">
        <v>20</v>
      </c>
      <c r="O391" s="4" t="s">
        <v>983</v>
      </c>
      <c r="P391" s="4" t="s">
        <v>984</v>
      </c>
    </row>
    <row r="392" spans="1:16" ht="15.6" x14ac:dyDescent="0.3">
      <c r="A392" s="2">
        <v>1216500</v>
      </c>
      <c r="B392" s="2" t="s">
        <v>62</v>
      </c>
      <c r="C392" s="2" t="s">
        <v>77</v>
      </c>
      <c r="D392" s="2" t="str">
        <f t="shared" si="6"/>
        <v>IPL-2020</v>
      </c>
      <c r="E392" s="2">
        <f>YEAR('IPL Info'!$F392)</f>
        <v>2020</v>
      </c>
      <c r="F392" s="3">
        <v>44113</v>
      </c>
      <c r="G392" s="2" t="s">
        <v>77</v>
      </c>
      <c r="H392" s="2" t="s">
        <v>18</v>
      </c>
      <c r="I392" s="2" t="s">
        <v>19</v>
      </c>
      <c r="J392" s="2" t="s">
        <v>20</v>
      </c>
      <c r="K392" s="2" t="s">
        <v>62</v>
      </c>
      <c r="L392" s="2" t="s">
        <v>265</v>
      </c>
      <c r="M392" s="2" t="s">
        <v>776</v>
      </c>
      <c r="N392" s="2" t="s">
        <v>20</v>
      </c>
      <c r="O392" s="2" t="s">
        <v>985</v>
      </c>
      <c r="P392" s="2" t="s">
        <v>986</v>
      </c>
    </row>
    <row r="393" spans="1:16" ht="15.6" x14ac:dyDescent="0.3">
      <c r="A393" s="4">
        <v>1216542</v>
      </c>
      <c r="B393" s="4" t="s">
        <v>55</v>
      </c>
      <c r="C393" s="4" t="s">
        <v>925</v>
      </c>
      <c r="D393" s="4" t="str">
        <f t="shared" si="6"/>
        <v>IPL-2020</v>
      </c>
      <c r="E393" s="4">
        <f>YEAR('IPL Info'!$F393)</f>
        <v>2020</v>
      </c>
      <c r="F393" s="5">
        <v>44112</v>
      </c>
      <c r="G393" s="4" t="s">
        <v>55</v>
      </c>
      <c r="H393" s="4" t="s">
        <v>31</v>
      </c>
      <c r="I393" s="4" t="s">
        <v>19</v>
      </c>
      <c r="J393" s="4" t="s">
        <v>20</v>
      </c>
      <c r="K393" s="4" t="s">
        <v>55</v>
      </c>
      <c r="L393" s="4" t="s">
        <v>334</v>
      </c>
      <c r="M393" s="4" t="s">
        <v>772</v>
      </c>
      <c r="N393" s="4" t="s">
        <v>20</v>
      </c>
      <c r="O393" s="4" t="s">
        <v>987</v>
      </c>
      <c r="P393" s="4" t="s">
        <v>988</v>
      </c>
    </row>
    <row r="394" spans="1:16" ht="15.6" x14ac:dyDescent="0.3">
      <c r="A394" s="2">
        <v>1216501</v>
      </c>
      <c r="B394" s="2" t="s">
        <v>56</v>
      </c>
      <c r="C394" s="2" t="s">
        <v>51</v>
      </c>
      <c r="D394" s="2" t="str">
        <f t="shared" si="6"/>
        <v>IPL-2020</v>
      </c>
      <c r="E394" s="2">
        <f>YEAR('IPL Info'!$F394)</f>
        <v>2020</v>
      </c>
      <c r="F394" s="3">
        <v>44111</v>
      </c>
      <c r="G394" s="2" t="s">
        <v>56</v>
      </c>
      <c r="H394" s="2" t="s">
        <v>31</v>
      </c>
      <c r="I394" s="2" t="s">
        <v>19</v>
      </c>
      <c r="J394" s="2" t="s">
        <v>20</v>
      </c>
      <c r="K394" s="2" t="s">
        <v>56</v>
      </c>
      <c r="L394" s="2" t="s">
        <v>625</v>
      </c>
      <c r="M394" s="2" t="s">
        <v>911</v>
      </c>
      <c r="N394" s="2" t="s">
        <v>788</v>
      </c>
      <c r="O394" s="2" t="s">
        <v>989</v>
      </c>
      <c r="P394" s="2" t="s">
        <v>990</v>
      </c>
    </row>
    <row r="395" spans="1:16" ht="15.6" x14ac:dyDescent="0.3">
      <c r="A395" s="4">
        <v>1216511</v>
      </c>
      <c r="B395" s="4" t="s">
        <v>26</v>
      </c>
      <c r="C395" s="4" t="s">
        <v>77</v>
      </c>
      <c r="D395" s="4" t="str">
        <f t="shared" si="6"/>
        <v>IPL-2020</v>
      </c>
      <c r="E395" s="4">
        <f>YEAR('IPL Info'!$F395)</f>
        <v>2020</v>
      </c>
      <c r="F395" s="5">
        <v>44110</v>
      </c>
      <c r="G395" s="4" t="s">
        <v>26</v>
      </c>
      <c r="H395" s="4" t="s">
        <v>31</v>
      </c>
      <c r="I395" s="4" t="s">
        <v>19</v>
      </c>
      <c r="J395" s="4" t="s">
        <v>20</v>
      </c>
      <c r="K395" s="4" t="s">
        <v>26</v>
      </c>
      <c r="L395" s="4" t="s">
        <v>72</v>
      </c>
      <c r="M395" s="4" t="s">
        <v>911</v>
      </c>
      <c r="N395" s="4" t="s">
        <v>788</v>
      </c>
      <c r="O395" s="4" t="s">
        <v>991</v>
      </c>
      <c r="P395" s="4" t="s">
        <v>992</v>
      </c>
    </row>
    <row r="396" spans="1:16" ht="15.6" x14ac:dyDescent="0.3">
      <c r="A396" s="2">
        <v>1216519</v>
      </c>
      <c r="B396" s="2" t="s">
        <v>62</v>
      </c>
      <c r="C396" s="2" t="s">
        <v>445</v>
      </c>
      <c r="D396" s="2" t="str">
        <f t="shared" si="6"/>
        <v>IPL-2020</v>
      </c>
      <c r="E396" s="2">
        <f>YEAR('IPL Info'!$F396)</f>
        <v>2020</v>
      </c>
      <c r="F396" s="3">
        <v>44109</v>
      </c>
      <c r="G396" s="2" t="s">
        <v>445</v>
      </c>
      <c r="H396" s="2" t="s">
        <v>18</v>
      </c>
      <c r="I396" s="2" t="s">
        <v>19</v>
      </c>
      <c r="J396" s="2" t="s">
        <v>20</v>
      </c>
      <c r="K396" s="2" t="s">
        <v>62</v>
      </c>
      <c r="L396" s="2" t="s">
        <v>527</v>
      </c>
      <c r="M396" s="2" t="s">
        <v>772</v>
      </c>
      <c r="N396" s="2" t="s">
        <v>20</v>
      </c>
      <c r="O396" s="2" t="s">
        <v>993</v>
      </c>
      <c r="P396" s="2" t="s">
        <v>994</v>
      </c>
    </row>
    <row r="397" spans="1:16" ht="15.6" x14ac:dyDescent="0.3">
      <c r="A397" s="4">
        <v>1216538</v>
      </c>
      <c r="B397" s="4" t="s">
        <v>26</v>
      </c>
      <c r="C397" s="4" t="s">
        <v>55</v>
      </c>
      <c r="D397" s="4" t="str">
        <f t="shared" si="6"/>
        <v>IPL-2020</v>
      </c>
      <c r="E397" s="4">
        <f>YEAR('IPL Info'!$F397)</f>
        <v>2020</v>
      </c>
      <c r="F397" s="5">
        <v>44108</v>
      </c>
      <c r="G397" s="4" t="s">
        <v>26</v>
      </c>
      <c r="H397" s="4" t="s">
        <v>31</v>
      </c>
      <c r="I397" s="4" t="s">
        <v>19</v>
      </c>
      <c r="J397" s="4" t="s">
        <v>20</v>
      </c>
      <c r="K397" s="4" t="s">
        <v>26</v>
      </c>
      <c r="L397" s="4" t="s">
        <v>148</v>
      </c>
      <c r="M397" s="4" t="s">
        <v>776</v>
      </c>
      <c r="N397" s="4" t="s">
        <v>20</v>
      </c>
      <c r="O397" s="4" t="s">
        <v>979</v>
      </c>
      <c r="P397" s="4" t="s">
        <v>995</v>
      </c>
    </row>
    <row r="398" spans="1:16" ht="15.6" x14ac:dyDescent="0.3">
      <c r="A398" s="2">
        <v>1216513</v>
      </c>
      <c r="B398" s="2" t="s">
        <v>925</v>
      </c>
      <c r="C398" s="2" t="s">
        <v>51</v>
      </c>
      <c r="D398" s="2" t="str">
        <f t="shared" si="6"/>
        <v>IPL-2020</v>
      </c>
      <c r="E398" s="2">
        <f>YEAR('IPL Info'!$F398)</f>
        <v>2020</v>
      </c>
      <c r="F398" s="3">
        <v>44108</v>
      </c>
      <c r="G398" s="2" t="s">
        <v>925</v>
      </c>
      <c r="H398" s="2" t="s">
        <v>31</v>
      </c>
      <c r="I398" s="2" t="s">
        <v>19</v>
      </c>
      <c r="J398" s="2" t="s">
        <v>20</v>
      </c>
      <c r="K398" s="2" t="s">
        <v>51</v>
      </c>
      <c r="L398" s="2" t="s">
        <v>996</v>
      </c>
      <c r="M398" s="2" t="s">
        <v>772</v>
      </c>
      <c r="N398" s="2" t="s">
        <v>20</v>
      </c>
      <c r="O398" s="2" t="s">
        <v>997</v>
      </c>
      <c r="P398" s="2" t="s">
        <v>998</v>
      </c>
    </row>
    <row r="399" spans="1:16" ht="15.6" x14ac:dyDescent="0.3">
      <c r="A399" s="4">
        <v>1216515</v>
      </c>
      <c r="B399" s="4" t="s">
        <v>62</v>
      </c>
      <c r="C399" s="4" t="s">
        <v>56</v>
      </c>
      <c r="D399" s="4" t="str">
        <f t="shared" si="6"/>
        <v>IPL-2020</v>
      </c>
      <c r="E399" s="4">
        <f>YEAR('IPL Info'!$F399)</f>
        <v>2020</v>
      </c>
      <c r="F399" s="5">
        <v>44107</v>
      </c>
      <c r="G399" s="4" t="s">
        <v>56</v>
      </c>
      <c r="H399" s="4" t="s">
        <v>18</v>
      </c>
      <c r="I399" s="4" t="s">
        <v>19</v>
      </c>
      <c r="J399" s="4" t="s">
        <v>20</v>
      </c>
      <c r="K399" s="4" t="s">
        <v>62</v>
      </c>
      <c r="L399" s="4" t="s">
        <v>27</v>
      </c>
      <c r="M399" s="4" t="s">
        <v>776</v>
      </c>
      <c r="N399" s="4" t="s">
        <v>20</v>
      </c>
      <c r="O399" s="4" t="s">
        <v>999</v>
      </c>
      <c r="P399" s="4" t="s">
        <v>1000</v>
      </c>
    </row>
    <row r="400" spans="1:16" ht="15.6" x14ac:dyDescent="0.3">
      <c r="A400" s="2">
        <v>1216514</v>
      </c>
      <c r="B400" s="2" t="s">
        <v>77</v>
      </c>
      <c r="C400" s="2" t="s">
        <v>445</v>
      </c>
      <c r="D400" s="2" t="str">
        <f t="shared" si="6"/>
        <v>IPL-2020</v>
      </c>
      <c r="E400" s="2">
        <f>YEAR('IPL Info'!$F400)</f>
        <v>2020</v>
      </c>
      <c r="F400" s="3">
        <v>44107</v>
      </c>
      <c r="G400" s="2" t="s">
        <v>77</v>
      </c>
      <c r="H400" s="2" t="s">
        <v>31</v>
      </c>
      <c r="I400" s="2" t="s">
        <v>19</v>
      </c>
      <c r="J400" s="2" t="s">
        <v>20</v>
      </c>
      <c r="K400" s="2" t="s">
        <v>445</v>
      </c>
      <c r="L400" s="2" t="s">
        <v>177</v>
      </c>
      <c r="M400" s="2" t="s">
        <v>911</v>
      </c>
      <c r="N400" s="2" t="s">
        <v>788</v>
      </c>
      <c r="O400" s="2" t="s">
        <v>1001</v>
      </c>
      <c r="P400" s="2" t="s">
        <v>1002</v>
      </c>
    </row>
    <row r="401" spans="1:16" ht="15.6" x14ac:dyDescent="0.3">
      <c r="A401" s="4">
        <v>1216516</v>
      </c>
      <c r="B401" s="4" t="s">
        <v>55</v>
      </c>
      <c r="C401" s="4" t="s">
        <v>51</v>
      </c>
      <c r="D401" s="4" t="str">
        <f t="shared" si="6"/>
        <v>IPL-2020</v>
      </c>
      <c r="E401" s="4">
        <f>YEAR('IPL Info'!$F401)</f>
        <v>2020</v>
      </c>
      <c r="F401" s="5">
        <v>44106</v>
      </c>
      <c r="G401" s="4" t="s">
        <v>55</v>
      </c>
      <c r="H401" s="4" t="s">
        <v>31</v>
      </c>
      <c r="I401" s="4" t="s">
        <v>19</v>
      </c>
      <c r="J401" s="4" t="s">
        <v>20</v>
      </c>
      <c r="K401" s="4" t="s">
        <v>55</v>
      </c>
      <c r="L401" s="4" t="s">
        <v>1003</v>
      </c>
      <c r="M401" s="4" t="s">
        <v>772</v>
      </c>
      <c r="N401" s="4" t="s">
        <v>20</v>
      </c>
      <c r="O401" s="4" t="s">
        <v>1004</v>
      </c>
      <c r="P401" s="4" t="s">
        <v>1005</v>
      </c>
    </row>
    <row r="402" spans="1:16" ht="15.6" x14ac:dyDescent="0.3">
      <c r="A402" s="2">
        <v>1216503</v>
      </c>
      <c r="B402" s="2" t="s">
        <v>26</v>
      </c>
      <c r="C402" s="2" t="s">
        <v>925</v>
      </c>
      <c r="D402" s="2" t="str">
        <f t="shared" si="6"/>
        <v>IPL-2020</v>
      </c>
      <c r="E402" s="2">
        <f>YEAR('IPL Info'!$F402)</f>
        <v>2020</v>
      </c>
      <c r="F402" s="3">
        <v>44105</v>
      </c>
      <c r="G402" s="2" t="s">
        <v>925</v>
      </c>
      <c r="H402" s="2" t="s">
        <v>18</v>
      </c>
      <c r="I402" s="2" t="s">
        <v>19</v>
      </c>
      <c r="J402" s="2" t="s">
        <v>20</v>
      </c>
      <c r="K402" s="2" t="s">
        <v>26</v>
      </c>
      <c r="L402" s="2" t="s">
        <v>819</v>
      </c>
      <c r="M402" s="2" t="s">
        <v>911</v>
      </c>
      <c r="N402" s="2" t="s">
        <v>788</v>
      </c>
      <c r="O402" s="2" t="s">
        <v>1006</v>
      </c>
      <c r="P402" s="2" t="s">
        <v>1007</v>
      </c>
    </row>
    <row r="403" spans="1:16" ht="15.6" x14ac:dyDescent="0.3">
      <c r="A403" s="4">
        <v>1216504</v>
      </c>
      <c r="B403" s="4" t="s">
        <v>56</v>
      </c>
      <c r="C403" s="4" t="s">
        <v>77</v>
      </c>
      <c r="D403" s="4" t="str">
        <f t="shared" si="6"/>
        <v>IPL-2020</v>
      </c>
      <c r="E403" s="4">
        <f>YEAR('IPL Info'!$F403)</f>
        <v>2020</v>
      </c>
      <c r="F403" s="5">
        <v>44104</v>
      </c>
      <c r="G403" s="4" t="s">
        <v>77</v>
      </c>
      <c r="H403" s="4" t="s">
        <v>18</v>
      </c>
      <c r="I403" s="4" t="s">
        <v>19</v>
      </c>
      <c r="J403" s="4" t="s">
        <v>20</v>
      </c>
      <c r="K403" s="4" t="s">
        <v>56</v>
      </c>
      <c r="L403" s="4" t="s">
        <v>791</v>
      </c>
      <c r="M403" s="4" t="s">
        <v>772</v>
      </c>
      <c r="N403" s="4" t="s">
        <v>20</v>
      </c>
      <c r="O403" s="4" t="s">
        <v>1008</v>
      </c>
      <c r="P403" s="4" t="s">
        <v>1009</v>
      </c>
    </row>
    <row r="404" spans="1:16" ht="15.6" x14ac:dyDescent="0.3">
      <c r="A404" s="2">
        <v>1216532</v>
      </c>
      <c r="B404" s="2" t="s">
        <v>55</v>
      </c>
      <c r="C404" s="2" t="s">
        <v>62</v>
      </c>
      <c r="D404" s="2" t="str">
        <f t="shared" si="6"/>
        <v>IPL-2020</v>
      </c>
      <c r="E404" s="2">
        <f>YEAR('IPL Info'!$F404)</f>
        <v>2020</v>
      </c>
      <c r="F404" s="3">
        <v>44103</v>
      </c>
      <c r="G404" s="2" t="s">
        <v>62</v>
      </c>
      <c r="H404" s="2" t="s">
        <v>18</v>
      </c>
      <c r="I404" s="2" t="s">
        <v>19</v>
      </c>
      <c r="J404" s="2" t="s">
        <v>20</v>
      </c>
      <c r="K404" s="2" t="s">
        <v>55</v>
      </c>
      <c r="L404" s="2" t="s">
        <v>377</v>
      </c>
      <c r="M404" s="2" t="s">
        <v>911</v>
      </c>
      <c r="N404" s="2" t="s">
        <v>788</v>
      </c>
      <c r="O404" s="2" t="s">
        <v>1010</v>
      </c>
      <c r="P404" s="2" t="s">
        <v>1011</v>
      </c>
    </row>
    <row r="405" spans="1:16" ht="15.6" x14ac:dyDescent="0.3">
      <c r="A405" s="4">
        <v>1216547</v>
      </c>
      <c r="B405" s="4" t="s">
        <v>445</v>
      </c>
      <c r="C405" s="4" t="s">
        <v>26</v>
      </c>
      <c r="D405" s="4" t="str">
        <f t="shared" si="6"/>
        <v>IPL-2020</v>
      </c>
      <c r="E405" s="4">
        <f>YEAR('IPL Info'!$F405)</f>
        <v>2020</v>
      </c>
      <c r="F405" s="5">
        <v>44102</v>
      </c>
      <c r="G405" s="4" t="s">
        <v>26</v>
      </c>
      <c r="H405" s="4" t="s">
        <v>18</v>
      </c>
      <c r="I405" s="4" t="s">
        <v>173</v>
      </c>
      <c r="J405" s="4" t="s">
        <v>445</v>
      </c>
      <c r="K405" s="4" t="s">
        <v>20</v>
      </c>
      <c r="L405" s="4" t="s">
        <v>861</v>
      </c>
      <c r="M405" s="4" t="s">
        <v>772</v>
      </c>
      <c r="N405" s="4" t="s">
        <v>20</v>
      </c>
      <c r="O405" s="4" t="s">
        <v>1002</v>
      </c>
      <c r="P405" s="4" t="s">
        <v>979</v>
      </c>
    </row>
    <row r="406" spans="1:16" ht="15.6" x14ac:dyDescent="0.3">
      <c r="A406" s="2">
        <v>1216527</v>
      </c>
      <c r="B406" s="2" t="s">
        <v>925</v>
      </c>
      <c r="C406" s="2" t="s">
        <v>77</v>
      </c>
      <c r="D406" s="2" t="str">
        <f t="shared" si="6"/>
        <v>IPL-2020</v>
      </c>
      <c r="E406" s="2">
        <f>YEAR('IPL Info'!$F406)</f>
        <v>2020</v>
      </c>
      <c r="F406" s="3">
        <v>44101</v>
      </c>
      <c r="G406" s="2" t="s">
        <v>77</v>
      </c>
      <c r="H406" s="2" t="s">
        <v>18</v>
      </c>
      <c r="I406" s="2" t="s">
        <v>19</v>
      </c>
      <c r="J406" s="2" t="s">
        <v>20</v>
      </c>
      <c r="K406" s="2" t="s">
        <v>77</v>
      </c>
      <c r="L406" s="2" t="s">
        <v>331</v>
      </c>
      <c r="M406" s="2" t="s">
        <v>776</v>
      </c>
      <c r="N406" s="2" t="s">
        <v>20</v>
      </c>
      <c r="O406" s="2" t="s">
        <v>1012</v>
      </c>
      <c r="P406" s="2" t="s">
        <v>1013</v>
      </c>
    </row>
    <row r="407" spans="1:16" ht="15.6" x14ac:dyDescent="0.3">
      <c r="A407" s="4">
        <v>1216545</v>
      </c>
      <c r="B407" s="4" t="s">
        <v>55</v>
      </c>
      <c r="C407" s="4" t="s">
        <v>56</v>
      </c>
      <c r="D407" s="4" t="str">
        <f t="shared" si="6"/>
        <v>IPL-2020</v>
      </c>
      <c r="E407" s="4">
        <f>YEAR('IPL Info'!$F407)</f>
        <v>2020</v>
      </c>
      <c r="F407" s="5">
        <v>44100</v>
      </c>
      <c r="G407" s="4" t="s">
        <v>55</v>
      </c>
      <c r="H407" s="4" t="s">
        <v>31</v>
      </c>
      <c r="I407" s="4" t="s">
        <v>19</v>
      </c>
      <c r="J407" s="4" t="s">
        <v>20</v>
      </c>
      <c r="K407" s="4" t="s">
        <v>56</v>
      </c>
      <c r="L407" s="4" t="s">
        <v>101</v>
      </c>
      <c r="M407" s="4" t="s">
        <v>911</v>
      </c>
      <c r="N407" s="4" t="s">
        <v>788</v>
      </c>
      <c r="O407" s="4" t="s">
        <v>1014</v>
      </c>
      <c r="P407" s="4" t="s">
        <v>1015</v>
      </c>
    </row>
    <row r="408" spans="1:16" ht="15.6" x14ac:dyDescent="0.3">
      <c r="A408" s="2">
        <v>1216539</v>
      </c>
      <c r="B408" s="2" t="s">
        <v>62</v>
      </c>
      <c r="C408" s="2" t="s">
        <v>51</v>
      </c>
      <c r="D408" s="2" t="str">
        <f t="shared" si="6"/>
        <v>IPL-2020</v>
      </c>
      <c r="E408" s="2">
        <f>YEAR('IPL Info'!$F408)</f>
        <v>2020</v>
      </c>
      <c r="F408" s="3">
        <v>44099</v>
      </c>
      <c r="G408" s="2" t="s">
        <v>51</v>
      </c>
      <c r="H408" s="2" t="s">
        <v>18</v>
      </c>
      <c r="I408" s="2" t="s">
        <v>19</v>
      </c>
      <c r="J408" s="2" t="s">
        <v>20</v>
      </c>
      <c r="K408" s="2" t="s">
        <v>62</v>
      </c>
      <c r="L408" s="2" t="s">
        <v>854</v>
      </c>
      <c r="M408" s="2" t="s">
        <v>772</v>
      </c>
      <c r="N408" s="2" t="s">
        <v>20</v>
      </c>
      <c r="O408" s="2" t="s">
        <v>1016</v>
      </c>
      <c r="P408" s="2" t="s">
        <v>1017</v>
      </c>
    </row>
    <row r="409" spans="1:16" ht="15.6" x14ac:dyDescent="0.3">
      <c r="A409" s="4">
        <v>1216510</v>
      </c>
      <c r="B409" s="4" t="s">
        <v>925</v>
      </c>
      <c r="C409" s="4" t="s">
        <v>445</v>
      </c>
      <c r="D409" s="4" t="str">
        <f t="shared" si="6"/>
        <v>IPL-2020</v>
      </c>
      <c r="E409" s="4">
        <f>YEAR('IPL Info'!$F409)</f>
        <v>2020</v>
      </c>
      <c r="F409" s="5">
        <v>44098</v>
      </c>
      <c r="G409" s="4" t="s">
        <v>445</v>
      </c>
      <c r="H409" s="4" t="s">
        <v>18</v>
      </c>
      <c r="I409" s="4" t="s">
        <v>19</v>
      </c>
      <c r="J409" s="4" t="s">
        <v>20</v>
      </c>
      <c r="K409" s="4" t="s">
        <v>925</v>
      </c>
      <c r="L409" s="4" t="s">
        <v>196</v>
      </c>
      <c r="M409" s="4" t="s">
        <v>772</v>
      </c>
      <c r="N409" s="4" t="s">
        <v>20</v>
      </c>
      <c r="O409" s="4" t="s">
        <v>1018</v>
      </c>
      <c r="P409" s="4" t="s">
        <v>1019</v>
      </c>
    </row>
    <row r="410" spans="1:16" ht="15.6" x14ac:dyDescent="0.3">
      <c r="A410" s="2">
        <v>1216508</v>
      </c>
      <c r="B410" s="2" t="s">
        <v>26</v>
      </c>
      <c r="C410" s="2" t="s">
        <v>56</v>
      </c>
      <c r="D410" s="2" t="str">
        <f t="shared" si="6"/>
        <v>IPL-2020</v>
      </c>
      <c r="E410" s="2">
        <f>YEAR('IPL Info'!$F410)</f>
        <v>2020</v>
      </c>
      <c r="F410" s="3">
        <v>44097</v>
      </c>
      <c r="G410" s="2" t="s">
        <v>56</v>
      </c>
      <c r="H410" s="2" t="s">
        <v>18</v>
      </c>
      <c r="I410" s="2" t="s">
        <v>19</v>
      </c>
      <c r="J410" s="2" t="s">
        <v>20</v>
      </c>
      <c r="K410" s="2" t="s">
        <v>26</v>
      </c>
      <c r="L410" s="2" t="s">
        <v>32</v>
      </c>
      <c r="M410" s="2" t="s">
        <v>911</v>
      </c>
      <c r="N410" s="2" t="s">
        <v>788</v>
      </c>
      <c r="O410" s="2" t="s">
        <v>1020</v>
      </c>
      <c r="P410" s="2" t="s">
        <v>1021</v>
      </c>
    </row>
    <row r="411" spans="1:16" ht="15.6" x14ac:dyDescent="0.3">
      <c r="A411" s="4">
        <v>1216496</v>
      </c>
      <c r="B411" s="4" t="s">
        <v>77</v>
      </c>
      <c r="C411" s="4" t="s">
        <v>51</v>
      </c>
      <c r="D411" s="4" t="str">
        <f t="shared" si="6"/>
        <v>IPL-2020</v>
      </c>
      <c r="E411" s="4">
        <f>YEAR('IPL Info'!$F411)</f>
        <v>2020</v>
      </c>
      <c r="F411" s="5">
        <v>44096</v>
      </c>
      <c r="G411" s="4" t="s">
        <v>51</v>
      </c>
      <c r="H411" s="4" t="s">
        <v>18</v>
      </c>
      <c r="I411" s="4" t="s">
        <v>19</v>
      </c>
      <c r="J411" s="4" t="s">
        <v>20</v>
      </c>
      <c r="K411" s="4" t="s">
        <v>77</v>
      </c>
      <c r="L411" s="4" t="s">
        <v>331</v>
      </c>
      <c r="M411" s="4" t="s">
        <v>776</v>
      </c>
      <c r="N411" s="4" t="s">
        <v>20</v>
      </c>
      <c r="O411" s="4" t="s">
        <v>1022</v>
      </c>
      <c r="P411" s="4" t="s">
        <v>1023</v>
      </c>
    </row>
    <row r="412" spans="1:16" ht="15.6" x14ac:dyDescent="0.3">
      <c r="A412" s="2">
        <v>1216534</v>
      </c>
      <c r="B412" s="2" t="s">
        <v>445</v>
      </c>
      <c r="C412" s="2" t="s">
        <v>55</v>
      </c>
      <c r="D412" s="2" t="str">
        <f t="shared" si="6"/>
        <v>IPL-2020</v>
      </c>
      <c r="E412" s="2">
        <f>YEAR('IPL Info'!$F412)</f>
        <v>2020</v>
      </c>
      <c r="F412" s="3">
        <v>44095</v>
      </c>
      <c r="G412" s="2" t="s">
        <v>55</v>
      </c>
      <c r="H412" s="2" t="s">
        <v>18</v>
      </c>
      <c r="I412" s="2" t="s">
        <v>19</v>
      </c>
      <c r="J412" s="2" t="s">
        <v>20</v>
      </c>
      <c r="K412" s="2" t="s">
        <v>445</v>
      </c>
      <c r="L412" s="2" t="s">
        <v>177</v>
      </c>
      <c r="M412" s="2" t="s">
        <v>772</v>
      </c>
      <c r="N412" s="2" t="s">
        <v>20</v>
      </c>
      <c r="O412" s="2" t="s">
        <v>1024</v>
      </c>
      <c r="P412" s="2" t="s">
        <v>1025</v>
      </c>
    </row>
    <row r="413" spans="1:16" ht="15.6" x14ac:dyDescent="0.3">
      <c r="A413" s="4">
        <v>1216493</v>
      </c>
      <c r="B413" s="4" t="s">
        <v>62</v>
      </c>
      <c r="C413" s="4" t="s">
        <v>925</v>
      </c>
      <c r="D413" s="4" t="str">
        <f t="shared" si="6"/>
        <v>IPL-2020</v>
      </c>
      <c r="E413" s="4">
        <f>YEAR('IPL Info'!$F413)</f>
        <v>2020</v>
      </c>
      <c r="F413" s="5">
        <v>44094</v>
      </c>
      <c r="G413" s="4" t="s">
        <v>925</v>
      </c>
      <c r="H413" s="4" t="s">
        <v>18</v>
      </c>
      <c r="I413" s="4" t="s">
        <v>173</v>
      </c>
      <c r="J413" s="4" t="s">
        <v>62</v>
      </c>
      <c r="K413" s="4" t="s">
        <v>20</v>
      </c>
      <c r="L413" s="4" t="s">
        <v>318</v>
      </c>
      <c r="M413" s="4" t="s">
        <v>772</v>
      </c>
      <c r="N413" s="4" t="s">
        <v>20</v>
      </c>
      <c r="O413" s="4" t="s">
        <v>1026</v>
      </c>
      <c r="P413" s="4" t="s">
        <v>1027</v>
      </c>
    </row>
    <row r="414" spans="1:16" ht="15.6" x14ac:dyDescent="0.3">
      <c r="A414" s="2">
        <v>1216492</v>
      </c>
      <c r="B414" s="2" t="s">
        <v>26</v>
      </c>
      <c r="C414" s="2" t="s">
        <v>51</v>
      </c>
      <c r="D414" s="2" t="str">
        <f t="shared" si="6"/>
        <v>IPL-2020</v>
      </c>
      <c r="E414" s="2">
        <f>YEAR('IPL Info'!$F414)</f>
        <v>2020</v>
      </c>
      <c r="F414" s="3">
        <v>44093</v>
      </c>
      <c r="G414" s="2" t="s">
        <v>51</v>
      </c>
      <c r="H414" s="2" t="s">
        <v>18</v>
      </c>
      <c r="I414" s="2" t="s">
        <v>19</v>
      </c>
      <c r="J414" s="2" t="s">
        <v>20</v>
      </c>
      <c r="K414" s="2" t="s">
        <v>51</v>
      </c>
      <c r="L414" s="2" t="s">
        <v>1028</v>
      </c>
      <c r="M414" s="2" t="s">
        <v>911</v>
      </c>
      <c r="N414" s="2" t="s">
        <v>788</v>
      </c>
      <c r="O414" s="2" t="s">
        <v>1029</v>
      </c>
      <c r="P414" s="2" t="s">
        <v>1030</v>
      </c>
    </row>
    <row r="415" spans="1:16" ht="15.6" x14ac:dyDescent="0.3">
      <c r="A415" s="4">
        <v>1181768</v>
      </c>
      <c r="B415" s="4" t="s">
        <v>26</v>
      </c>
      <c r="C415" s="4" t="s">
        <v>51</v>
      </c>
      <c r="D415" s="4" t="str">
        <f t="shared" si="6"/>
        <v>IPL-2019</v>
      </c>
      <c r="E415" s="4">
        <f>YEAR('IPL Info'!$F415)</f>
        <v>2019</v>
      </c>
      <c r="F415" s="5">
        <v>43597</v>
      </c>
      <c r="G415" s="4" t="s">
        <v>26</v>
      </c>
      <c r="H415" s="4" t="s">
        <v>31</v>
      </c>
      <c r="I415" s="4" t="s">
        <v>19</v>
      </c>
      <c r="J415" s="4" t="s">
        <v>20</v>
      </c>
      <c r="K415" s="4" t="s">
        <v>26</v>
      </c>
      <c r="L415" s="4" t="s">
        <v>356</v>
      </c>
      <c r="M415" s="4" t="s">
        <v>1031</v>
      </c>
      <c r="N415" s="4" t="s">
        <v>105</v>
      </c>
      <c r="O415" s="4" t="s">
        <v>1032</v>
      </c>
      <c r="P415" s="4" t="s">
        <v>1033</v>
      </c>
    </row>
    <row r="416" spans="1:16" ht="15.6" x14ac:dyDescent="0.3">
      <c r="A416" s="2">
        <v>1181767</v>
      </c>
      <c r="B416" s="2" t="s">
        <v>62</v>
      </c>
      <c r="C416" s="2" t="s">
        <v>51</v>
      </c>
      <c r="D416" s="2" t="str">
        <f t="shared" si="6"/>
        <v>IPL-2019</v>
      </c>
      <c r="E416" s="2">
        <f>YEAR('IPL Info'!$F416)</f>
        <v>2019</v>
      </c>
      <c r="F416" s="3">
        <v>43595</v>
      </c>
      <c r="G416" s="2" t="s">
        <v>51</v>
      </c>
      <c r="H416" s="2" t="s">
        <v>18</v>
      </c>
      <c r="I416" s="2" t="s">
        <v>19</v>
      </c>
      <c r="J416" s="2" t="s">
        <v>20</v>
      </c>
      <c r="K416" s="2" t="s">
        <v>51</v>
      </c>
      <c r="L416" s="2" t="s">
        <v>271</v>
      </c>
      <c r="M416" s="2" t="s">
        <v>1034</v>
      </c>
      <c r="N416" s="2" t="s">
        <v>232</v>
      </c>
      <c r="O416" s="2" t="s">
        <v>1035</v>
      </c>
      <c r="P416" s="2" t="s">
        <v>1036</v>
      </c>
    </row>
    <row r="417" spans="1:16" ht="15.6" x14ac:dyDescent="0.3">
      <c r="A417" s="4">
        <v>1181766</v>
      </c>
      <c r="B417" s="4" t="s">
        <v>55</v>
      </c>
      <c r="C417" s="4" t="s">
        <v>62</v>
      </c>
      <c r="D417" s="4" t="str">
        <f t="shared" si="6"/>
        <v>IPL-2019</v>
      </c>
      <c r="E417" s="4">
        <f>YEAR('IPL Info'!$F417)</f>
        <v>2019</v>
      </c>
      <c r="F417" s="5">
        <v>43593</v>
      </c>
      <c r="G417" s="4" t="s">
        <v>62</v>
      </c>
      <c r="H417" s="4" t="s">
        <v>18</v>
      </c>
      <c r="I417" s="4" t="s">
        <v>19</v>
      </c>
      <c r="J417" s="4" t="s">
        <v>20</v>
      </c>
      <c r="K417" s="4" t="s">
        <v>62</v>
      </c>
      <c r="L417" s="4" t="s">
        <v>339</v>
      </c>
      <c r="M417" s="4" t="s">
        <v>1034</v>
      </c>
      <c r="N417" s="4" t="s">
        <v>232</v>
      </c>
      <c r="O417" s="4" t="s">
        <v>1037</v>
      </c>
      <c r="P417" s="4" t="s">
        <v>1038</v>
      </c>
    </row>
    <row r="418" spans="1:16" ht="15.6" x14ac:dyDescent="0.3">
      <c r="A418" s="2">
        <v>1181764</v>
      </c>
      <c r="B418" s="2" t="s">
        <v>51</v>
      </c>
      <c r="C418" s="2" t="s">
        <v>26</v>
      </c>
      <c r="D418" s="2" t="str">
        <f t="shared" si="6"/>
        <v>IPL-2019</v>
      </c>
      <c r="E418" s="2">
        <f>YEAR('IPL Info'!$F418)</f>
        <v>2019</v>
      </c>
      <c r="F418" s="3">
        <v>43592</v>
      </c>
      <c r="G418" s="2" t="s">
        <v>51</v>
      </c>
      <c r="H418" s="2" t="s">
        <v>31</v>
      </c>
      <c r="I418" s="2" t="s">
        <v>19</v>
      </c>
      <c r="J418" s="2" t="s">
        <v>20</v>
      </c>
      <c r="K418" s="2" t="s">
        <v>26</v>
      </c>
      <c r="L418" s="2" t="s">
        <v>72</v>
      </c>
      <c r="M418" s="2" t="s">
        <v>1039</v>
      </c>
      <c r="N418" s="2" t="s">
        <v>126</v>
      </c>
      <c r="O418" s="2" t="s">
        <v>1040</v>
      </c>
      <c r="P418" s="2" t="s">
        <v>1041</v>
      </c>
    </row>
    <row r="419" spans="1:16" ht="15.6" x14ac:dyDescent="0.3">
      <c r="A419" s="4">
        <v>1178430</v>
      </c>
      <c r="B419" s="4" t="s">
        <v>51</v>
      </c>
      <c r="C419" s="4" t="s">
        <v>925</v>
      </c>
      <c r="D419" s="4" t="str">
        <f t="shared" si="6"/>
        <v>IPL-2019</v>
      </c>
      <c r="E419" s="4">
        <f>YEAR('IPL Info'!$F419)</f>
        <v>2019</v>
      </c>
      <c r="F419" s="5">
        <v>43590</v>
      </c>
      <c r="G419" s="4" t="s">
        <v>925</v>
      </c>
      <c r="H419" s="4" t="s">
        <v>18</v>
      </c>
      <c r="I419" s="4" t="s">
        <v>19</v>
      </c>
      <c r="J419" s="4" t="s">
        <v>20</v>
      </c>
      <c r="K419" s="4" t="s">
        <v>925</v>
      </c>
      <c r="L419" s="4" t="s">
        <v>196</v>
      </c>
      <c r="M419" s="4" t="s">
        <v>1042</v>
      </c>
      <c r="N419" s="4" t="s">
        <v>502</v>
      </c>
      <c r="O419" s="4" t="s">
        <v>1043</v>
      </c>
      <c r="P419" s="4" t="s">
        <v>1044</v>
      </c>
    </row>
    <row r="420" spans="1:16" ht="15.6" x14ac:dyDescent="0.3">
      <c r="A420" s="2">
        <v>1178431</v>
      </c>
      <c r="B420" s="2" t="s">
        <v>56</v>
      </c>
      <c r="C420" s="2" t="s">
        <v>26</v>
      </c>
      <c r="D420" s="2" t="str">
        <f t="shared" si="6"/>
        <v>IPL-2019</v>
      </c>
      <c r="E420" s="2">
        <f>YEAR('IPL Info'!$F420)</f>
        <v>2019</v>
      </c>
      <c r="F420" s="3">
        <v>43590</v>
      </c>
      <c r="G420" s="2" t="s">
        <v>26</v>
      </c>
      <c r="H420" s="2" t="s">
        <v>18</v>
      </c>
      <c r="I420" s="2" t="s">
        <v>19</v>
      </c>
      <c r="J420" s="2" t="s">
        <v>20</v>
      </c>
      <c r="K420" s="2" t="s">
        <v>26</v>
      </c>
      <c r="L420" s="2" t="s">
        <v>604</v>
      </c>
      <c r="M420" s="2" t="s">
        <v>1045</v>
      </c>
      <c r="N420" s="2" t="s">
        <v>74</v>
      </c>
      <c r="O420" s="2" t="s">
        <v>1046</v>
      </c>
      <c r="P420" s="2" t="s">
        <v>1047</v>
      </c>
    </row>
    <row r="421" spans="1:16" ht="15.6" x14ac:dyDescent="0.3">
      <c r="A421" s="4">
        <v>1178429</v>
      </c>
      <c r="B421" s="4" t="s">
        <v>55</v>
      </c>
      <c r="C421" s="4" t="s">
        <v>445</v>
      </c>
      <c r="D421" s="4" t="str">
        <f t="shared" si="6"/>
        <v>IPL-2019</v>
      </c>
      <c r="E421" s="4">
        <f>YEAR('IPL Info'!$F421)</f>
        <v>2019</v>
      </c>
      <c r="F421" s="5">
        <v>43589</v>
      </c>
      <c r="G421" s="4" t="s">
        <v>445</v>
      </c>
      <c r="H421" s="4" t="s">
        <v>18</v>
      </c>
      <c r="I421" s="4" t="s">
        <v>19</v>
      </c>
      <c r="J421" s="4" t="s">
        <v>20</v>
      </c>
      <c r="K421" s="4" t="s">
        <v>445</v>
      </c>
      <c r="L421" s="4" t="s">
        <v>370</v>
      </c>
      <c r="M421" s="4" t="s">
        <v>1048</v>
      </c>
      <c r="N421" s="4" t="s">
        <v>116</v>
      </c>
      <c r="O421" s="4" t="s">
        <v>1049</v>
      </c>
      <c r="P421" s="4" t="s">
        <v>1050</v>
      </c>
    </row>
    <row r="422" spans="1:16" ht="15.6" x14ac:dyDescent="0.3">
      <c r="A422" s="2">
        <v>1178428</v>
      </c>
      <c r="B422" s="2" t="s">
        <v>77</v>
      </c>
      <c r="C422" s="2" t="s">
        <v>62</v>
      </c>
      <c r="D422" s="2" t="str">
        <f t="shared" si="6"/>
        <v>IPL-2019</v>
      </c>
      <c r="E422" s="2">
        <f>YEAR('IPL Info'!$F422)</f>
        <v>2019</v>
      </c>
      <c r="F422" s="3">
        <v>43589</v>
      </c>
      <c r="G422" s="2" t="s">
        <v>77</v>
      </c>
      <c r="H422" s="2" t="s">
        <v>31</v>
      </c>
      <c r="I422" s="2" t="s">
        <v>19</v>
      </c>
      <c r="J422" s="2" t="s">
        <v>20</v>
      </c>
      <c r="K422" s="2" t="s">
        <v>62</v>
      </c>
      <c r="L422" s="2" t="s">
        <v>882</v>
      </c>
      <c r="M422" s="2" t="s">
        <v>1051</v>
      </c>
      <c r="N422" s="2" t="s">
        <v>59</v>
      </c>
      <c r="O422" s="2" t="s">
        <v>1052</v>
      </c>
      <c r="P422" s="2" t="s">
        <v>1053</v>
      </c>
    </row>
    <row r="423" spans="1:16" ht="15.6" x14ac:dyDescent="0.3">
      <c r="A423" s="4">
        <v>1178427</v>
      </c>
      <c r="B423" s="4" t="s">
        <v>925</v>
      </c>
      <c r="C423" s="4" t="s">
        <v>56</v>
      </c>
      <c r="D423" s="4" t="str">
        <f t="shared" si="6"/>
        <v>IPL-2019</v>
      </c>
      <c r="E423" s="4">
        <f>YEAR('IPL Info'!$F423)</f>
        <v>2019</v>
      </c>
      <c r="F423" s="5">
        <v>43588</v>
      </c>
      <c r="G423" s="4" t="s">
        <v>56</v>
      </c>
      <c r="H423" s="4" t="s">
        <v>18</v>
      </c>
      <c r="I423" s="4" t="s">
        <v>19</v>
      </c>
      <c r="J423" s="4" t="s">
        <v>20</v>
      </c>
      <c r="K423" s="4" t="s">
        <v>56</v>
      </c>
      <c r="L423" s="4" t="s">
        <v>101</v>
      </c>
      <c r="M423" s="4" t="s">
        <v>1042</v>
      </c>
      <c r="N423" s="4" t="s">
        <v>502</v>
      </c>
      <c r="O423" s="4" t="s">
        <v>1054</v>
      </c>
      <c r="P423" s="4" t="s">
        <v>1055</v>
      </c>
    </row>
    <row r="424" spans="1:16" ht="15.6" x14ac:dyDescent="0.3">
      <c r="A424" s="2">
        <v>1178426</v>
      </c>
      <c r="B424" s="2" t="s">
        <v>26</v>
      </c>
      <c r="C424" s="2" t="s">
        <v>55</v>
      </c>
      <c r="D424" s="2" t="str">
        <f t="shared" si="6"/>
        <v>IPL-2019</v>
      </c>
      <c r="E424" s="2">
        <f>YEAR('IPL Info'!$F424)</f>
        <v>2019</v>
      </c>
      <c r="F424" s="3">
        <v>43587</v>
      </c>
      <c r="G424" s="2" t="s">
        <v>26</v>
      </c>
      <c r="H424" s="2" t="s">
        <v>31</v>
      </c>
      <c r="I424" s="2" t="s">
        <v>173</v>
      </c>
      <c r="J424" s="2" t="s">
        <v>26</v>
      </c>
      <c r="K424" s="2" t="s">
        <v>20</v>
      </c>
      <c r="L424" s="2" t="s">
        <v>356</v>
      </c>
      <c r="M424" s="2" t="s">
        <v>1045</v>
      </c>
      <c r="N424" s="2" t="s">
        <v>74</v>
      </c>
      <c r="O424" s="2" t="s">
        <v>1056</v>
      </c>
      <c r="P424" s="2" t="s">
        <v>1057</v>
      </c>
    </row>
    <row r="425" spans="1:16" ht="15.6" x14ac:dyDescent="0.3">
      <c r="A425" s="4">
        <v>1178425</v>
      </c>
      <c r="B425" s="4" t="s">
        <v>51</v>
      </c>
      <c r="C425" s="4" t="s">
        <v>62</v>
      </c>
      <c r="D425" s="4" t="str">
        <f t="shared" si="6"/>
        <v>IPL-2019</v>
      </c>
      <c r="E425" s="4">
        <f>YEAR('IPL Info'!$F425)</f>
        <v>2019</v>
      </c>
      <c r="F425" s="5">
        <v>43586</v>
      </c>
      <c r="G425" s="4" t="s">
        <v>62</v>
      </c>
      <c r="H425" s="4" t="s">
        <v>18</v>
      </c>
      <c r="I425" s="4" t="s">
        <v>19</v>
      </c>
      <c r="J425" s="4" t="s">
        <v>20</v>
      </c>
      <c r="K425" s="4" t="s">
        <v>51</v>
      </c>
      <c r="L425" s="4" t="s">
        <v>180</v>
      </c>
      <c r="M425" s="4" t="s">
        <v>1039</v>
      </c>
      <c r="N425" s="4" t="s">
        <v>126</v>
      </c>
      <c r="O425" s="4" t="s">
        <v>1058</v>
      </c>
      <c r="P425" s="4" t="s">
        <v>1059</v>
      </c>
    </row>
    <row r="426" spans="1:16" ht="15.6" x14ac:dyDescent="0.3">
      <c r="A426" s="2">
        <v>1178424</v>
      </c>
      <c r="B426" s="2" t="s">
        <v>445</v>
      </c>
      <c r="C426" s="2" t="s">
        <v>77</v>
      </c>
      <c r="D426" s="2" t="str">
        <f t="shared" si="6"/>
        <v>IPL-2019</v>
      </c>
      <c r="E426" s="2">
        <f>YEAR('IPL Info'!$F426)</f>
        <v>2019</v>
      </c>
      <c r="F426" s="3">
        <v>43585</v>
      </c>
      <c r="G426" s="2" t="s">
        <v>77</v>
      </c>
      <c r="H426" s="2" t="s">
        <v>18</v>
      </c>
      <c r="I426" s="2" t="s">
        <v>90</v>
      </c>
      <c r="J426" s="2" t="s">
        <v>20</v>
      </c>
      <c r="K426" s="2" t="s">
        <v>20</v>
      </c>
      <c r="L426" s="2" t="s">
        <v>91</v>
      </c>
      <c r="M426" s="2" t="s">
        <v>1048</v>
      </c>
      <c r="N426" s="2" t="s">
        <v>116</v>
      </c>
      <c r="O426" s="2" t="s">
        <v>1060</v>
      </c>
      <c r="P426" s="2" t="s">
        <v>1061</v>
      </c>
    </row>
    <row r="427" spans="1:16" ht="15.6" x14ac:dyDescent="0.3">
      <c r="A427" s="4">
        <v>1178423</v>
      </c>
      <c r="B427" s="4" t="s">
        <v>55</v>
      </c>
      <c r="C427" s="4" t="s">
        <v>925</v>
      </c>
      <c r="D427" s="4" t="str">
        <f t="shared" si="6"/>
        <v>IPL-2019</v>
      </c>
      <c r="E427" s="4">
        <f>YEAR('IPL Info'!$F427)</f>
        <v>2019</v>
      </c>
      <c r="F427" s="5">
        <v>43584</v>
      </c>
      <c r="G427" s="4" t="s">
        <v>925</v>
      </c>
      <c r="H427" s="4" t="s">
        <v>18</v>
      </c>
      <c r="I427" s="4" t="s">
        <v>19</v>
      </c>
      <c r="J427" s="4" t="s">
        <v>20</v>
      </c>
      <c r="K427" s="4" t="s">
        <v>55</v>
      </c>
      <c r="L427" s="4" t="s">
        <v>658</v>
      </c>
      <c r="M427" s="4" t="s">
        <v>1031</v>
      </c>
      <c r="N427" s="4" t="s">
        <v>105</v>
      </c>
      <c r="O427" s="4" t="s">
        <v>1062</v>
      </c>
      <c r="P427" s="4" t="s">
        <v>1063</v>
      </c>
    </row>
    <row r="428" spans="1:16" ht="15.6" x14ac:dyDescent="0.3">
      <c r="A428" s="2">
        <v>1178422</v>
      </c>
      <c r="B428" s="2" t="s">
        <v>56</v>
      </c>
      <c r="C428" s="2" t="s">
        <v>26</v>
      </c>
      <c r="D428" s="2" t="str">
        <f t="shared" si="6"/>
        <v>IPL-2019</v>
      </c>
      <c r="E428" s="2">
        <f>YEAR('IPL Info'!$F428)</f>
        <v>2019</v>
      </c>
      <c r="F428" s="3">
        <v>43583</v>
      </c>
      <c r="G428" s="2" t="s">
        <v>26</v>
      </c>
      <c r="H428" s="2" t="s">
        <v>18</v>
      </c>
      <c r="I428" s="2" t="s">
        <v>19</v>
      </c>
      <c r="J428" s="2" t="s">
        <v>20</v>
      </c>
      <c r="K428" s="2" t="s">
        <v>56</v>
      </c>
      <c r="L428" s="2" t="s">
        <v>111</v>
      </c>
      <c r="M428" s="2" t="s">
        <v>1064</v>
      </c>
      <c r="N428" s="2" t="s">
        <v>98</v>
      </c>
      <c r="O428" s="2" t="s">
        <v>1065</v>
      </c>
      <c r="P428" s="2" t="s">
        <v>1066</v>
      </c>
    </row>
    <row r="429" spans="1:16" ht="15.6" x14ac:dyDescent="0.3">
      <c r="A429" s="4">
        <v>1178421</v>
      </c>
      <c r="B429" s="4" t="s">
        <v>62</v>
      </c>
      <c r="C429" s="4" t="s">
        <v>445</v>
      </c>
      <c r="D429" s="4" t="str">
        <f t="shared" si="6"/>
        <v>IPL-2019</v>
      </c>
      <c r="E429" s="4">
        <f>YEAR('IPL Info'!$F429)</f>
        <v>2019</v>
      </c>
      <c r="F429" s="5">
        <v>43583</v>
      </c>
      <c r="G429" s="4" t="s">
        <v>62</v>
      </c>
      <c r="H429" s="4" t="s">
        <v>31</v>
      </c>
      <c r="I429" s="4" t="s">
        <v>19</v>
      </c>
      <c r="J429" s="4" t="s">
        <v>20</v>
      </c>
      <c r="K429" s="4" t="s">
        <v>62</v>
      </c>
      <c r="L429" s="4" t="s">
        <v>571</v>
      </c>
      <c r="M429" s="4" t="s">
        <v>1051</v>
      </c>
      <c r="N429" s="4" t="s">
        <v>59</v>
      </c>
      <c r="O429" s="4" t="s">
        <v>1067</v>
      </c>
      <c r="P429" s="4" t="s">
        <v>1068</v>
      </c>
    </row>
    <row r="430" spans="1:16" ht="15.6" x14ac:dyDescent="0.3">
      <c r="A430" s="2">
        <v>1178420</v>
      </c>
      <c r="B430" s="2" t="s">
        <v>55</v>
      </c>
      <c r="C430" s="2" t="s">
        <v>77</v>
      </c>
      <c r="D430" s="2" t="str">
        <f t="shared" si="6"/>
        <v>IPL-2019</v>
      </c>
      <c r="E430" s="2">
        <f>YEAR('IPL Info'!$F430)</f>
        <v>2019</v>
      </c>
      <c r="F430" s="3">
        <v>43582</v>
      </c>
      <c r="G430" s="2" t="s">
        <v>77</v>
      </c>
      <c r="H430" s="2" t="s">
        <v>18</v>
      </c>
      <c r="I430" s="2" t="s">
        <v>19</v>
      </c>
      <c r="J430" s="2" t="s">
        <v>20</v>
      </c>
      <c r="K430" s="2" t="s">
        <v>77</v>
      </c>
      <c r="L430" s="2" t="s">
        <v>896</v>
      </c>
      <c r="M430" s="2" t="s">
        <v>1069</v>
      </c>
      <c r="N430" s="2" t="s">
        <v>48</v>
      </c>
      <c r="O430" s="2" t="s">
        <v>1070</v>
      </c>
      <c r="P430" s="2" t="s">
        <v>1071</v>
      </c>
    </row>
    <row r="431" spans="1:16" ht="15.6" x14ac:dyDescent="0.3">
      <c r="A431" s="4">
        <v>1178419</v>
      </c>
      <c r="B431" s="4" t="s">
        <v>26</v>
      </c>
      <c r="C431" s="4" t="s">
        <v>51</v>
      </c>
      <c r="D431" s="4" t="str">
        <f t="shared" si="6"/>
        <v>IPL-2019</v>
      </c>
      <c r="E431" s="4">
        <f>YEAR('IPL Info'!$F431)</f>
        <v>2019</v>
      </c>
      <c r="F431" s="5">
        <v>43581</v>
      </c>
      <c r="G431" s="4" t="s">
        <v>51</v>
      </c>
      <c r="H431" s="4" t="s">
        <v>18</v>
      </c>
      <c r="I431" s="4" t="s">
        <v>19</v>
      </c>
      <c r="J431" s="4" t="s">
        <v>20</v>
      </c>
      <c r="K431" s="4" t="s">
        <v>26</v>
      </c>
      <c r="L431" s="4" t="s">
        <v>32</v>
      </c>
      <c r="M431" s="4" t="s">
        <v>1039</v>
      </c>
      <c r="N431" s="4" t="s">
        <v>126</v>
      </c>
      <c r="O431" s="4" t="s">
        <v>1072</v>
      </c>
      <c r="P431" s="4" t="s">
        <v>1073</v>
      </c>
    </row>
    <row r="432" spans="1:16" ht="15.6" x14ac:dyDescent="0.3">
      <c r="A432" s="2">
        <v>1178418</v>
      </c>
      <c r="B432" s="2" t="s">
        <v>56</v>
      </c>
      <c r="C432" s="2" t="s">
        <v>77</v>
      </c>
      <c r="D432" s="2" t="str">
        <f t="shared" si="6"/>
        <v>IPL-2019</v>
      </c>
      <c r="E432" s="2">
        <f>YEAR('IPL Info'!$F432)</f>
        <v>2019</v>
      </c>
      <c r="F432" s="3">
        <v>43580</v>
      </c>
      <c r="G432" s="2" t="s">
        <v>77</v>
      </c>
      <c r="H432" s="2" t="s">
        <v>18</v>
      </c>
      <c r="I432" s="2" t="s">
        <v>19</v>
      </c>
      <c r="J432" s="2" t="s">
        <v>20</v>
      </c>
      <c r="K432" s="2" t="s">
        <v>77</v>
      </c>
      <c r="L432" s="2" t="s">
        <v>1074</v>
      </c>
      <c r="M432" s="2" t="s">
        <v>1064</v>
      </c>
      <c r="N432" s="2" t="s">
        <v>98</v>
      </c>
      <c r="O432" s="2" t="s">
        <v>1075</v>
      </c>
      <c r="P432" s="2" t="s">
        <v>1076</v>
      </c>
    </row>
    <row r="433" spans="1:16" ht="15.6" x14ac:dyDescent="0.3">
      <c r="A433" s="4">
        <v>1178417</v>
      </c>
      <c r="B433" s="4" t="s">
        <v>445</v>
      </c>
      <c r="C433" s="4" t="s">
        <v>925</v>
      </c>
      <c r="D433" s="4" t="str">
        <f t="shared" si="6"/>
        <v>IPL-2019</v>
      </c>
      <c r="E433" s="4">
        <f>YEAR('IPL Info'!$F433)</f>
        <v>2019</v>
      </c>
      <c r="F433" s="5">
        <v>43579</v>
      </c>
      <c r="G433" s="4" t="s">
        <v>925</v>
      </c>
      <c r="H433" s="4" t="s">
        <v>18</v>
      </c>
      <c r="I433" s="4" t="s">
        <v>19</v>
      </c>
      <c r="J433" s="4" t="s">
        <v>20</v>
      </c>
      <c r="K433" s="4" t="s">
        <v>445</v>
      </c>
      <c r="L433" s="4" t="s">
        <v>861</v>
      </c>
      <c r="M433" s="4" t="s">
        <v>1048</v>
      </c>
      <c r="N433" s="4" t="s">
        <v>116</v>
      </c>
      <c r="O433" s="4" t="s">
        <v>1077</v>
      </c>
      <c r="P433" s="4" t="s">
        <v>1078</v>
      </c>
    </row>
    <row r="434" spans="1:16" ht="15.6" x14ac:dyDescent="0.3">
      <c r="A434" s="2">
        <v>1178416</v>
      </c>
      <c r="B434" s="2" t="s">
        <v>55</v>
      </c>
      <c r="C434" s="2" t="s">
        <v>51</v>
      </c>
      <c r="D434" s="2" t="str">
        <f t="shared" si="6"/>
        <v>IPL-2019</v>
      </c>
      <c r="E434" s="2">
        <f>YEAR('IPL Info'!$F434)</f>
        <v>2019</v>
      </c>
      <c r="F434" s="3">
        <v>43578</v>
      </c>
      <c r="G434" s="2" t="s">
        <v>51</v>
      </c>
      <c r="H434" s="2" t="s">
        <v>18</v>
      </c>
      <c r="I434" s="2" t="s">
        <v>19</v>
      </c>
      <c r="J434" s="2" t="s">
        <v>20</v>
      </c>
      <c r="K434" s="2" t="s">
        <v>51</v>
      </c>
      <c r="L434" s="2" t="s">
        <v>996</v>
      </c>
      <c r="M434" s="2" t="s">
        <v>1039</v>
      </c>
      <c r="N434" s="2" t="s">
        <v>126</v>
      </c>
      <c r="O434" s="2" t="s">
        <v>1079</v>
      </c>
      <c r="P434" s="2" t="s">
        <v>1080</v>
      </c>
    </row>
    <row r="435" spans="1:16" ht="15.6" x14ac:dyDescent="0.3">
      <c r="A435" s="4">
        <v>1178415</v>
      </c>
      <c r="B435" s="4" t="s">
        <v>77</v>
      </c>
      <c r="C435" s="4" t="s">
        <v>62</v>
      </c>
      <c r="D435" s="4" t="str">
        <f t="shared" si="6"/>
        <v>IPL-2019</v>
      </c>
      <c r="E435" s="4">
        <f>YEAR('IPL Info'!$F435)</f>
        <v>2019</v>
      </c>
      <c r="F435" s="5">
        <v>43577</v>
      </c>
      <c r="G435" s="4" t="s">
        <v>62</v>
      </c>
      <c r="H435" s="4" t="s">
        <v>18</v>
      </c>
      <c r="I435" s="4" t="s">
        <v>19</v>
      </c>
      <c r="J435" s="4" t="s">
        <v>20</v>
      </c>
      <c r="K435" s="4" t="s">
        <v>62</v>
      </c>
      <c r="L435" s="4" t="s">
        <v>339</v>
      </c>
      <c r="M435" s="4" t="s">
        <v>1069</v>
      </c>
      <c r="N435" s="4" t="s">
        <v>48</v>
      </c>
      <c r="O435" s="4" t="s">
        <v>1081</v>
      </c>
      <c r="P435" s="4" t="s">
        <v>1082</v>
      </c>
    </row>
    <row r="436" spans="1:16" ht="15.6" x14ac:dyDescent="0.3">
      <c r="A436" s="2">
        <v>1178414</v>
      </c>
      <c r="B436" s="2" t="s">
        <v>445</v>
      </c>
      <c r="C436" s="2" t="s">
        <v>51</v>
      </c>
      <c r="D436" s="2" t="str">
        <f t="shared" si="6"/>
        <v>IPL-2019</v>
      </c>
      <c r="E436" s="2">
        <f>YEAR('IPL Info'!$F436)</f>
        <v>2019</v>
      </c>
      <c r="F436" s="3">
        <v>43576</v>
      </c>
      <c r="G436" s="2" t="s">
        <v>51</v>
      </c>
      <c r="H436" s="2" t="s">
        <v>18</v>
      </c>
      <c r="I436" s="2" t="s">
        <v>19</v>
      </c>
      <c r="J436" s="2" t="s">
        <v>20</v>
      </c>
      <c r="K436" s="2" t="s">
        <v>445</v>
      </c>
      <c r="L436" s="2" t="s">
        <v>1083</v>
      </c>
      <c r="M436" s="2" t="s">
        <v>1048</v>
      </c>
      <c r="N436" s="2" t="s">
        <v>116</v>
      </c>
      <c r="O436" s="2" t="s">
        <v>1084</v>
      </c>
      <c r="P436" s="2" t="s">
        <v>1085</v>
      </c>
    </row>
    <row r="437" spans="1:16" ht="15.6" x14ac:dyDescent="0.3">
      <c r="A437" s="4">
        <v>1178413</v>
      </c>
      <c r="B437" s="4" t="s">
        <v>56</v>
      </c>
      <c r="C437" s="4" t="s">
        <v>55</v>
      </c>
      <c r="D437" s="4" t="str">
        <f t="shared" si="6"/>
        <v>IPL-2019</v>
      </c>
      <c r="E437" s="4">
        <f>YEAR('IPL Info'!$F437)</f>
        <v>2019</v>
      </c>
      <c r="F437" s="5">
        <v>43576</v>
      </c>
      <c r="G437" s="4" t="s">
        <v>55</v>
      </c>
      <c r="H437" s="4" t="s">
        <v>18</v>
      </c>
      <c r="I437" s="4" t="s">
        <v>19</v>
      </c>
      <c r="J437" s="4" t="s">
        <v>20</v>
      </c>
      <c r="K437" s="4" t="s">
        <v>55</v>
      </c>
      <c r="L437" s="4" t="s">
        <v>406</v>
      </c>
      <c r="M437" s="4" t="s">
        <v>1031</v>
      </c>
      <c r="N437" s="4" t="s">
        <v>105</v>
      </c>
      <c r="O437" s="4" t="s">
        <v>1086</v>
      </c>
      <c r="P437" s="4" t="s">
        <v>1087</v>
      </c>
    </row>
    <row r="438" spans="1:16" ht="15.6" x14ac:dyDescent="0.3">
      <c r="A438" s="2">
        <v>1178412</v>
      </c>
      <c r="B438" s="2" t="s">
        <v>925</v>
      </c>
      <c r="C438" s="2" t="s">
        <v>62</v>
      </c>
      <c r="D438" s="2" t="str">
        <f t="shared" si="6"/>
        <v>IPL-2019</v>
      </c>
      <c r="E438" s="2">
        <f>YEAR('IPL Info'!$F438)</f>
        <v>2019</v>
      </c>
      <c r="F438" s="3">
        <v>43575</v>
      </c>
      <c r="G438" s="2" t="s">
        <v>62</v>
      </c>
      <c r="H438" s="2" t="s">
        <v>18</v>
      </c>
      <c r="I438" s="2" t="s">
        <v>19</v>
      </c>
      <c r="J438" s="2" t="s">
        <v>20</v>
      </c>
      <c r="K438" s="2" t="s">
        <v>62</v>
      </c>
      <c r="L438" s="2" t="s">
        <v>27</v>
      </c>
      <c r="M438" s="2" t="s">
        <v>1051</v>
      </c>
      <c r="N438" s="2" t="s">
        <v>59</v>
      </c>
      <c r="O438" s="2" t="s">
        <v>1088</v>
      </c>
      <c r="P438" s="2" t="s">
        <v>1089</v>
      </c>
    </row>
    <row r="439" spans="1:16" ht="15.6" x14ac:dyDescent="0.3">
      <c r="A439" s="4">
        <v>1178411</v>
      </c>
      <c r="B439" s="4" t="s">
        <v>26</v>
      </c>
      <c r="C439" s="4" t="s">
        <v>77</v>
      </c>
      <c r="D439" s="4" t="str">
        <f t="shared" si="6"/>
        <v>IPL-2019</v>
      </c>
      <c r="E439" s="4">
        <f>YEAR('IPL Info'!$F439)</f>
        <v>2019</v>
      </c>
      <c r="F439" s="5">
        <v>43575</v>
      </c>
      <c r="G439" s="4" t="s">
        <v>77</v>
      </c>
      <c r="H439" s="4" t="s">
        <v>18</v>
      </c>
      <c r="I439" s="4" t="s">
        <v>19</v>
      </c>
      <c r="J439" s="4" t="s">
        <v>20</v>
      </c>
      <c r="K439" s="4" t="s">
        <v>77</v>
      </c>
      <c r="L439" s="4" t="s">
        <v>1090</v>
      </c>
      <c r="M439" s="4" t="s">
        <v>1069</v>
      </c>
      <c r="N439" s="4" t="s">
        <v>48</v>
      </c>
      <c r="O439" s="4" t="s">
        <v>1091</v>
      </c>
      <c r="P439" s="4" t="s">
        <v>1092</v>
      </c>
    </row>
    <row r="440" spans="1:16" ht="15.6" x14ac:dyDescent="0.3">
      <c r="A440" s="2">
        <v>1178410</v>
      </c>
      <c r="B440" s="2" t="s">
        <v>445</v>
      </c>
      <c r="C440" s="2" t="s">
        <v>56</v>
      </c>
      <c r="D440" s="2" t="str">
        <f t="shared" si="6"/>
        <v>IPL-2019</v>
      </c>
      <c r="E440" s="2">
        <f>YEAR('IPL Info'!$F440)</f>
        <v>2019</v>
      </c>
      <c r="F440" s="3">
        <v>43574</v>
      </c>
      <c r="G440" s="2" t="s">
        <v>56</v>
      </c>
      <c r="H440" s="2" t="s">
        <v>18</v>
      </c>
      <c r="I440" s="2" t="s">
        <v>19</v>
      </c>
      <c r="J440" s="2" t="s">
        <v>20</v>
      </c>
      <c r="K440" s="2" t="s">
        <v>445</v>
      </c>
      <c r="L440" s="2" t="s">
        <v>158</v>
      </c>
      <c r="M440" s="2" t="s">
        <v>1064</v>
      </c>
      <c r="N440" s="2" t="s">
        <v>98</v>
      </c>
      <c r="O440" s="2" t="s">
        <v>1093</v>
      </c>
      <c r="P440" s="2" t="s">
        <v>1094</v>
      </c>
    </row>
    <row r="441" spans="1:16" ht="15.6" x14ac:dyDescent="0.3">
      <c r="A441" s="4">
        <v>1178409</v>
      </c>
      <c r="B441" s="4" t="s">
        <v>26</v>
      </c>
      <c r="C441" s="4" t="s">
        <v>62</v>
      </c>
      <c r="D441" s="4" t="str">
        <f t="shared" si="6"/>
        <v>IPL-2019</v>
      </c>
      <c r="E441" s="4">
        <f>YEAR('IPL Info'!$F441)</f>
        <v>2019</v>
      </c>
      <c r="F441" s="5">
        <v>43573</v>
      </c>
      <c r="G441" s="4" t="s">
        <v>26</v>
      </c>
      <c r="H441" s="4" t="s">
        <v>31</v>
      </c>
      <c r="I441" s="4" t="s">
        <v>19</v>
      </c>
      <c r="J441" s="4" t="s">
        <v>20</v>
      </c>
      <c r="K441" s="4" t="s">
        <v>26</v>
      </c>
      <c r="L441" s="4" t="s">
        <v>604</v>
      </c>
      <c r="M441" s="4" t="s">
        <v>1051</v>
      </c>
      <c r="N441" s="4" t="s">
        <v>59</v>
      </c>
      <c r="O441" s="4" t="s">
        <v>1095</v>
      </c>
      <c r="P441" s="4" t="s">
        <v>1096</v>
      </c>
    </row>
    <row r="442" spans="1:16" ht="15.6" x14ac:dyDescent="0.3">
      <c r="A442" s="2">
        <v>1178408</v>
      </c>
      <c r="B442" s="2" t="s">
        <v>51</v>
      </c>
      <c r="C442" s="2" t="s">
        <v>55</v>
      </c>
      <c r="D442" s="2" t="str">
        <f t="shared" si="6"/>
        <v>IPL-2019</v>
      </c>
      <c r="E442" s="2">
        <f>YEAR('IPL Info'!$F442)</f>
        <v>2019</v>
      </c>
      <c r="F442" s="3">
        <v>43572</v>
      </c>
      <c r="G442" s="2" t="s">
        <v>51</v>
      </c>
      <c r="H442" s="2" t="s">
        <v>31</v>
      </c>
      <c r="I442" s="2" t="s">
        <v>19</v>
      </c>
      <c r="J442" s="2" t="s">
        <v>20</v>
      </c>
      <c r="K442" s="2" t="s">
        <v>55</v>
      </c>
      <c r="L442" s="2" t="s">
        <v>658</v>
      </c>
      <c r="M442" s="2" t="s">
        <v>1031</v>
      </c>
      <c r="N442" s="2" t="s">
        <v>105</v>
      </c>
      <c r="O442" s="2" t="s">
        <v>1097</v>
      </c>
      <c r="P442" s="2" t="s">
        <v>1098</v>
      </c>
    </row>
    <row r="443" spans="1:16" ht="15.6" x14ac:dyDescent="0.3">
      <c r="A443" s="4">
        <v>1178407</v>
      </c>
      <c r="B443" s="4" t="s">
        <v>925</v>
      </c>
      <c r="C443" s="4" t="s">
        <v>77</v>
      </c>
      <c r="D443" s="4" t="str">
        <f t="shared" si="6"/>
        <v>IPL-2019</v>
      </c>
      <c r="E443" s="4">
        <f>YEAR('IPL Info'!$F443)</f>
        <v>2019</v>
      </c>
      <c r="F443" s="5">
        <v>43571</v>
      </c>
      <c r="G443" s="4" t="s">
        <v>77</v>
      </c>
      <c r="H443" s="4" t="s">
        <v>18</v>
      </c>
      <c r="I443" s="4" t="s">
        <v>19</v>
      </c>
      <c r="J443" s="4" t="s">
        <v>20</v>
      </c>
      <c r="K443" s="4" t="s">
        <v>925</v>
      </c>
      <c r="L443" s="4" t="s">
        <v>265</v>
      </c>
      <c r="M443" s="4" t="s">
        <v>1042</v>
      </c>
      <c r="N443" s="4" t="s">
        <v>502</v>
      </c>
      <c r="O443" s="4" t="s">
        <v>1099</v>
      </c>
      <c r="P443" s="4" t="s">
        <v>1100</v>
      </c>
    </row>
    <row r="444" spans="1:16" ht="15.6" x14ac:dyDescent="0.3">
      <c r="A444" s="2">
        <v>1178406</v>
      </c>
      <c r="B444" s="2" t="s">
        <v>445</v>
      </c>
      <c r="C444" s="2" t="s">
        <v>26</v>
      </c>
      <c r="D444" s="2" t="str">
        <f t="shared" si="6"/>
        <v>IPL-2019</v>
      </c>
      <c r="E444" s="2">
        <f>YEAR('IPL Info'!$F444)</f>
        <v>2019</v>
      </c>
      <c r="F444" s="3">
        <v>43570</v>
      </c>
      <c r="G444" s="2" t="s">
        <v>26</v>
      </c>
      <c r="H444" s="2" t="s">
        <v>18</v>
      </c>
      <c r="I444" s="2" t="s">
        <v>19</v>
      </c>
      <c r="J444" s="2" t="s">
        <v>20</v>
      </c>
      <c r="K444" s="2" t="s">
        <v>26</v>
      </c>
      <c r="L444" s="2" t="s">
        <v>1101</v>
      </c>
      <c r="M444" s="2" t="s">
        <v>1045</v>
      </c>
      <c r="N444" s="2" t="s">
        <v>74</v>
      </c>
      <c r="O444" s="2" t="s">
        <v>1102</v>
      </c>
      <c r="P444" s="2" t="s">
        <v>1103</v>
      </c>
    </row>
    <row r="445" spans="1:16" ht="15.6" x14ac:dyDescent="0.3">
      <c r="A445" s="4">
        <v>1178405</v>
      </c>
      <c r="B445" s="4" t="s">
        <v>62</v>
      </c>
      <c r="C445" s="4" t="s">
        <v>55</v>
      </c>
      <c r="D445" s="4" t="str">
        <f t="shared" si="6"/>
        <v>IPL-2019</v>
      </c>
      <c r="E445" s="4">
        <f>YEAR('IPL Info'!$F445)</f>
        <v>2019</v>
      </c>
      <c r="F445" s="5">
        <v>43569</v>
      </c>
      <c r="G445" s="4" t="s">
        <v>55</v>
      </c>
      <c r="H445" s="4" t="s">
        <v>18</v>
      </c>
      <c r="I445" s="4" t="s">
        <v>19</v>
      </c>
      <c r="J445" s="4" t="s">
        <v>20</v>
      </c>
      <c r="K445" s="4" t="s">
        <v>62</v>
      </c>
      <c r="L445" s="4" t="s">
        <v>1104</v>
      </c>
      <c r="M445" s="4" t="s">
        <v>1031</v>
      </c>
      <c r="N445" s="4" t="s">
        <v>105</v>
      </c>
      <c r="O445" s="4" t="s">
        <v>1105</v>
      </c>
      <c r="P445" s="4" t="s">
        <v>1106</v>
      </c>
    </row>
    <row r="446" spans="1:16" ht="15.6" x14ac:dyDescent="0.3">
      <c r="A446" s="2">
        <v>1178404</v>
      </c>
      <c r="B446" s="2" t="s">
        <v>56</v>
      </c>
      <c r="C446" s="2" t="s">
        <v>51</v>
      </c>
      <c r="D446" s="2" t="str">
        <f t="shared" si="6"/>
        <v>IPL-2019</v>
      </c>
      <c r="E446" s="2">
        <f>YEAR('IPL Info'!$F446)</f>
        <v>2019</v>
      </c>
      <c r="F446" s="3">
        <v>43569</v>
      </c>
      <c r="G446" s="2" t="s">
        <v>51</v>
      </c>
      <c r="H446" s="2" t="s">
        <v>18</v>
      </c>
      <c r="I446" s="2" t="s">
        <v>19</v>
      </c>
      <c r="J446" s="2" t="s">
        <v>20</v>
      </c>
      <c r="K446" s="2" t="s">
        <v>51</v>
      </c>
      <c r="L446" s="2" t="s">
        <v>1107</v>
      </c>
      <c r="M446" s="2" t="s">
        <v>1064</v>
      </c>
      <c r="N446" s="2" t="s">
        <v>98</v>
      </c>
      <c r="O446" s="2" t="s">
        <v>1108</v>
      </c>
      <c r="P446" s="2" t="s">
        <v>1109</v>
      </c>
    </row>
    <row r="447" spans="1:16" ht="15.6" x14ac:dyDescent="0.3">
      <c r="A447" s="4">
        <v>1178402</v>
      </c>
      <c r="B447" s="4" t="s">
        <v>26</v>
      </c>
      <c r="C447" s="4" t="s">
        <v>77</v>
      </c>
      <c r="D447" s="4" t="str">
        <f t="shared" si="6"/>
        <v>IPL-2019</v>
      </c>
      <c r="E447" s="4">
        <f>YEAR('IPL Info'!$F447)</f>
        <v>2019</v>
      </c>
      <c r="F447" s="5">
        <v>43568</v>
      </c>
      <c r="G447" s="4" t="s">
        <v>77</v>
      </c>
      <c r="H447" s="4" t="s">
        <v>18</v>
      </c>
      <c r="I447" s="4" t="s">
        <v>19</v>
      </c>
      <c r="J447" s="4" t="s">
        <v>20</v>
      </c>
      <c r="K447" s="4" t="s">
        <v>77</v>
      </c>
      <c r="L447" s="4" t="s">
        <v>165</v>
      </c>
      <c r="M447" s="4" t="s">
        <v>1045</v>
      </c>
      <c r="N447" s="4" t="s">
        <v>74</v>
      </c>
      <c r="O447" s="4" t="s">
        <v>1110</v>
      </c>
      <c r="P447" s="4" t="s">
        <v>1111</v>
      </c>
    </row>
    <row r="448" spans="1:16" ht="15.6" x14ac:dyDescent="0.3">
      <c r="A448" s="2">
        <v>1178403</v>
      </c>
      <c r="B448" s="2" t="s">
        <v>925</v>
      </c>
      <c r="C448" s="2" t="s">
        <v>445</v>
      </c>
      <c r="D448" s="2" t="str">
        <f t="shared" si="6"/>
        <v>IPL-2019</v>
      </c>
      <c r="E448" s="2">
        <f>YEAR('IPL Info'!$F448)</f>
        <v>2019</v>
      </c>
      <c r="F448" s="3">
        <v>43568</v>
      </c>
      <c r="G448" s="2" t="s">
        <v>445</v>
      </c>
      <c r="H448" s="2" t="s">
        <v>18</v>
      </c>
      <c r="I448" s="2" t="s">
        <v>19</v>
      </c>
      <c r="J448" s="2" t="s">
        <v>20</v>
      </c>
      <c r="K448" s="2" t="s">
        <v>445</v>
      </c>
      <c r="L448" s="2" t="s">
        <v>861</v>
      </c>
      <c r="M448" s="2" t="s">
        <v>1042</v>
      </c>
      <c r="N448" s="2" t="s">
        <v>502</v>
      </c>
      <c r="O448" s="2" t="s">
        <v>1112</v>
      </c>
      <c r="P448" s="2" t="s">
        <v>1113</v>
      </c>
    </row>
    <row r="449" spans="1:16" ht="15.6" x14ac:dyDescent="0.3">
      <c r="A449" s="4">
        <v>1178401</v>
      </c>
      <c r="B449" s="4" t="s">
        <v>56</v>
      </c>
      <c r="C449" s="4" t="s">
        <v>62</v>
      </c>
      <c r="D449" s="4" t="str">
        <f t="shared" si="6"/>
        <v>IPL-2019</v>
      </c>
      <c r="E449" s="4">
        <f>YEAR('IPL Info'!$F449)</f>
        <v>2019</v>
      </c>
      <c r="F449" s="5">
        <v>43567</v>
      </c>
      <c r="G449" s="4" t="s">
        <v>62</v>
      </c>
      <c r="H449" s="4" t="s">
        <v>18</v>
      </c>
      <c r="I449" s="4" t="s">
        <v>19</v>
      </c>
      <c r="J449" s="4" t="s">
        <v>20</v>
      </c>
      <c r="K449" s="4" t="s">
        <v>62</v>
      </c>
      <c r="L449" s="4" t="s">
        <v>571</v>
      </c>
      <c r="M449" s="4" t="s">
        <v>1064</v>
      </c>
      <c r="N449" s="4" t="s">
        <v>98</v>
      </c>
      <c r="O449" s="4" t="s">
        <v>1114</v>
      </c>
      <c r="P449" s="4" t="s">
        <v>1115</v>
      </c>
    </row>
    <row r="450" spans="1:16" ht="15.6" x14ac:dyDescent="0.3">
      <c r="A450" s="2">
        <v>1178400</v>
      </c>
      <c r="B450" s="2" t="s">
        <v>77</v>
      </c>
      <c r="C450" s="2" t="s">
        <v>51</v>
      </c>
      <c r="D450" s="2" t="str">
        <f t="shared" si="6"/>
        <v>IPL-2019</v>
      </c>
      <c r="E450" s="2">
        <f>YEAR('IPL Info'!$F450)</f>
        <v>2019</v>
      </c>
      <c r="F450" s="3">
        <v>43566</v>
      </c>
      <c r="G450" s="2" t="s">
        <v>51</v>
      </c>
      <c r="H450" s="2" t="s">
        <v>18</v>
      </c>
      <c r="I450" s="2" t="s">
        <v>19</v>
      </c>
      <c r="J450" s="2" t="s">
        <v>20</v>
      </c>
      <c r="K450" s="2" t="s">
        <v>51</v>
      </c>
      <c r="L450" s="2" t="s">
        <v>180</v>
      </c>
      <c r="M450" s="2" t="s">
        <v>1069</v>
      </c>
      <c r="N450" s="2" t="s">
        <v>48</v>
      </c>
      <c r="O450" s="2" t="s">
        <v>1116</v>
      </c>
      <c r="P450" s="2" t="s">
        <v>1117</v>
      </c>
    </row>
    <row r="451" spans="1:16" ht="15.6" x14ac:dyDescent="0.3">
      <c r="A451" s="4">
        <v>1178399</v>
      </c>
      <c r="B451" s="4" t="s">
        <v>925</v>
      </c>
      <c r="C451" s="4" t="s">
        <v>26</v>
      </c>
      <c r="D451" s="4" t="str">
        <f t="shared" ref="D451:D514" si="7">_xlfn.SINGLE(_xlfn.CONCAT("IPL-",E451))</f>
        <v>IPL-2019</v>
      </c>
      <c r="E451" s="4">
        <f>YEAR('IPL Info'!$F451)</f>
        <v>2019</v>
      </c>
      <c r="F451" s="5">
        <v>43565</v>
      </c>
      <c r="G451" s="4" t="s">
        <v>26</v>
      </c>
      <c r="H451" s="4" t="s">
        <v>18</v>
      </c>
      <c r="I451" s="4" t="s">
        <v>19</v>
      </c>
      <c r="J451" s="4" t="s">
        <v>20</v>
      </c>
      <c r="K451" s="4" t="s">
        <v>26</v>
      </c>
      <c r="L451" s="4" t="s">
        <v>819</v>
      </c>
      <c r="M451" s="4" t="s">
        <v>1045</v>
      </c>
      <c r="N451" s="4" t="s">
        <v>74</v>
      </c>
      <c r="O451" s="4" t="s">
        <v>1118</v>
      </c>
      <c r="P451" s="4" t="s">
        <v>1119</v>
      </c>
    </row>
    <row r="452" spans="1:16" ht="15.6" x14ac:dyDescent="0.3">
      <c r="A452" s="2">
        <v>1178398</v>
      </c>
      <c r="B452" s="2" t="s">
        <v>56</v>
      </c>
      <c r="C452" s="2" t="s">
        <v>51</v>
      </c>
      <c r="D452" s="2" t="str">
        <f t="shared" si="7"/>
        <v>IPL-2019</v>
      </c>
      <c r="E452" s="2">
        <f>YEAR('IPL Info'!$F452)</f>
        <v>2019</v>
      </c>
      <c r="F452" s="3">
        <v>43564</v>
      </c>
      <c r="G452" s="2" t="s">
        <v>51</v>
      </c>
      <c r="H452" s="2" t="s">
        <v>18</v>
      </c>
      <c r="I452" s="2" t="s">
        <v>19</v>
      </c>
      <c r="J452" s="2" t="s">
        <v>20</v>
      </c>
      <c r="K452" s="2" t="s">
        <v>51</v>
      </c>
      <c r="L452" s="2" t="s">
        <v>893</v>
      </c>
      <c r="M452" s="2" t="s">
        <v>1039</v>
      </c>
      <c r="N452" s="2" t="s">
        <v>126</v>
      </c>
      <c r="O452" s="2" t="s">
        <v>1120</v>
      </c>
      <c r="P452" s="2" t="s">
        <v>1121</v>
      </c>
    </row>
    <row r="453" spans="1:16" ht="15.6" x14ac:dyDescent="0.3">
      <c r="A453" s="4">
        <v>1178397</v>
      </c>
      <c r="B453" s="4" t="s">
        <v>55</v>
      </c>
      <c r="C453" s="4" t="s">
        <v>925</v>
      </c>
      <c r="D453" s="4" t="str">
        <f t="shared" si="7"/>
        <v>IPL-2019</v>
      </c>
      <c r="E453" s="4">
        <f>YEAR('IPL Info'!$F453)</f>
        <v>2019</v>
      </c>
      <c r="F453" s="5">
        <v>43563</v>
      </c>
      <c r="G453" s="4" t="s">
        <v>925</v>
      </c>
      <c r="H453" s="4" t="s">
        <v>18</v>
      </c>
      <c r="I453" s="4" t="s">
        <v>19</v>
      </c>
      <c r="J453" s="4" t="s">
        <v>20</v>
      </c>
      <c r="K453" s="4" t="s">
        <v>925</v>
      </c>
      <c r="L453" s="4" t="s">
        <v>196</v>
      </c>
      <c r="M453" s="4" t="s">
        <v>1042</v>
      </c>
      <c r="N453" s="4" t="s">
        <v>502</v>
      </c>
      <c r="O453" s="4" t="s">
        <v>1122</v>
      </c>
      <c r="P453" s="4" t="s">
        <v>1123</v>
      </c>
    </row>
    <row r="454" spans="1:16" ht="15.6" x14ac:dyDescent="0.3">
      <c r="A454" s="2">
        <v>1178395</v>
      </c>
      <c r="B454" s="2" t="s">
        <v>445</v>
      </c>
      <c r="C454" s="2" t="s">
        <v>62</v>
      </c>
      <c r="D454" s="2" t="str">
        <f t="shared" si="7"/>
        <v>IPL-2019</v>
      </c>
      <c r="E454" s="2">
        <f>YEAR('IPL Info'!$F454)</f>
        <v>2019</v>
      </c>
      <c r="F454" s="3">
        <v>43562</v>
      </c>
      <c r="G454" s="2" t="s">
        <v>62</v>
      </c>
      <c r="H454" s="2" t="s">
        <v>18</v>
      </c>
      <c r="I454" s="2" t="s">
        <v>19</v>
      </c>
      <c r="J454" s="2" t="s">
        <v>20</v>
      </c>
      <c r="K454" s="2" t="s">
        <v>62</v>
      </c>
      <c r="L454" s="2" t="s">
        <v>663</v>
      </c>
      <c r="M454" s="2" t="s">
        <v>1048</v>
      </c>
      <c r="N454" s="2" t="s">
        <v>116</v>
      </c>
      <c r="O454" s="2" t="s">
        <v>1124</v>
      </c>
      <c r="P454" s="2" t="s">
        <v>1125</v>
      </c>
    </row>
    <row r="455" spans="1:16" ht="15.6" x14ac:dyDescent="0.3">
      <c r="A455" s="4">
        <v>1178396</v>
      </c>
      <c r="B455" s="4" t="s">
        <v>77</v>
      </c>
      <c r="C455" s="4" t="s">
        <v>56</v>
      </c>
      <c r="D455" s="4" t="str">
        <f t="shared" si="7"/>
        <v>IPL-2019</v>
      </c>
      <c r="E455" s="4">
        <f>YEAR('IPL Info'!$F455)</f>
        <v>2019</v>
      </c>
      <c r="F455" s="5">
        <v>43562</v>
      </c>
      <c r="G455" s="4" t="s">
        <v>56</v>
      </c>
      <c r="H455" s="4" t="s">
        <v>18</v>
      </c>
      <c r="I455" s="4" t="s">
        <v>19</v>
      </c>
      <c r="J455" s="4" t="s">
        <v>20</v>
      </c>
      <c r="K455" s="4" t="s">
        <v>56</v>
      </c>
      <c r="L455" s="4" t="s">
        <v>1126</v>
      </c>
      <c r="M455" s="4" t="s">
        <v>1069</v>
      </c>
      <c r="N455" s="4" t="s">
        <v>48</v>
      </c>
      <c r="O455" s="4" t="s">
        <v>1127</v>
      </c>
      <c r="P455" s="4" t="s">
        <v>1128</v>
      </c>
    </row>
    <row r="456" spans="1:16" ht="15.6" x14ac:dyDescent="0.3">
      <c r="A456" s="2">
        <v>1178393</v>
      </c>
      <c r="B456" s="2" t="s">
        <v>51</v>
      </c>
      <c r="C456" s="2" t="s">
        <v>925</v>
      </c>
      <c r="D456" s="2" t="str">
        <f t="shared" si="7"/>
        <v>IPL-2019</v>
      </c>
      <c r="E456" s="2">
        <f>YEAR('IPL Info'!$F456)</f>
        <v>2019</v>
      </c>
      <c r="F456" s="3">
        <v>43561</v>
      </c>
      <c r="G456" s="2" t="s">
        <v>51</v>
      </c>
      <c r="H456" s="2" t="s">
        <v>31</v>
      </c>
      <c r="I456" s="2" t="s">
        <v>19</v>
      </c>
      <c r="J456" s="2" t="s">
        <v>20</v>
      </c>
      <c r="K456" s="2" t="s">
        <v>51</v>
      </c>
      <c r="L456" s="2" t="s">
        <v>1129</v>
      </c>
      <c r="M456" s="2" t="s">
        <v>1039</v>
      </c>
      <c r="N456" s="2" t="s">
        <v>126</v>
      </c>
      <c r="O456" s="2" t="s">
        <v>1130</v>
      </c>
      <c r="P456" s="2" t="s">
        <v>1131</v>
      </c>
    </row>
    <row r="457" spans="1:16" ht="15.6" x14ac:dyDescent="0.3">
      <c r="A457" s="4">
        <v>1178394</v>
      </c>
      <c r="B457" s="4" t="s">
        <v>26</v>
      </c>
      <c r="C457" s="4" t="s">
        <v>55</v>
      </c>
      <c r="D457" s="4" t="str">
        <f t="shared" si="7"/>
        <v>IPL-2019</v>
      </c>
      <c r="E457" s="4">
        <f>YEAR('IPL Info'!$F457)</f>
        <v>2019</v>
      </c>
      <c r="F457" s="5">
        <v>43561</v>
      </c>
      <c r="G457" s="4" t="s">
        <v>55</v>
      </c>
      <c r="H457" s="4" t="s">
        <v>18</v>
      </c>
      <c r="I457" s="4" t="s">
        <v>19</v>
      </c>
      <c r="J457" s="4" t="s">
        <v>20</v>
      </c>
      <c r="K457" s="4" t="s">
        <v>26</v>
      </c>
      <c r="L457" s="4" t="s">
        <v>1132</v>
      </c>
      <c r="M457" s="4" t="s">
        <v>1031</v>
      </c>
      <c r="N457" s="4" t="s">
        <v>105</v>
      </c>
      <c r="O457" s="4" t="s">
        <v>1133</v>
      </c>
      <c r="P457" s="4" t="s">
        <v>1134</v>
      </c>
    </row>
    <row r="458" spans="1:16" ht="15.6" x14ac:dyDescent="0.3">
      <c r="A458" s="2">
        <v>1175372</v>
      </c>
      <c r="B458" s="2" t="s">
        <v>445</v>
      </c>
      <c r="C458" s="2" t="s">
        <v>56</v>
      </c>
      <c r="D458" s="2" t="str">
        <f t="shared" si="7"/>
        <v>IPL-2019</v>
      </c>
      <c r="E458" s="2">
        <f>YEAR('IPL Info'!$F458)</f>
        <v>2019</v>
      </c>
      <c r="F458" s="3">
        <v>43560</v>
      </c>
      <c r="G458" s="2" t="s">
        <v>56</v>
      </c>
      <c r="H458" s="2" t="s">
        <v>18</v>
      </c>
      <c r="I458" s="2" t="s">
        <v>19</v>
      </c>
      <c r="J458" s="2" t="s">
        <v>20</v>
      </c>
      <c r="K458" s="2" t="s">
        <v>56</v>
      </c>
      <c r="L458" s="2" t="s">
        <v>111</v>
      </c>
      <c r="M458" s="2" t="s">
        <v>1048</v>
      </c>
      <c r="N458" s="2" t="s">
        <v>116</v>
      </c>
      <c r="O458" s="2" t="s">
        <v>1135</v>
      </c>
      <c r="P458" s="2" t="s">
        <v>1136</v>
      </c>
    </row>
    <row r="459" spans="1:16" ht="15.6" x14ac:dyDescent="0.3">
      <c r="A459" s="4">
        <v>1175371</v>
      </c>
      <c r="B459" s="4" t="s">
        <v>62</v>
      </c>
      <c r="C459" s="4" t="s">
        <v>55</v>
      </c>
      <c r="D459" s="4" t="str">
        <f t="shared" si="7"/>
        <v>IPL-2019</v>
      </c>
      <c r="E459" s="4">
        <f>YEAR('IPL Info'!$F459)</f>
        <v>2019</v>
      </c>
      <c r="F459" s="5">
        <v>43559</v>
      </c>
      <c r="G459" s="4" t="s">
        <v>55</v>
      </c>
      <c r="H459" s="4" t="s">
        <v>18</v>
      </c>
      <c r="I459" s="4" t="s">
        <v>19</v>
      </c>
      <c r="J459" s="4" t="s">
        <v>20</v>
      </c>
      <c r="K459" s="4" t="s">
        <v>55</v>
      </c>
      <c r="L459" s="4" t="s">
        <v>334</v>
      </c>
      <c r="M459" s="4" t="s">
        <v>1051</v>
      </c>
      <c r="N459" s="4" t="s">
        <v>59</v>
      </c>
      <c r="O459" s="4" t="s">
        <v>1137</v>
      </c>
      <c r="P459" s="4" t="s">
        <v>1138</v>
      </c>
    </row>
    <row r="460" spans="1:16" ht="15.6" x14ac:dyDescent="0.3">
      <c r="A460" s="2">
        <v>1175370</v>
      </c>
      <c r="B460" s="2" t="s">
        <v>26</v>
      </c>
      <c r="C460" s="2" t="s">
        <v>51</v>
      </c>
      <c r="D460" s="2" t="str">
        <f t="shared" si="7"/>
        <v>IPL-2019</v>
      </c>
      <c r="E460" s="2">
        <f>YEAR('IPL Info'!$F460)</f>
        <v>2019</v>
      </c>
      <c r="F460" s="3">
        <v>43558</v>
      </c>
      <c r="G460" s="2" t="s">
        <v>51</v>
      </c>
      <c r="H460" s="2" t="s">
        <v>18</v>
      </c>
      <c r="I460" s="2" t="s">
        <v>19</v>
      </c>
      <c r="J460" s="2" t="s">
        <v>20</v>
      </c>
      <c r="K460" s="2" t="s">
        <v>26</v>
      </c>
      <c r="L460" s="2" t="s">
        <v>604</v>
      </c>
      <c r="M460" s="2" t="s">
        <v>1045</v>
      </c>
      <c r="N460" s="2" t="s">
        <v>74</v>
      </c>
      <c r="O460" s="2" t="s">
        <v>1139</v>
      </c>
      <c r="P460" s="2" t="s">
        <v>1140</v>
      </c>
    </row>
    <row r="461" spans="1:16" ht="15.6" x14ac:dyDescent="0.3">
      <c r="A461" s="4">
        <v>1175369</v>
      </c>
      <c r="B461" s="4" t="s">
        <v>445</v>
      </c>
      <c r="C461" s="4" t="s">
        <v>77</v>
      </c>
      <c r="D461" s="4" t="str">
        <f t="shared" si="7"/>
        <v>IPL-2019</v>
      </c>
      <c r="E461" s="4">
        <f>YEAR('IPL Info'!$F461)</f>
        <v>2019</v>
      </c>
      <c r="F461" s="5">
        <v>43557</v>
      </c>
      <c r="G461" s="4" t="s">
        <v>77</v>
      </c>
      <c r="H461" s="4" t="s">
        <v>18</v>
      </c>
      <c r="I461" s="4" t="s">
        <v>19</v>
      </c>
      <c r="J461" s="4" t="s">
        <v>20</v>
      </c>
      <c r="K461" s="4" t="s">
        <v>77</v>
      </c>
      <c r="L461" s="4" t="s">
        <v>1141</v>
      </c>
      <c r="M461" s="4" t="s">
        <v>1069</v>
      </c>
      <c r="N461" s="4" t="s">
        <v>48</v>
      </c>
      <c r="O461" s="4" t="s">
        <v>1142</v>
      </c>
      <c r="P461" s="4" t="s">
        <v>1143</v>
      </c>
    </row>
    <row r="462" spans="1:16" ht="15.6" x14ac:dyDescent="0.3">
      <c r="A462" s="2">
        <v>1175368</v>
      </c>
      <c r="B462" s="2" t="s">
        <v>925</v>
      </c>
      <c r="C462" s="2" t="s">
        <v>62</v>
      </c>
      <c r="D462" s="2" t="str">
        <f t="shared" si="7"/>
        <v>IPL-2019</v>
      </c>
      <c r="E462" s="2">
        <f>YEAR('IPL Info'!$F462)</f>
        <v>2019</v>
      </c>
      <c r="F462" s="3">
        <v>43556</v>
      </c>
      <c r="G462" s="2" t="s">
        <v>62</v>
      </c>
      <c r="H462" s="2" t="s">
        <v>18</v>
      </c>
      <c r="I462" s="2" t="s">
        <v>19</v>
      </c>
      <c r="J462" s="2" t="s">
        <v>20</v>
      </c>
      <c r="K462" s="2" t="s">
        <v>925</v>
      </c>
      <c r="L462" s="2" t="s">
        <v>276</v>
      </c>
      <c r="M462" s="2" t="s">
        <v>1042</v>
      </c>
      <c r="N462" s="2" t="s">
        <v>502</v>
      </c>
      <c r="O462" s="2" t="s">
        <v>1144</v>
      </c>
      <c r="P462" s="2" t="s">
        <v>1145</v>
      </c>
    </row>
    <row r="463" spans="1:16" ht="15.6" x14ac:dyDescent="0.3">
      <c r="A463" s="4">
        <v>1175367</v>
      </c>
      <c r="B463" s="4" t="s">
        <v>51</v>
      </c>
      <c r="C463" s="4" t="s">
        <v>77</v>
      </c>
      <c r="D463" s="4" t="str">
        <f t="shared" si="7"/>
        <v>IPL-2019</v>
      </c>
      <c r="E463" s="4">
        <f>YEAR('IPL Info'!$F463)</f>
        <v>2019</v>
      </c>
      <c r="F463" s="5">
        <v>43555</v>
      </c>
      <c r="G463" s="4" t="s">
        <v>77</v>
      </c>
      <c r="H463" s="4" t="s">
        <v>18</v>
      </c>
      <c r="I463" s="4" t="s">
        <v>19</v>
      </c>
      <c r="J463" s="4" t="s">
        <v>20</v>
      </c>
      <c r="K463" s="4" t="s">
        <v>51</v>
      </c>
      <c r="L463" s="4" t="s">
        <v>180</v>
      </c>
      <c r="M463" s="4" t="s">
        <v>1039</v>
      </c>
      <c r="N463" s="4" t="s">
        <v>126</v>
      </c>
      <c r="O463" s="4" t="s">
        <v>1146</v>
      </c>
      <c r="P463" s="4" t="s">
        <v>1147</v>
      </c>
    </row>
    <row r="464" spans="1:16" ht="15.6" x14ac:dyDescent="0.3">
      <c r="A464" s="2">
        <v>1175366</v>
      </c>
      <c r="B464" s="2" t="s">
        <v>55</v>
      </c>
      <c r="C464" s="2" t="s">
        <v>445</v>
      </c>
      <c r="D464" s="2" t="str">
        <f t="shared" si="7"/>
        <v>IPL-2019</v>
      </c>
      <c r="E464" s="2">
        <f>YEAR('IPL Info'!$F464)</f>
        <v>2019</v>
      </c>
      <c r="F464" s="3">
        <v>43555</v>
      </c>
      <c r="G464" s="2" t="s">
        <v>445</v>
      </c>
      <c r="H464" s="2" t="s">
        <v>18</v>
      </c>
      <c r="I464" s="2" t="s">
        <v>19</v>
      </c>
      <c r="J464" s="2" t="s">
        <v>20</v>
      </c>
      <c r="K464" s="2" t="s">
        <v>55</v>
      </c>
      <c r="L464" s="2" t="s">
        <v>334</v>
      </c>
      <c r="M464" s="2" t="s">
        <v>1031</v>
      </c>
      <c r="N464" s="2" t="s">
        <v>105</v>
      </c>
      <c r="O464" s="2" t="s">
        <v>1148</v>
      </c>
      <c r="P464" s="2" t="s">
        <v>1149</v>
      </c>
    </row>
    <row r="465" spans="1:16" ht="15.6" x14ac:dyDescent="0.3">
      <c r="A465" s="4">
        <v>1175365</v>
      </c>
      <c r="B465" s="4" t="s">
        <v>56</v>
      </c>
      <c r="C465" s="4" t="s">
        <v>62</v>
      </c>
      <c r="D465" s="4" t="str">
        <f t="shared" si="7"/>
        <v>IPL-2019</v>
      </c>
      <c r="E465" s="4">
        <f>YEAR('IPL Info'!$F465)</f>
        <v>2019</v>
      </c>
      <c r="F465" s="5">
        <v>43554</v>
      </c>
      <c r="G465" s="4" t="s">
        <v>62</v>
      </c>
      <c r="H465" s="4" t="s">
        <v>18</v>
      </c>
      <c r="I465" s="4" t="s">
        <v>173</v>
      </c>
      <c r="J465" s="4" t="s">
        <v>62</v>
      </c>
      <c r="K465" s="4" t="s">
        <v>20</v>
      </c>
      <c r="L465" s="4" t="s">
        <v>854</v>
      </c>
      <c r="M465" s="4" t="s">
        <v>1051</v>
      </c>
      <c r="N465" s="4" t="s">
        <v>59</v>
      </c>
      <c r="O465" s="4" t="s">
        <v>1150</v>
      </c>
      <c r="P465" s="4" t="s">
        <v>1151</v>
      </c>
    </row>
    <row r="466" spans="1:16" ht="15.6" x14ac:dyDescent="0.3">
      <c r="A466" s="2">
        <v>1175364</v>
      </c>
      <c r="B466" s="2" t="s">
        <v>26</v>
      </c>
      <c r="C466" s="2" t="s">
        <v>925</v>
      </c>
      <c r="D466" s="2" t="str">
        <f t="shared" si="7"/>
        <v>IPL-2019</v>
      </c>
      <c r="E466" s="2">
        <f>YEAR('IPL Info'!$F466)</f>
        <v>2019</v>
      </c>
      <c r="F466" s="3">
        <v>43554</v>
      </c>
      <c r="G466" s="2" t="s">
        <v>925</v>
      </c>
      <c r="H466" s="2" t="s">
        <v>18</v>
      </c>
      <c r="I466" s="2" t="s">
        <v>19</v>
      </c>
      <c r="J466" s="2" t="s">
        <v>20</v>
      </c>
      <c r="K466" s="2" t="s">
        <v>925</v>
      </c>
      <c r="L466" s="2" t="s">
        <v>718</v>
      </c>
      <c r="M466" s="2" t="s">
        <v>1042</v>
      </c>
      <c r="N466" s="2" t="s">
        <v>502</v>
      </c>
      <c r="O466" s="2" t="s">
        <v>1152</v>
      </c>
      <c r="P466" s="2" t="s">
        <v>1153</v>
      </c>
    </row>
    <row r="467" spans="1:16" ht="15.6" x14ac:dyDescent="0.3">
      <c r="A467" s="4">
        <v>1175363</v>
      </c>
      <c r="B467" s="4" t="s">
        <v>77</v>
      </c>
      <c r="C467" s="4" t="s">
        <v>55</v>
      </c>
      <c r="D467" s="4" t="str">
        <f t="shared" si="7"/>
        <v>IPL-2019</v>
      </c>
      <c r="E467" s="4">
        <f>YEAR('IPL Info'!$F467)</f>
        <v>2019</v>
      </c>
      <c r="F467" s="5">
        <v>43553</v>
      </c>
      <c r="G467" s="4" t="s">
        <v>77</v>
      </c>
      <c r="H467" s="4" t="s">
        <v>31</v>
      </c>
      <c r="I467" s="4" t="s">
        <v>19</v>
      </c>
      <c r="J467" s="4" t="s">
        <v>20</v>
      </c>
      <c r="K467" s="4" t="s">
        <v>55</v>
      </c>
      <c r="L467" s="4" t="s">
        <v>377</v>
      </c>
      <c r="M467" s="4" t="s">
        <v>1031</v>
      </c>
      <c r="N467" s="4" t="s">
        <v>105</v>
      </c>
      <c r="O467" s="4" t="s">
        <v>1154</v>
      </c>
      <c r="P467" s="4" t="s">
        <v>1155</v>
      </c>
    </row>
    <row r="468" spans="1:16" ht="15.6" x14ac:dyDescent="0.3">
      <c r="A468" s="2">
        <v>1175362</v>
      </c>
      <c r="B468" s="2" t="s">
        <v>26</v>
      </c>
      <c r="C468" s="2" t="s">
        <v>445</v>
      </c>
      <c r="D468" s="2" t="str">
        <f t="shared" si="7"/>
        <v>IPL-2019</v>
      </c>
      <c r="E468" s="2">
        <f>YEAR('IPL Info'!$F468)</f>
        <v>2019</v>
      </c>
      <c r="F468" s="3">
        <v>43552</v>
      </c>
      <c r="G468" s="2" t="s">
        <v>445</v>
      </c>
      <c r="H468" s="2" t="s">
        <v>18</v>
      </c>
      <c r="I468" s="2" t="s">
        <v>19</v>
      </c>
      <c r="J468" s="2" t="s">
        <v>20</v>
      </c>
      <c r="K468" s="2" t="s">
        <v>26</v>
      </c>
      <c r="L468" s="2" t="s">
        <v>356</v>
      </c>
      <c r="M468" s="2" t="s">
        <v>1048</v>
      </c>
      <c r="N468" s="2" t="s">
        <v>116</v>
      </c>
      <c r="O468" s="2" t="s">
        <v>1156</v>
      </c>
      <c r="P468" s="2" t="s">
        <v>1157</v>
      </c>
    </row>
    <row r="469" spans="1:16" ht="15.6" x14ac:dyDescent="0.3">
      <c r="A469" s="4">
        <v>1175361</v>
      </c>
      <c r="B469" s="4" t="s">
        <v>56</v>
      </c>
      <c r="C469" s="4" t="s">
        <v>925</v>
      </c>
      <c r="D469" s="4" t="str">
        <f t="shared" si="7"/>
        <v>IPL-2019</v>
      </c>
      <c r="E469" s="4">
        <f>YEAR('IPL Info'!$F469)</f>
        <v>2019</v>
      </c>
      <c r="F469" s="5">
        <v>43551</v>
      </c>
      <c r="G469" s="4" t="s">
        <v>925</v>
      </c>
      <c r="H469" s="4" t="s">
        <v>18</v>
      </c>
      <c r="I469" s="4" t="s">
        <v>19</v>
      </c>
      <c r="J469" s="4" t="s">
        <v>20</v>
      </c>
      <c r="K469" s="4" t="s">
        <v>56</v>
      </c>
      <c r="L469" s="4" t="s">
        <v>111</v>
      </c>
      <c r="M469" s="4" t="s">
        <v>1064</v>
      </c>
      <c r="N469" s="4" t="s">
        <v>98</v>
      </c>
      <c r="O469" s="4" t="s">
        <v>1158</v>
      </c>
      <c r="P469" s="4" t="s">
        <v>1159</v>
      </c>
    </row>
    <row r="470" spans="1:16" ht="15.6" x14ac:dyDescent="0.3">
      <c r="A470" s="2">
        <v>1175360</v>
      </c>
      <c r="B470" s="2" t="s">
        <v>62</v>
      </c>
      <c r="C470" s="2" t="s">
        <v>51</v>
      </c>
      <c r="D470" s="2" t="str">
        <f t="shared" si="7"/>
        <v>IPL-2019</v>
      </c>
      <c r="E470" s="2">
        <f>YEAR('IPL Info'!$F470)</f>
        <v>2019</v>
      </c>
      <c r="F470" s="3">
        <v>43550</v>
      </c>
      <c r="G470" s="2" t="s">
        <v>62</v>
      </c>
      <c r="H470" s="2" t="s">
        <v>31</v>
      </c>
      <c r="I470" s="2" t="s">
        <v>19</v>
      </c>
      <c r="J470" s="2" t="s">
        <v>20</v>
      </c>
      <c r="K470" s="2" t="s">
        <v>51</v>
      </c>
      <c r="L470" s="2" t="s">
        <v>996</v>
      </c>
      <c r="M470" s="2" t="s">
        <v>1051</v>
      </c>
      <c r="N470" s="2" t="s">
        <v>59</v>
      </c>
      <c r="O470" s="2" t="s">
        <v>1160</v>
      </c>
      <c r="P470" s="2" t="s">
        <v>1161</v>
      </c>
    </row>
    <row r="471" spans="1:16" ht="15.6" x14ac:dyDescent="0.3">
      <c r="A471" s="4">
        <v>1175359</v>
      </c>
      <c r="B471" s="4" t="s">
        <v>925</v>
      </c>
      <c r="C471" s="4" t="s">
        <v>77</v>
      </c>
      <c r="D471" s="4" t="str">
        <f t="shared" si="7"/>
        <v>IPL-2019</v>
      </c>
      <c r="E471" s="4">
        <f>YEAR('IPL Info'!$F471)</f>
        <v>2019</v>
      </c>
      <c r="F471" s="5">
        <v>43549</v>
      </c>
      <c r="G471" s="4" t="s">
        <v>77</v>
      </c>
      <c r="H471" s="4" t="s">
        <v>18</v>
      </c>
      <c r="I471" s="4" t="s">
        <v>19</v>
      </c>
      <c r="J471" s="4" t="s">
        <v>20</v>
      </c>
      <c r="K471" s="4" t="s">
        <v>925</v>
      </c>
      <c r="L471" s="4" t="s">
        <v>941</v>
      </c>
      <c r="M471" s="4" t="s">
        <v>1069</v>
      </c>
      <c r="N471" s="4" t="s">
        <v>48</v>
      </c>
      <c r="O471" s="4" t="s">
        <v>1162</v>
      </c>
      <c r="P471" s="4" t="s">
        <v>1163</v>
      </c>
    </row>
    <row r="472" spans="1:16" ht="15.6" x14ac:dyDescent="0.3">
      <c r="A472" s="2">
        <v>1175358</v>
      </c>
      <c r="B472" s="2" t="s">
        <v>62</v>
      </c>
      <c r="C472" s="2" t="s">
        <v>26</v>
      </c>
      <c r="D472" s="2" t="str">
        <f t="shared" si="7"/>
        <v>IPL-2019</v>
      </c>
      <c r="E472" s="2">
        <f>YEAR('IPL Info'!$F472)</f>
        <v>2019</v>
      </c>
      <c r="F472" s="3">
        <v>43548</v>
      </c>
      <c r="G472" s="2" t="s">
        <v>26</v>
      </c>
      <c r="H472" s="2" t="s">
        <v>18</v>
      </c>
      <c r="I472" s="2" t="s">
        <v>19</v>
      </c>
      <c r="J472" s="2" t="s">
        <v>20</v>
      </c>
      <c r="K472" s="2" t="s">
        <v>62</v>
      </c>
      <c r="L472" s="2" t="s">
        <v>339</v>
      </c>
      <c r="M472" s="2" t="s">
        <v>1045</v>
      </c>
      <c r="N472" s="2" t="s">
        <v>74</v>
      </c>
      <c r="O472" s="2" t="s">
        <v>1164</v>
      </c>
      <c r="P472" s="2" t="s">
        <v>1165</v>
      </c>
    </row>
    <row r="473" spans="1:16" ht="15.6" x14ac:dyDescent="0.3">
      <c r="A473" s="4">
        <v>1175357</v>
      </c>
      <c r="B473" s="4" t="s">
        <v>55</v>
      </c>
      <c r="C473" s="4" t="s">
        <v>56</v>
      </c>
      <c r="D473" s="4" t="str">
        <f t="shared" si="7"/>
        <v>IPL-2019</v>
      </c>
      <c r="E473" s="4">
        <f>YEAR('IPL Info'!$F473)</f>
        <v>2019</v>
      </c>
      <c r="F473" s="5">
        <v>43548</v>
      </c>
      <c r="G473" s="4" t="s">
        <v>56</v>
      </c>
      <c r="H473" s="4" t="s">
        <v>18</v>
      </c>
      <c r="I473" s="4" t="s">
        <v>19</v>
      </c>
      <c r="J473" s="4" t="s">
        <v>20</v>
      </c>
      <c r="K473" s="4" t="s">
        <v>56</v>
      </c>
      <c r="L473" s="4" t="s">
        <v>111</v>
      </c>
      <c r="M473" s="4" t="s">
        <v>1064</v>
      </c>
      <c r="N473" s="4" t="s">
        <v>98</v>
      </c>
      <c r="O473" s="4" t="s">
        <v>1166</v>
      </c>
      <c r="P473" s="4" t="s">
        <v>1167</v>
      </c>
    </row>
    <row r="474" spans="1:16" ht="15.6" x14ac:dyDescent="0.3">
      <c r="A474" s="2">
        <v>1175356</v>
      </c>
      <c r="B474" s="2" t="s">
        <v>445</v>
      </c>
      <c r="C474" s="2" t="s">
        <v>51</v>
      </c>
      <c r="D474" s="2" t="str">
        <f t="shared" si="7"/>
        <v>IPL-2019</v>
      </c>
      <c r="E474" s="2">
        <f>YEAR('IPL Info'!$F474)</f>
        <v>2019</v>
      </c>
      <c r="F474" s="3">
        <v>43547</v>
      </c>
      <c r="G474" s="2" t="s">
        <v>51</v>
      </c>
      <c r="H474" s="2" t="s">
        <v>18</v>
      </c>
      <c r="I474" s="2" t="s">
        <v>19</v>
      </c>
      <c r="J474" s="2" t="s">
        <v>20</v>
      </c>
      <c r="K474" s="2" t="s">
        <v>51</v>
      </c>
      <c r="L474" s="2" t="s">
        <v>1129</v>
      </c>
      <c r="M474" s="2" t="s">
        <v>1039</v>
      </c>
      <c r="N474" s="2" t="s">
        <v>126</v>
      </c>
      <c r="O474" s="2" t="s">
        <v>1168</v>
      </c>
      <c r="P474" s="2" t="s">
        <v>1169</v>
      </c>
    </row>
    <row r="475" spans="1:16" ht="15.6" x14ac:dyDescent="0.3">
      <c r="A475" s="4">
        <v>1136620</v>
      </c>
      <c r="B475" s="4" t="s">
        <v>55</v>
      </c>
      <c r="C475" s="4" t="s">
        <v>51</v>
      </c>
      <c r="D475" s="4" t="str">
        <f t="shared" si="7"/>
        <v>IPL-2018</v>
      </c>
      <c r="E475" s="4">
        <f>YEAR('IPL Info'!$F475)</f>
        <v>2018</v>
      </c>
      <c r="F475" s="5">
        <v>43247</v>
      </c>
      <c r="G475" s="4" t="s">
        <v>51</v>
      </c>
      <c r="H475" s="4" t="s">
        <v>18</v>
      </c>
      <c r="I475" s="4" t="s">
        <v>19</v>
      </c>
      <c r="J475" s="4" t="s">
        <v>20</v>
      </c>
      <c r="K475" s="4" t="s">
        <v>51</v>
      </c>
      <c r="L475" s="4" t="s">
        <v>996</v>
      </c>
      <c r="M475" s="4" t="s">
        <v>1045</v>
      </c>
      <c r="N475" s="4" t="s">
        <v>74</v>
      </c>
      <c r="O475" s="4" t="s">
        <v>1170</v>
      </c>
      <c r="P475" s="4" t="s">
        <v>1171</v>
      </c>
    </row>
    <row r="476" spans="1:16" ht="15.6" x14ac:dyDescent="0.3">
      <c r="A476" s="2">
        <v>1136619</v>
      </c>
      <c r="B476" s="2" t="s">
        <v>55</v>
      </c>
      <c r="C476" s="2" t="s">
        <v>56</v>
      </c>
      <c r="D476" s="2" t="str">
        <f t="shared" si="7"/>
        <v>IPL-2018</v>
      </c>
      <c r="E476" s="2">
        <f>YEAR('IPL Info'!$F476)</f>
        <v>2018</v>
      </c>
      <c r="F476" s="3">
        <v>43245</v>
      </c>
      <c r="G476" s="2" t="s">
        <v>56</v>
      </c>
      <c r="H476" s="2" t="s">
        <v>18</v>
      </c>
      <c r="I476" s="2" t="s">
        <v>19</v>
      </c>
      <c r="J476" s="2" t="s">
        <v>20</v>
      </c>
      <c r="K476" s="2" t="s">
        <v>55</v>
      </c>
      <c r="L476" s="2" t="s">
        <v>377</v>
      </c>
      <c r="M476" s="2" t="s">
        <v>1064</v>
      </c>
      <c r="N476" s="2" t="s">
        <v>98</v>
      </c>
      <c r="O476" s="2" t="s">
        <v>1172</v>
      </c>
      <c r="P476" s="2" t="s">
        <v>1173</v>
      </c>
    </row>
    <row r="477" spans="1:16" ht="15.6" x14ac:dyDescent="0.3">
      <c r="A477" s="4">
        <v>1136618</v>
      </c>
      <c r="B477" s="4" t="s">
        <v>56</v>
      </c>
      <c r="C477" s="4" t="s">
        <v>77</v>
      </c>
      <c r="D477" s="4" t="str">
        <f t="shared" si="7"/>
        <v>IPL-2018</v>
      </c>
      <c r="E477" s="4">
        <f>YEAR('IPL Info'!$F477)</f>
        <v>2018</v>
      </c>
      <c r="F477" s="5">
        <v>43243</v>
      </c>
      <c r="G477" s="4" t="s">
        <v>77</v>
      </c>
      <c r="H477" s="4" t="s">
        <v>18</v>
      </c>
      <c r="I477" s="4" t="s">
        <v>19</v>
      </c>
      <c r="J477" s="4" t="s">
        <v>20</v>
      </c>
      <c r="K477" s="4" t="s">
        <v>56</v>
      </c>
      <c r="L477" s="4" t="s">
        <v>111</v>
      </c>
      <c r="M477" s="4" t="s">
        <v>1064</v>
      </c>
      <c r="N477" s="4" t="s">
        <v>98</v>
      </c>
      <c r="O477" s="4" t="s">
        <v>1174</v>
      </c>
      <c r="P477" s="4" t="s">
        <v>1175</v>
      </c>
    </row>
    <row r="478" spans="1:16" ht="15.6" x14ac:dyDescent="0.3">
      <c r="A478" s="2">
        <v>1136617</v>
      </c>
      <c r="B478" s="2" t="s">
        <v>55</v>
      </c>
      <c r="C478" s="2" t="s">
        <v>51</v>
      </c>
      <c r="D478" s="2" t="str">
        <f t="shared" si="7"/>
        <v>IPL-2018</v>
      </c>
      <c r="E478" s="2">
        <f>YEAR('IPL Info'!$F478)</f>
        <v>2018</v>
      </c>
      <c r="F478" s="3">
        <v>43242</v>
      </c>
      <c r="G478" s="2" t="s">
        <v>51</v>
      </c>
      <c r="H478" s="2" t="s">
        <v>18</v>
      </c>
      <c r="I478" s="2" t="s">
        <v>19</v>
      </c>
      <c r="J478" s="2" t="s">
        <v>20</v>
      </c>
      <c r="K478" s="2" t="s">
        <v>51</v>
      </c>
      <c r="L478" s="2" t="s">
        <v>271</v>
      </c>
      <c r="M478" s="2" t="s">
        <v>1045</v>
      </c>
      <c r="N478" s="2" t="s">
        <v>74</v>
      </c>
      <c r="O478" s="2" t="s">
        <v>1176</v>
      </c>
      <c r="P478" s="2" t="s">
        <v>1177</v>
      </c>
    </row>
    <row r="479" spans="1:16" ht="15.6" x14ac:dyDescent="0.3">
      <c r="A479" s="4">
        <v>1136616</v>
      </c>
      <c r="B479" s="4" t="s">
        <v>925</v>
      </c>
      <c r="C479" s="4" t="s">
        <v>51</v>
      </c>
      <c r="D479" s="4" t="str">
        <f t="shared" si="7"/>
        <v>IPL-2018</v>
      </c>
      <c r="E479" s="4">
        <f>YEAR('IPL Info'!$F479)</f>
        <v>2018</v>
      </c>
      <c r="F479" s="5">
        <v>43240</v>
      </c>
      <c r="G479" s="4" t="s">
        <v>51</v>
      </c>
      <c r="H479" s="4" t="s">
        <v>18</v>
      </c>
      <c r="I479" s="4" t="s">
        <v>19</v>
      </c>
      <c r="J479" s="4" t="s">
        <v>20</v>
      </c>
      <c r="K479" s="4" t="s">
        <v>51</v>
      </c>
      <c r="L479" s="4" t="s">
        <v>1178</v>
      </c>
      <c r="M479" s="4" t="s">
        <v>1179</v>
      </c>
      <c r="N479" s="4" t="s">
        <v>635</v>
      </c>
      <c r="O479" s="4" t="s">
        <v>1180</v>
      </c>
      <c r="P479" s="4" t="s">
        <v>1181</v>
      </c>
    </row>
    <row r="480" spans="1:16" ht="15.6" x14ac:dyDescent="0.3">
      <c r="A480" s="2">
        <v>1136615</v>
      </c>
      <c r="B480" s="2" t="s">
        <v>1182</v>
      </c>
      <c r="C480" s="2" t="s">
        <v>26</v>
      </c>
      <c r="D480" s="2" t="str">
        <f t="shared" si="7"/>
        <v>IPL-2018</v>
      </c>
      <c r="E480" s="2">
        <f>YEAR('IPL Info'!$F480)</f>
        <v>2018</v>
      </c>
      <c r="F480" s="3">
        <v>43240</v>
      </c>
      <c r="G480" s="2" t="s">
        <v>1182</v>
      </c>
      <c r="H480" s="2" t="s">
        <v>31</v>
      </c>
      <c r="I480" s="2" t="s">
        <v>19</v>
      </c>
      <c r="J480" s="2" t="s">
        <v>20</v>
      </c>
      <c r="K480" s="2" t="s">
        <v>1182</v>
      </c>
      <c r="L480" s="2" t="s">
        <v>882</v>
      </c>
      <c r="M480" s="2" t="s">
        <v>1051</v>
      </c>
      <c r="N480" s="2" t="s">
        <v>59</v>
      </c>
      <c r="O480" s="2" t="s">
        <v>1183</v>
      </c>
      <c r="P480" s="2" t="s">
        <v>1184</v>
      </c>
    </row>
    <row r="481" spans="1:16" ht="15.6" x14ac:dyDescent="0.3">
      <c r="A481" s="4">
        <v>1136614</v>
      </c>
      <c r="B481" s="4" t="s">
        <v>55</v>
      </c>
      <c r="C481" s="4" t="s">
        <v>56</v>
      </c>
      <c r="D481" s="4" t="str">
        <f t="shared" si="7"/>
        <v>IPL-2018</v>
      </c>
      <c r="E481" s="4">
        <f>YEAR('IPL Info'!$F481)</f>
        <v>2018</v>
      </c>
      <c r="F481" s="5">
        <v>43239</v>
      </c>
      <c r="G481" s="4" t="s">
        <v>55</v>
      </c>
      <c r="H481" s="4" t="s">
        <v>31</v>
      </c>
      <c r="I481" s="4" t="s">
        <v>19</v>
      </c>
      <c r="J481" s="4" t="s">
        <v>20</v>
      </c>
      <c r="K481" s="4" t="s">
        <v>56</v>
      </c>
      <c r="L481" s="4" t="s">
        <v>1185</v>
      </c>
      <c r="M481" s="4" t="s">
        <v>1031</v>
      </c>
      <c r="N481" s="4" t="s">
        <v>105</v>
      </c>
      <c r="O481" s="4" t="s">
        <v>1186</v>
      </c>
      <c r="P481" s="4" t="s">
        <v>1187</v>
      </c>
    </row>
    <row r="482" spans="1:16" ht="15.6" x14ac:dyDescent="0.3">
      <c r="A482" s="2">
        <v>1136613</v>
      </c>
      <c r="B482" s="2" t="s">
        <v>77</v>
      </c>
      <c r="C482" s="2" t="s">
        <v>445</v>
      </c>
      <c r="D482" s="2" t="str">
        <f t="shared" si="7"/>
        <v>IPL-2018</v>
      </c>
      <c r="E482" s="2">
        <f>YEAR('IPL Info'!$F482)</f>
        <v>2018</v>
      </c>
      <c r="F482" s="3">
        <v>43239</v>
      </c>
      <c r="G482" s="2" t="s">
        <v>77</v>
      </c>
      <c r="H482" s="2" t="s">
        <v>31</v>
      </c>
      <c r="I482" s="2" t="s">
        <v>19</v>
      </c>
      <c r="J482" s="2" t="s">
        <v>20</v>
      </c>
      <c r="K482" s="2" t="s">
        <v>77</v>
      </c>
      <c r="L482" s="2" t="s">
        <v>1141</v>
      </c>
      <c r="M482" s="2" t="s">
        <v>1069</v>
      </c>
      <c r="N482" s="2" t="s">
        <v>48</v>
      </c>
      <c r="O482" s="2" t="s">
        <v>1188</v>
      </c>
      <c r="P482" s="2" t="s">
        <v>1189</v>
      </c>
    </row>
    <row r="483" spans="1:16" ht="15.6" x14ac:dyDescent="0.3">
      <c r="A483" s="4">
        <v>1136612</v>
      </c>
      <c r="B483" s="4" t="s">
        <v>1182</v>
      </c>
      <c r="C483" s="4" t="s">
        <v>51</v>
      </c>
      <c r="D483" s="4" t="str">
        <f t="shared" si="7"/>
        <v>IPL-2018</v>
      </c>
      <c r="E483" s="4">
        <f>YEAR('IPL Info'!$F483)</f>
        <v>2018</v>
      </c>
      <c r="F483" s="5">
        <v>43238</v>
      </c>
      <c r="G483" s="4" t="s">
        <v>51</v>
      </c>
      <c r="H483" s="4" t="s">
        <v>18</v>
      </c>
      <c r="I483" s="4" t="s">
        <v>19</v>
      </c>
      <c r="J483" s="4" t="s">
        <v>20</v>
      </c>
      <c r="K483" s="4" t="s">
        <v>1182</v>
      </c>
      <c r="L483" s="4" t="s">
        <v>142</v>
      </c>
      <c r="M483" s="4" t="s">
        <v>1051</v>
      </c>
      <c r="N483" s="4" t="s">
        <v>59</v>
      </c>
      <c r="O483" s="4" t="s">
        <v>1190</v>
      </c>
      <c r="P483" s="4" t="s">
        <v>1191</v>
      </c>
    </row>
    <row r="484" spans="1:16" ht="15.6" x14ac:dyDescent="0.3">
      <c r="A484" s="2">
        <v>1136611</v>
      </c>
      <c r="B484" s="2" t="s">
        <v>445</v>
      </c>
      <c r="C484" s="2" t="s">
        <v>55</v>
      </c>
      <c r="D484" s="2" t="str">
        <f t="shared" si="7"/>
        <v>IPL-2018</v>
      </c>
      <c r="E484" s="2">
        <f>YEAR('IPL Info'!$F484)</f>
        <v>2018</v>
      </c>
      <c r="F484" s="3">
        <v>43237</v>
      </c>
      <c r="G484" s="2" t="s">
        <v>55</v>
      </c>
      <c r="H484" s="2" t="s">
        <v>18</v>
      </c>
      <c r="I484" s="2" t="s">
        <v>19</v>
      </c>
      <c r="J484" s="2" t="s">
        <v>20</v>
      </c>
      <c r="K484" s="2" t="s">
        <v>445</v>
      </c>
      <c r="L484" s="2" t="s">
        <v>861</v>
      </c>
      <c r="M484" s="2" t="s">
        <v>1048</v>
      </c>
      <c r="N484" s="2" t="s">
        <v>116</v>
      </c>
      <c r="O484" s="2" t="s">
        <v>1192</v>
      </c>
      <c r="P484" s="2" t="s">
        <v>1193</v>
      </c>
    </row>
    <row r="485" spans="1:16" ht="15.6" x14ac:dyDescent="0.3">
      <c r="A485" s="4">
        <v>1136610</v>
      </c>
      <c r="B485" s="4" t="s">
        <v>26</v>
      </c>
      <c r="C485" s="4" t="s">
        <v>925</v>
      </c>
      <c r="D485" s="4" t="str">
        <f t="shared" si="7"/>
        <v>IPL-2018</v>
      </c>
      <c r="E485" s="4">
        <f>YEAR('IPL Info'!$F485)</f>
        <v>2018</v>
      </c>
      <c r="F485" s="5">
        <v>43236</v>
      </c>
      <c r="G485" s="4" t="s">
        <v>925</v>
      </c>
      <c r="H485" s="4" t="s">
        <v>18</v>
      </c>
      <c r="I485" s="4" t="s">
        <v>19</v>
      </c>
      <c r="J485" s="4" t="s">
        <v>20</v>
      </c>
      <c r="K485" s="4" t="s">
        <v>26</v>
      </c>
      <c r="L485" s="4" t="s">
        <v>356</v>
      </c>
      <c r="M485" s="4" t="s">
        <v>1045</v>
      </c>
      <c r="N485" s="4" t="s">
        <v>74</v>
      </c>
      <c r="O485" s="4" t="s">
        <v>1194</v>
      </c>
      <c r="P485" s="4" t="s">
        <v>1195</v>
      </c>
    </row>
    <row r="486" spans="1:16" ht="15.6" x14ac:dyDescent="0.3">
      <c r="A486" s="2">
        <v>1136609</v>
      </c>
      <c r="B486" s="2" t="s">
        <v>77</v>
      </c>
      <c r="C486" s="2" t="s">
        <v>56</v>
      </c>
      <c r="D486" s="2" t="str">
        <f t="shared" si="7"/>
        <v>IPL-2018</v>
      </c>
      <c r="E486" s="2">
        <f>YEAR('IPL Info'!$F486)</f>
        <v>2018</v>
      </c>
      <c r="F486" s="3">
        <v>43235</v>
      </c>
      <c r="G486" s="2" t="s">
        <v>56</v>
      </c>
      <c r="H486" s="2" t="s">
        <v>18</v>
      </c>
      <c r="I486" s="2" t="s">
        <v>19</v>
      </c>
      <c r="J486" s="2" t="s">
        <v>20</v>
      </c>
      <c r="K486" s="2" t="s">
        <v>56</v>
      </c>
      <c r="L486" s="2" t="s">
        <v>298</v>
      </c>
      <c r="M486" s="2" t="s">
        <v>1064</v>
      </c>
      <c r="N486" s="2" t="s">
        <v>98</v>
      </c>
      <c r="O486" s="2" t="s">
        <v>1196</v>
      </c>
      <c r="P486" s="2" t="s">
        <v>1197</v>
      </c>
    </row>
    <row r="487" spans="1:16" ht="15.6" x14ac:dyDescent="0.3">
      <c r="A487" s="4">
        <v>1136608</v>
      </c>
      <c r="B487" s="4" t="s">
        <v>925</v>
      </c>
      <c r="C487" s="4" t="s">
        <v>445</v>
      </c>
      <c r="D487" s="4" t="str">
        <f t="shared" si="7"/>
        <v>IPL-2018</v>
      </c>
      <c r="E487" s="4">
        <f>YEAR('IPL Info'!$F487)</f>
        <v>2018</v>
      </c>
      <c r="F487" s="5">
        <v>43234</v>
      </c>
      <c r="G487" s="4" t="s">
        <v>445</v>
      </c>
      <c r="H487" s="4" t="s">
        <v>18</v>
      </c>
      <c r="I487" s="4" t="s">
        <v>19</v>
      </c>
      <c r="J487" s="4" t="s">
        <v>20</v>
      </c>
      <c r="K487" s="4" t="s">
        <v>445</v>
      </c>
      <c r="L487" s="4" t="s">
        <v>753</v>
      </c>
      <c r="M487" s="4" t="s">
        <v>1198</v>
      </c>
      <c r="N487" s="4" t="s">
        <v>1199</v>
      </c>
      <c r="O487" s="4" t="s">
        <v>1200</v>
      </c>
      <c r="P487" s="4" t="s">
        <v>1201</v>
      </c>
    </row>
    <row r="488" spans="1:16" ht="15.6" x14ac:dyDescent="0.3">
      <c r="A488" s="2">
        <v>1136606</v>
      </c>
      <c r="B488" s="2" t="s">
        <v>55</v>
      </c>
      <c r="C488" s="2" t="s">
        <v>51</v>
      </c>
      <c r="D488" s="2" t="str">
        <f t="shared" si="7"/>
        <v>IPL-2018</v>
      </c>
      <c r="E488" s="2">
        <f>YEAR('IPL Info'!$F488)</f>
        <v>2018</v>
      </c>
      <c r="F488" s="3">
        <v>43233</v>
      </c>
      <c r="G488" s="2" t="s">
        <v>51</v>
      </c>
      <c r="H488" s="2" t="s">
        <v>18</v>
      </c>
      <c r="I488" s="2" t="s">
        <v>19</v>
      </c>
      <c r="J488" s="2" t="s">
        <v>20</v>
      </c>
      <c r="K488" s="2" t="s">
        <v>51</v>
      </c>
      <c r="L488" s="2" t="s">
        <v>1028</v>
      </c>
      <c r="M488" s="2" t="s">
        <v>1179</v>
      </c>
      <c r="N488" s="2" t="s">
        <v>635</v>
      </c>
      <c r="O488" s="2" t="s">
        <v>1202</v>
      </c>
      <c r="P488" s="2" t="s">
        <v>1203</v>
      </c>
    </row>
    <row r="489" spans="1:16" ht="15.6" x14ac:dyDescent="0.3">
      <c r="A489" s="4">
        <v>1136607</v>
      </c>
      <c r="B489" s="4" t="s">
        <v>26</v>
      </c>
      <c r="C489" s="4" t="s">
        <v>77</v>
      </c>
      <c r="D489" s="4" t="str">
        <f t="shared" si="7"/>
        <v>IPL-2018</v>
      </c>
      <c r="E489" s="4">
        <f>YEAR('IPL Info'!$F489)</f>
        <v>2018</v>
      </c>
      <c r="F489" s="5">
        <v>43233</v>
      </c>
      <c r="G489" s="4" t="s">
        <v>77</v>
      </c>
      <c r="H489" s="4" t="s">
        <v>18</v>
      </c>
      <c r="I489" s="4" t="s">
        <v>19</v>
      </c>
      <c r="J489" s="4" t="s">
        <v>20</v>
      </c>
      <c r="K489" s="4" t="s">
        <v>77</v>
      </c>
      <c r="L489" s="4" t="s">
        <v>165</v>
      </c>
      <c r="M489" s="4" t="s">
        <v>1045</v>
      </c>
      <c r="N489" s="4" t="s">
        <v>74</v>
      </c>
      <c r="O489" s="4" t="s">
        <v>1204</v>
      </c>
      <c r="P489" s="4" t="s">
        <v>1205</v>
      </c>
    </row>
    <row r="490" spans="1:16" ht="15.6" x14ac:dyDescent="0.3">
      <c r="A490" s="2">
        <v>1136605</v>
      </c>
      <c r="B490" s="2" t="s">
        <v>1182</v>
      </c>
      <c r="C490" s="2" t="s">
        <v>445</v>
      </c>
      <c r="D490" s="2" t="str">
        <f t="shared" si="7"/>
        <v>IPL-2018</v>
      </c>
      <c r="E490" s="2">
        <f>YEAR('IPL Info'!$F490)</f>
        <v>2018</v>
      </c>
      <c r="F490" s="3">
        <v>43232</v>
      </c>
      <c r="G490" s="2" t="s">
        <v>445</v>
      </c>
      <c r="H490" s="2" t="s">
        <v>18</v>
      </c>
      <c r="I490" s="2" t="s">
        <v>19</v>
      </c>
      <c r="J490" s="2" t="s">
        <v>20</v>
      </c>
      <c r="K490" s="2" t="s">
        <v>445</v>
      </c>
      <c r="L490" s="2" t="s">
        <v>861</v>
      </c>
      <c r="M490" s="2" t="s">
        <v>1051</v>
      </c>
      <c r="N490" s="2" t="s">
        <v>59</v>
      </c>
      <c r="O490" s="2" t="s">
        <v>1206</v>
      </c>
      <c r="P490" s="2" t="s">
        <v>1207</v>
      </c>
    </row>
    <row r="491" spans="1:16" ht="15.6" x14ac:dyDescent="0.3">
      <c r="A491" s="4">
        <v>1136604</v>
      </c>
      <c r="B491" s="4" t="s">
        <v>56</v>
      </c>
      <c r="C491" s="4" t="s">
        <v>925</v>
      </c>
      <c r="D491" s="4" t="str">
        <f t="shared" si="7"/>
        <v>IPL-2018</v>
      </c>
      <c r="E491" s="4">
        <f>YEAR('IPL Info'!$F491)</f>
        <v>2018</v>
      </c>
      <c r="F491" s="5">
        <v>43232</v>
      </c>
      <c r="G491" s="4" t="s">
        <v>925</v>
      </c>
      <c r="H491" s="4" t="s">
        <v>18</v>
      </c>
      <c r="I491" s="4" t="s">
        <v>19</v>
      </c>
      <c r="J491" s="4" t="s">
        <v>20</v>
      </c>
      <c r="K491" s="4" t="s">
        <v>56</v>
      </c>
      <c r="L491" s="4" t="s">
        <v>129</v>
      </c>
      <c r="M491" s="4" t="s">
        <v>1198</v>
      </c>
      <c r="N491" s="4" t="s">
        <v>1199</v>
      </c>
      <c r="O491" s="4" t="s">
        <v>1208</v>
      </c>
      <c r="P491" s="4" t="s">
        <v>1209</v>
      </c>
    </row>
    <row r="492" spans="1:16" ht="15.6" x14ac:dyDescent="0.3">
      <c r="A492" s="2">
        <v>1136603</v>
      </c>
      <c r="B492" s="2" t="s">
        <v>51</v>
      </c>
      <c r="C492" s="2" t="s">
        <v>77</v>
      </c>
      <c r="D492" s="2" t="str">
        <f t="shared" si="7"/>
        <v>IPL-2018</v>
      </c>
      <c r="E492" s="2">
        <f>YEAR('IPL Info'!$F492)</f>
        <v>2018</v>
      </c>
      <c r="F492" s="3">
        <v>43231</v>
      </c>
      <c r="G492" s="2" t="s">
        <v>51</v>
      </c>
      <c r="H492" s="2" t="s">
        <v>31</v>
      </c>
      <c r="I492" s="2" t="s">
        <v>19</v>
      </c>
      <c r="J492" s="2" t="s">
        <v>20</v>
      </c>
      <c r="K492" s="2" t="s">
        <v>77</v>
      </c>
      <c r="L492" s="2" t="s">
        <v>165</v>
      </c>
      <c r="M492" s="2" t="s">
        <v>1069</v>
      </c>
      <c r="N492" s="2" t="s">
        <v>48</v>
      </c>
      <c r="O492" s="2" t="s">
        <v>1210</v>
      </c>
      <c r="P492" s="2" t="s">
        <v>1211</v>
      </c>
    </row>
    <row r="493" spans="1:16" ht="15.6" x14ac:dyDescent="0.3">
      <c r="A493" s="4">
        <v>1136602</v>
      </c>
      <c r="B493" s="4" t="s">
        <v>1182</v>
      </c>
      <c r="C493" s="4" t="s">
        <v>55</v>
      </c>
      <c r="D493" s="4" t="str">
        <f t="shared" si="7"/>
        <v>IPL-2018</v>
      </c>
      <c r="E493" s="4">
        <f>YEAR('IPL Info'!$F493)</f>
        <v>2018</v>
      </c>
      <c r="F493" s="5">
        <v>43230</v>
      </c>
      <c r="G493" s="4" t="s">
        <v>1182</v>
      </c>
      <c r="H493" s="4" t="s">
        <v>31</v>
      </c>
      <c r="I493" s="4" t="s">
        <v>19</v>
      </c>
      <c r="J493" s="4" t="s">
        <v>20</v>
      </c>
      <c r="K493" s="4" t="s">
        <v>55</v>
      </c>
      <c r="L493" s="4" t="s">
        <v>571</v>
      </c>
      <c r="M493" s="4" t="s">
        <v>1051</v>
      </c>
      <c r="N493" s="4" t="s">
        <v>59</v>
      </c>
      <c r="O493" s="4" t="s">
        <v>1212</v>
      </c>
      <c r="P493" s="4" t="s">
        <v>1213</v>
      </c>
    </row>
    <row r="494" spans="1:16" ht="15.6" x14ac:dyDescent="0.3">
      <c r="A494" s="2">
        <v>1136601</v>
      </c>
      <c r="B494" s="2" t="s">
        <v>26</v>
      </c>
      <c r="C494" s="2" t="s">
        <v>56</v>
      </c>
      <c r="D494" s="2" t="str">
        <f t="shared" si="7"/>
        <v>IPL-2018</v>
      </c>
      <c r="E494" s="2">
        <f>YEAR('IPL Info'!$F494)</f>
        <v>2018</v>
      </c>
      <c r="F494" s="3">
        <v>43229</v>
      </c>
      <c r="G494" s="2" t="s">
        <v>56</v>
      </c>
      <c r="H494" s="2" t="s">
        <v>18</v>
      </c>
      <c r="I494" s="2" t="s">
        <v>19</v>
      </c>
      <c r="J494" s="2" t="s">
        <v>20</v>
      </c>
      <c r="K494" s="2" t="s">
        <v>26</v>
      </c>
      <c r="L494" s="2" t="s">
        <v>66</v>
      </c>
      <c r="M494" s="2" t="s">
        <v>1064</v>
      </c>
      <c r="N494" s="2" t="s">
        <v>98</v>
      </c>
      <c r="O494" s="2" t="s">
        <v>1214</v>
      </c>
      <c r="P494" s="2" t="s">
        <v>1215</v>
      </c>
    </row>
    <row r="495" spans="1:16" ht="15.6" x14ac:dyDescent="0.3">
      <c r="A495" s="4">
        <v>1136600</v>
      </c>
      <c r="B495" s="4" t="s">
        <v>77</v>
      </c>
      <c r="C495" s="4" t="s">
        <v>925</v>
      </c>
      <c r="D495" s="4" t="str">
        <f t="shared" si="7"/>
        <v>IPL-2018</v>
      </c>
      <c r="E495" s="4">
        <f>YEAR('IPL Info'!$F495)</f>
        <v>2018</v>
      </c>
      <c r="F495" s="5">
        <v>43228</v>
      </c>
      <c r="G495" s="4" t="s">
        <v>77</v>
      </c>
      <c r="H495" s="4" t="s">
        <v>31</v>
      </c>
      <c r="I495" s="4" t="s">
        <v>19</v>
      </c>
      <c r="J495" s="4" t="s">
        <v>20</v>
      </c>
      <c r="K495" s="4" t="s">
        <v>77</v>
      </c>
      <c r="L495" s="4" t="s">
        <v>165</v>
      </c>
      <c r="M495" s="4" t="s">
        <v>1069</v>
      </c>
      <c r="N495" s="4" t="s">
        <v>48</v>
      </c>
      <c r="O495" s="4" t="s">
        <v>1216</v>
      </c>
      <c r="P495" s="4" t="s">
        <v>1217</v>
      </c>
    </row>
    <row r="496" spans="1:16" ht="15.6" x14ac:dyDescent="0.3">
      <c r="A496" s="2">
        <v>1136599</v>
      </c>
      <c r="B496" s="2" t="s">
        <v>55</v>
      </c>
      <c r="C496" s="2" t="s">
        <v>445</v>
      </c>
      <c r="D496" s="2" t="str">
        <f t="shared" si="7"/>
        <v>IPL-2018</v>
      </c>
      <c r="E496" s="2">
        <f>YEAR('IPL Info'!$F496)</f>
        <v>2018</v>
      </c>
      <c r="F496" s="3">
        <v>43227</v>
      </c>
      <c r="G496" s="2" t="s">
        <v>445</v>
      </c>
      <c r="H496" s="2" t="s">
        <v>18</v>
      </c>
      <c r="I496" s="2" t="s">
        <v>19</v>
      </c>
      <c r="J496" s="2" t="s">
        <v>20</v>
      </c>
      <c r="K496" s="2" t="s">
        <v>55</v>
      </c>
      <c r="L496" s="2" t="s">
        <v>723</v>
      </c>
      <c r="M496" s="2" t="s">
        <v>1031</v>
      </c>
      <c r="N496" s="2" t="s">
        <v>105</v>
      </c>
      <c r="O496" s="2" t="s">
        <v>1218</v>
      </c>
      <c r="P496" s="2" t="s">
        <v>1219</v>
      </c>
    </row>
    <row r="497" spans="1:16" ht="15.6" x14ac:dyDescent="0.3">
      <c r="A497" s="4">
        <v>1136597</v>
      </c>
      <c r="B497" s="4" t="s">
        <v>26</v>
      </c>
      <c r="C497" s="4" t="s">
        <v>56</v>
      </c>
      <c r="D497" s="4" t="str">
        <f t="shared" si="7"/>
        <v>IPL-2018</v>
      </c>
      <c r="E497" s="4">
        <f>YEAR('IPL Info'!$F497)</f>
        <v>2018</v>
      </c>
      <c r="F497" s="5">
        <v>43226</v>
      </c>
      <c r="G497" s="4" t="s">
        <v>56</v>
      </c>
      <c r="H497" s="4" t="s">
        <v>18</v>
      </c>
      <c r="I497" s="4" t="s">
        <v>19</v>
      </c>
      <c r="J497" s="4" t="s">
        <v>20</v>
      </c>
      <c r="K497" s="4" t="s">
        <v>26</v>
      </c>
      <c r="L497" s="4" t="s">
        <v>604</v>
      </c>
      <c r="M497" s="4" t="s">
        <v>1045</v>
      </c>
      <c r="N497" s="4" t="s">
        <v>74</v>
      </c>
      <c r="O497" s="4" t="s">
        <v>1220</v>
      </c>
      <c r="P497" s="4" t="s">
        <v>1221</v>
      </c>
    </row>
    <row r="498" spans="1:16" ht="15.6" x14ac:dyDescent="0.3">
      <c r="A498" s="2">
        <v>1136598</v>
      </c>
      <c r="B498" s="2" t="s">
        <v>77</v>
      </c>
      <c r="C498" s="2" t="s">
        <v>925</v>
      </c>
      <c r="D498" s="2" t="str">
        <f t="shared" si="7"/>
        <v>IPL-2018</v>
      </c>
      <c r="E498" s="2">
        <f>YEAR('IPL Info'!$F498)</f>
        <v>2018</v>
      </c>
      <c r="F498" s="3">
        <v>43226</v>
      </c>
      <c r="G498" s="2" t="s">
        <v>925</v>
      </c>
      <c r="H498" s="2" t="s">
        <v>18</v>
      </c>
      <c r="I498" s="2" t="s">
        <v>19</v>
      </c>
      <c r="J498" s="2" t="s">
        <v>20</v>
      </c>
      <c r="K498" s="2" t="s">
        <v>925</v>
      </c>
      <c r="L498" s="2" t="s">
        <v>1222</v>
      </c>
      <c r="M498" s="2" t="s">
        <v>1198</v>
      </c>
      <c r="N498" s="2" t="s">
        <v>1199</v>
      </c>
      <c r="O498" s="2" t="s">
        <v>1223</v>
      </c>
      <c r="P498" s="2" t="s">
        <v>1224</v>
      </c>
    </row>
    <row r="499" spans="1:16" ht="15.6" x14ac:dyDescent="0.3">
      <c r="A499" s="4">
        <v>1136596</v>
      </c>
      <c r="B499" s="4" t="s">
        <v>1182</v>
      </c>
      <c r="C499" s="4" t="s">
        <v>55</v>
      </c>
      <c r="D499" s="4" t="str">
        <f t="shared" si="7"/>
        <v>IPL-2018</v>
      </c>
      <c r="E499" s="4">
        <f>YEAR('IPL Info'!$F499)</f>
        <v>2018</v>
      </c>
      <c r="F499" s="5">
        <v>43225</v>
      </c>
      <c r="G499" s="4" t="s">
        <v>1182</v>
      </c>
      <c r="H499" s="4" t="s">
        <v>31</v>
      </c>
      <c r="I499" s="4" t="s">
        <v>19</v>
      </c>
      <c r="J499" s="4" t="s">
        <v>20</v>
      </c>
      <c r="K499" s="4" t="s">
        <v>55</v>
      </c>
      <c r="L499" s="4" t="s">
        <v>377</v>
      </c>
      <c r="M499" s="4" t="s">
        <v>1031</v>
      </c>
      <c r="N499" s="4" t="s">
        <v>105</v>
      </c>
      <c r="O499" s="4" t="s">
        <v>1225</v>
      </c>
      <c r="P499" s="4" t="s">
        <v>1226</v>
      </c>
    </row>
    <row r="500" spans="1:16" ht="15.6" x14ac:dyDescent="0.3">
      <c r="A500" s="2">
        <v>1136595</v>
      </c>
      <c r="B500" s="2" t="s">
        <v>445</v>
      </c>
      <c r="C500" s="2" t="s">
        <v>51</v>
      </c>
      <c r="D500" s="2" t="str">
        <f t="shared" si="7"/>
        <v>IPL-2018</v>
      </c>
      <c r="E500" s="2">
        <f>YEAR('IPL Info'!$F500)</f>
        <v>2018</v>
      </c>
      <c r="F500" s="3">
        <v>43225</v>
      </c>
      <c r="G500" s="2" t="s">
        <v>51</v>
      </c>
      <c r="H500" s="2" t="s">
        <v>18</v>
      </c>
      <c r="I500" s="2" t="s">
        <v>19</v>
      </c>
      <c r="J500" s="2" t="s">
        <v>20</v>
      </c>
      <c r="K500" s="2" t="s">
        <v>51</v>
      </c>
      <c r="L500" s="2" t="s">
        <v>305</v>
      </c>
      <c r="M500" s="2" t="s">
        <v>1179</v>
      </c>
      <c r="N500" s="2" t="s">
        <v>635</v>
      </c>
      <c r="O500" s="2" t="s">
        <v>1227</v>
      </c>
      <c r="P500" s="2" t="s">
        <v>1228</v>
      </c>
    </row>
    <row r="501" spans="1:16" ht="15.6" x14ac:dyDescent="0.3">
      <c r="A501" s="4">
        <v>1136594</v>
      </c>
      <c r="B501" s="4" t="s">
        <v>925</v>
      </c>
      <c r="C501" s="4" t="s">
        <v>26</v>
      </c>
      <c r="D501" s="4" t="str">
        <f t="shared" si="7"/>
        <v>IPL-2018</v>
      </c>
      <c r="E501" s="4">
        <f>YEAR('IPL Info'!$F501)</f>
        <v>2018</v>
      </c>
      <c r="F501" s="5">
        <v>43224</v>
      </c>
      <c r="G501" s="4" t="s">
        <v>26</v>
      </c>
      <c r="H501" s="4" t="s">
        <v>18</v>
      </c>
      <c r="I501" s="4" t="s">
        <v>19</v>
      </c>
      <c r="J501" s="4" t="s">
        <v>20</v>
      </c>
      <c r="K501" s="4" t="s">
        <v>26</v>
      </c>
      <c r="L501" s="4" t="s">
        <v>72</v>
      </c>
      <c r="M501" s="4" t="s">
        <v>1198</v>
      </c>
      <c r="N501" s="4" t="s">
        <v>1199</v>
      </c>
      <c r="O501" s="4" t="s">
        <v>1229</v>
      </c>
      <c r="P501" s="4" t="s">
        <v>1230</v>
      </c>
    </row>
    <row r="502" spans="1:16" ht="15.6" x14ac:dyDescent="0.3">
      <c r="A502" s="2">
        <v>1136593</v>
      </c>
      <c r="B502" s="2" t="s">
        <v>51</v>
      </c>
      <c r="C502" s="2" t="s">
        <v>56</v>
      </c>
      <c r="D502" s="2" t="str">
        <f t="shared" si="7"/>
        <v>IPL-2018</v>
      </c>
      <c r="E502" s="2">
        <f>YEAR('IPL Info'!$F502)</f>
        <v>2018</v>
      </c>
      <c r="F502" s="3">
        <v>43223</v>
      </c>
      <c r="G502" s="2" t="s">
        <v>56</v>
      </c>
      <c r="H502" s="2" t="s">
        <v>18</v>
      </c>
      <c r="I502" s="2" t="s">
        <v>19</v>
      </c>
      <c r="J502" s="2" t="s">
        <v>20</v>
      </c>
      <c r="K502" s="2" t="s">
        <v>56</v>
      </c>
      <c r="L502" s="2" t="s">
        <v>129</v>
      </c>
      <c r="M502" s="2" t="s">
        <v>1064</v>
      </c>
      <c r="N502" s="2" t="s">
        <v>98</v>
      </c>
      <c r="O502" s="2" t="s">
        <v>1231</v>
      </c>
      <c r="P502" s="2" t="s">
        <v>1232</v>
      </c>
    </row>
    <row r="503" spans="1:16" ht="15.6" x14ac:dyDescent="0.3">
      <c r="A503" s="4">
        <v>1136592</v>
      </c>
      <c r="B503" s="4" t="s">
        <v>1182</v>
      </c>
      <c r="C503" s="4" t="s">
        <v>77</v>
      </c>
      <c r="D503" s="4" t="str">
        <f t="shared" si="7"/>
        <v>IPL-2018</v>
      </c>
      <c r="E503" s="4">
        <f>YEAR('IPL Info'!$F503)</f>
        <v>2018</v>
      </c>
      <c r="F503" s="5">
        <v>43222</v>
      </c>
      <c r="G503" s="4" t="s">
        <v>77</v>
      </c>
      <c r="H503" s="4" t="s">
        <v>18</v>
      </c>
      <c r="I503" s="4" t="s">
        <v>19</v>
      </c>
      <c r="J503" s="4" t="s">
        <v>20</v>
      </c>
      <c r="K503" s="4" t="s">
        <v>1182</v>
      </c>
      <c r="L503" s="4" t="s">
        <v>339</v>
      </c>
      <c r="M503" s="4" t="s">
        <v>1051</v>
      </c>
      <c r="N503" s="4" t="s">
        <v>59</v>
      </c>
      <c r="O503" s="4" t="s">
        <v>1233</v>
      </c>
      <c r="P503" s="4" t="s">
        <v>1234</v>
      </c>
    </row>
    <row r="504" spans="1:16" ht="15.6" x14ac:dyDescent="0.3">
      <c r="A504" s="2">
        <v>1136591</v>
      </c>
      <c r="B504" s="2" t="s">
        <v>445</v>
      </c>
      <c r="C504" s="2" t="s">
        <v>26</v>
      </c>
      <c r="D504" s="2" t="str">
        <f t="shared" si="7"/>
        <v>IPL-2018</v>
      </c>
      <c r="E504" s="2">
        <f>YEAR('IPL Info'!$F504)</f>
        <v>2018</v>
      </c>
      <c r="F504" s="3">
        <v>43221</v>
      </c>
      <c r="G504" s="2" t="s">
        <v>26</v>
      </c>
      <c r="H504" s="2" t="s">
        <v>18</v>
      </c>
      <c r="I504" s="2" t="s">
        <v>19</v>
      </c>
      <c r="J504" s="2" t="s">
        <v>20</v>
      </c>
      <c r="K504" s="2" t="s">
        <v>445</v>
      </c>
      <c r="L504" s="2" t="s">
        <v>1235</v>
      </c>
      <c r="M504" s="2" t="s">
        <v>1048</v>
      </c>
      <c r="N504" s="2" t="s">
        <v>116</v>
      </c>
      <c r="O504" s="2" t="s">
        <v>1236</v>
      </c>
      <c r="P504" s="2" t="s">
        <v>1237</v>
      </c>
    </row>
    <row r="505" spans="1:16" ht="15.6" x14ac:dyDescent="0.3">
      <c r="A505" s="4">
        <v>1136590</v>
      </c>
      <c r="B505" s="4" t="s">
        <v>51</v>
      </c>
      <c r="C505" s="4" t="s">
        <v>1182</v>
      </c>
      <c r="D505" s="4" t="str">
        <f t="shared" si="7"/>
        <v>IPL-2018</v>
      </c>
      <c r="E505" s="4">
        <f>YEAR('IPL Info'!$F505)</f>
        <v>2018</v>
      </c>
      <c r="F505" s="5">
        <v>43220</v>
      </c>
      <c r="G505" s="4" t="s">
        <v>1182</v>
      </c>
      <c r="H505" s="4" t="s">
        <v>18</v>
      </c>
      <c r="I505" s="4" t="s">
        <v>19</v>
      </c>
      <c r="J505" s="4" t="s">
        <v>20</v>
      </c>
      <c r="K505" s="4" t="s">
        <v>51</v>
      </c>
      <c r="L505" s="4" t="s">
        <v>996</v>
      </c>
      <c r="M505" s="4" t="s">
        <v>1179</v>
      </c>
      <c r="N505" s="4" t="s">
        <v>635</v>
      </c>
      <c r="O505" s="4" t="s">
        <v>1238</v>
      </c>
      <c r="P505" s="4" t="s">
        <v>1239</v>
      </c>
    </row>
    <row r="506" spans="1:16" ht="15.6" x14ac:dyDescent="0.3">
      <c r="A506" s="2">
        <v>1136588</v>
      </c>
      <c r="B506" s="2" t="s">
        <v>55</v>
      </c>
      <c r="C506" s="2" t="s">
        <v>77</v>
      </c>
      <c r="D506" s="2" t="str">
        <f t="shared" si="7"/>
        <v>IPL-2018</v>
      </c>
      <c r="E506" s="2">
        <f>YEAR('IPL Info'!$F506)</f>
        <v>2018</v>
      </c>
      <c r="F506" s="3">
        <v>43219</v>
      </c>
      <c r="G506" s="2" t="s">
        <v>55</v>
      </c>
      <c r="H506" s="2" t="s">
        <v>31</v>
      </c>
      <c r="I506" s="2" t="s">
        <v>19</v>
      </c>
      <c r="J506" s="2" t="s">
        <v>20</v>
      </c>
      <c r="K506" s="2" t="s">
        <v>55</v>
      </c>
      <c r="L506" s="2" t="s">
        <v>723</v>
      </c>
      <c r="M506" s="2" t="s">
        <v>1069</v>
      </c>
      <c r="N506" s="2" t="s">
        <v>48</v>
      </c>
      <c r="O506" s="2" t="s">
        <v>1240</v>
      </c>
      <c r="P506" s="2" t="s">
        <v>1241</v>
      </c>
    </row>
    <row r="507" spans="1:16" ht="15.6" x14ac:dyDescent="0.3">
      <c r="A507" s="4">
        <v>1136589</v>
      </c>
      <c r="B507" s="4" t="s">
        <v>445</v>
      </c>
      <c r="C507" s="4" t="s">
        <v>56</v>
      </c>
      <c r="D507" s="4" t="str">
        <f t="shared" si="7"/>
        <v>IPL-2018</v>
      </c>
      <c r="E507" s="4">
        <f>YEAR('IPL Info'!$F507)</f>
        <v>2018</v>
      </c>
      <c r="F507" s="5">
        <v>43219</v>
      </c>
      <c r="G507" s="4" t="s">
        <v>56</v>
      </c>
      <c r="H507" s="4" t="s">
        <v>18</v>
      </c>
      <c r="I507" s="4" t="s">
        <v>19</v>
      </c>
      <c r="J507" s="4" t="s">
        <v>20</v>
      </c>
      <c r="K507" s="4" t="s">
        <v>56</v>
      </c>
      <c r="L507" s="4" t="s">
        <v>1185</v>
      </c>
      <c r="M507" s="4" t="s">
        <v>1048</v>
      </c>
      <c r="N507" s="4" t="s">
        <v>116</v>
      </c>
      <c r="O507" s="4" t="s">
        <v>1242</v>
      </c>
      <c r="P507" s="4" t="s">
        <v>1243</v>
      </c>
    </row>
    <row r="508" spans="1:16" ht="15.6" x14ac:dyDescent="0.3">
      <c r="A508" s="2">
        <v>1136587</v>
      </c>
      <c r="B508" s="2" t="s">
        <v>51</v>
      </c>
      <c r="C508" s="2" t="s">
        <v>26</v>
      </c>
      <c r="D508" s="2" t="str">
        <f t="shared" si="7"/>
        <v>IPL-2018</v>
      </c>
      <c r="E508" s="2">
        <f>YEAR('IPL Info'!$F508)</f>
        <v>2018</v>
      </c>
      <c r="F508" s="3">
        <v>43218</v>
      </c>
      <c r="G508" s="2" t="s">
        <v>26</v>
      </c>
      <c r="H508" s="2" t="s">
        <v>18</v>
      </c>
      <c r="I508" s="2" t="s">
        <v>19</v>
      </c>
      <c r="J508" s="2" t="s">
        <v>20</v>
      </c>
      <c r="K508" s="2" t="s">
        <v>26</v>
      </c>
      <c r="L508" s="2" t="s">
        <v>32</v>
      </c>
      <c r="M508" s="2" t="s">
        <v>1179</v>
      </c>
      <c r="N508" s="2" t="s">
        <v>635</v>
      </c>
      <c r="O508" s="2" t="s">
        <v>1244</v>
      </c>
      <c r="P508" s="2" t="s">
        <v>1245</v>
      </c>
    </row>
    <row r="509" spans="1:16" ht="15.6" x14ac:dyDescent="0.3">
      <c r="A509" s="4">
        <v>1136586</v>
      </c>
      <c r="B509" s="4" t="s">
        <v>1182</v>
      </c>
      <c r="C509" s="4" t="s">
        <v>56</v>
      </c>
      <c r="D509" s="4" t="str">
        <f t="shared" si="7"/>
        <v>IPL-2018</v>
      </c>
      <c r="E509" s="4">
        <f>YEAR('IPL Info'!$F509)</f>
        <v>2018</v>
      </c>
      <c r="F509" s="5">
        <v>43217</v>
      </c>
      <c r="G509" s="4" t="s">
        <v>56</v>
      </c>
      <c r="H509" s="4" t="s">
        <v>18</v>
      </c>
      <c r="I509" s="4" t="s">
        <v>19</v>
      </c>
      <c r="J509" s="4" t="s">
        <v>20</v>
      </c>
      <c r="K509" s="4" t="s">
        <v>1182</v>
      </c>
      <c r="L509" s="4" t="s">
        <v>27</v>
      </c>
      <c r="M509" s="4" t="s">
        <v>1051</v>
      </c>
      <c r="N509" s="4" t="s">
        <v>59</v>
      </c>
      <c r="O509" s="4" t="s">
        <v>1239</v>
      </c>
      <c r="P509" s="4" t="s">
        <v>1246</v>
      </c>
    </row>
    <row r="510" spans="1:16" ht="15.6" x14ac:dyDescent="0.3">
      <c r="A510" s="2">
        <v>1136585</v>
      </c>
      <c r="B510" s="2" t="s">
        <v>55</v>
      </c>
      <c r="C510" s="2" t="s">
        <v>925</v>
      </c>
      <c r="D510" s="2" t="str">
        <f t="shared" si="7"/>
        <v>IPL-2018</v>
      </c>
      <c r="E510" s="2">
        <f>YEAR('IPL Info'!$F510)</f>
        <v>2018</v>
      </c>
      <c r="F510" s="3">
        <v>43216</v>
      </c>
      <c r="G510" s="2" t="s">
        <v>925</v>
      </c>
      <c r="H510" s="2" t="s">
        <v>18</v>
      </c>
      <c r="I510" s="2" t="s">
        <v>19</v>
      </c>
      <c r="J510" s="2" t="s">
        <v>20</v>
      </c>
      <c r="K510" s="2" t="s">
        <v>55</v>
      </c>
      <c r="L510" s="2" t="s">
        <v>1247</v>
      </c>
      <c r="M510" s="2" t="s">
        <v>1031</v>
      </c>
      <c r="N510" s="2" t="s">
        <v>105</v>
      </c>
      <c r="O510" s="2" t="s">
        <v>1248</v>
      </c>
      <c r="P510" s="2" t="s">
        <v>1249</v>
      </c>
    </row>
    <row r="511" spans="1:16" ht="15.6" x14ac:dyDescent="0.3">
      <c r="A511" s="4">
        <v>1136584</v>
      </c>
      <c r="B511" s="4" t="s">
        <v>445</v>
      </c>
      <c r="C511" s="4" t="s">
        <v>51</v>
      </c>
      <c r="D511" s="4" t="str">
        <f t="shared" si="7"/>
        <v>IPL-2018</v>
      </c>
      <c r="E511" s="4">
        <f>YEAR('IPL Info'!$F511)</f>
        <v>2018</v>
      </c>
      <c r="F511" s="5">
        <v>43215</v>
      </c>
      <c r="G511" s="4" t="s">
        <v>51</v>
      </c>
      <c r="H511" s="4" t="s">
        <v>18</v>
      </c>
      <c r="I511" s="4" t="s">
        <v>19</v>
      </c>
      <c r="J511" s="4" t="s">
        <v>20</v>
      </c>
      <c r="K511" s="4" t="s">
        <v>51</v>
      </c>
      <c r="L511" s="4" t="s">
        <v>180</v>
      </c>
      <c r="M511" s="4" t="s">
        <v>1048</v>
      </c>
      <c r="N511" s="4" t="s">
        <v>116</v>
      </c>
      <c r="O511" s="4" t="s">
        <v>1250</v>
      </c>
      <c r="P511" s="4" t="s">
        <v>1251</v>
      </c>
    </row>
    <row r="512" spans="1:16" ht="15.6" x14ac:dyDescent="0.3">
      <c r="A512" s="2">
        <v>1136583</v>
      </c>
      <c r="B512" s="2" t="s">
        <v>55</v>
      </c>
      <c r="C512" s="2" t="s">
        <v>26</v>
      </c>
      <c r="D512" s="2" t="str">
        <f t="shared" si="7"/>
        <v>IPL-2018</v>
      </c>
      <c r="E512" s="2">
        <f>YEAR('IPL Info'!$F512)</f>
        <v>2018</v>
      </c>
      <c r="F512" s="3">
        <v>43214</v>
      </c>
      <c r="G512" s="2" t="s">
        <v>26</v>
      </c>
      <c r="H512" s="2" t="s">
        <v>18</v>
      </c>
      <c r="I512" s="2" t="s">
        <v>19</v>
      </c>
      <c r="J512" s="2" t="s">
        <v>20</v>
      </c>
      <c r="K512" s="2" t="s">
        <v>55</v>
      </c>
      <c r="L512" s="2" t="s">
        <v>377</v>
      </c>
      <c r="M512" s="2" t="s">
        <v>1045</v>
      </c>
      <c r="N512" s="2" t="s">
        <v>74</v>
      </c>
      <c r="O512" s="2" t="s">
        <v>1248</v>
      </c>
      <c r="P512" s="2" t="s">
        <v>1252</v>
      </c>
    </row>
    <row r="513" spans="1:16" ht="15.6" x14ac:dyDescent="0.3">
      <c r="A513" s="4">
        <v>1136582</v>
      </c>
      <c r="B513" s="4" t="s">
        <v>925</v>
      </c>
      <c r="C513" s="4" t="s">
        <v>1182</v>
      </c>
      <c r="D513" s="4" t="str">
        <f t="shared" si="7"/>
        <v>IPL-2018</v>
      </c>
      <c r="E513" s="4">
        <f>YEAR('IPL Info'!$F513)</f>
        <v>2018</v>
      </c>
      <c r="F513" s="5">
        <v>43213</v>
      </c>
      <c r="G513" s="4" t="s">
        <v>1182</v>
      </c>
      <c r="H513" s="4" t="s">
        <v>18</v>
      </c>
      <c r="I513" s="4" t="s">
        <v>19</v>
      </c>
      <c r="J513" s="4" t="s">
        <v>20</v>
      </c>
      <c r="K513" s="4" t="s">
        <v>925</v>
      </c>
      <c r="L513" s="4" t="s">
        <v>1247</v>
      </c>
      <c r="M513" s="4" t="s">
        <v>1051</v>
      </c>
      <c r="N513" s="4" t="s">
        <v>59</v>
      </c>
      <c r="O513" s="4" t="s">
        <v>1253</v>
      </c>
      <c r="P513" s="4" t="s">
        <v>1254</v>
      </c>
    </row>
    <row r="514" spans="1:16" ht="15.6" x14ac:dyDescent="0.3">
      <c r="A514" s="2">
        <v>1136581</v>
      </c>
      <c r="B514" s="2" t="s">
        <v>26</v>
      </c>
      <c r="C514" s="2" t="s">
        <v>77</v>
      </c>
      <c r="D514" s="2" t="str">
        <f t="shared" si="7"/>
        <v>IPL-2018</v>
      </c>
      <c r="E514" s="2">
        <f>YEAR('IPL Info'!$F514)</f>
        <v>2018</v>
      </c>
      <c r="F514" s="3">
        <v>43212</v>
      </c>
      <c r="G514" s="2" t="s">
        <v>26</v>
      </c>
      <c r="H514" s="2" t="s">
        <v>31</v>
      </c>
      <c r="I514" s="2" t="s">
        <v>19</v>
      </c>
      <c r="J514" s="2" t="s">
        <v>20</v>
      </c>
      <c r="K514" s="2" t="s">
        <v>77</v>
      </c>
      <c r="L514" s="2" t="s">
        <v>215</v>
      </c>
      <c r="M514" s="2" t="s">
        <v>1069</v>
      </c>
      <c r="N514" s="2" t="s">
        <v>48</v>
      </c>
      <c r="O514" s="2" t="s">
        <v>1255</v>
      </c>
      <c r="P514" s="2" t="s">
        <v>1256</v>
      </c>
    </row>
    <row r="515" spans="1:16" ht="15.6" x14ac:dyDescent="0.3">
      <c r="A515" s="4">
        <v>1136580</v>
      </c>
      <c r="B515" s="4" t="s">
        <v>51</v>
      </c>
      <c r="C515" s="4" t="s">
        <v>55</v>
      </c>
      <c r="D515" s="4" t="str">
        <f t="shared" ref="D515:D578" si="8">_xlfn.SINGLE(_xlfn.CONCAT("IPL-",E515))</f>
        <v>IPL-2018</v>
      </c>
      <c r="E515" s="4">
        <f>YEAR('IPL Info'!$F515)</f>
        <v>2018</v>
      </c>
      <c r="F515" s="5">
        <v>43212</v>
      </c>
      <c r="G515" s="4" t="s">
        <v>55</v>
      </c>
      <c r="H515" s="4" t="s">
        <v>18</v>
      </c>
      <c r="I515" s="4" t="s">
        <v>19</v>
      </c>
      <c r="J515" s="4" t="s">
        <v>20</v>
      </c>
      <c r="K515" s="4" t="s">
        <v>51</v>
      </c>
      <c r="L515" s="4" t="s">
        <v>1028</v>
      </c>
      <c r="M515" s="4" t="s">
        <v>1031</v>
      </c>
      <c r="N515" s="4" t="s">
        <v>105</v>
      </c>
      <c r="O515" s="4" t="s">
        <v>1257</v>
      </c>
      <c r="P515" s="4" t="s">
        <v>1258</v>
      </c>
    </row>
    <row r="516" spans="1:16" ht="15.6" x14ac:dyDescent="0.3">
      <c r="A516" s="2">
        <v>1136578</v>
      </c>
      <c r="B516" s="2" t="s">
        <v>56</v>
      </c>
      <c r="C516" s="2" t="s">
        <v>925</v>
      </c>
      <c r="D516" s="2" t="str">
        <f t="shared" si="8"/>
        <v>IPL-2018</v>
      </c>
      <c r="E516" s="2">
        <f>YEAR('IPL Info'!$F516)</f>
        <v>2018</v>
      </c>
      <c r="F516" s="3">
        <v>43211</v>
      </c>
      <c r="G516" s="2" t="s">
        <v>925</v>
      </c>
      <c r="H516" s="2" t="s">
        <v>18</v>
      </c>
      <c r="I516" s="2" t="s">
        <v>19</v>
      </c>
      <c r="J516" s="2" t="s">
        <v>20</v>
      </c>
      <c r="K516" s="2" t="s">
        <v>925</v>
      </c>
      <c r="L516" s="2" t="s">
        <v>196</v>
      </c>
      <c r="M516" s="2" t="s">
        <v>1064</v>
      </c>
      <c r="N516" s="2" t="s">
        <v>98</v>
      </c>
      <c r="O516" s="2" t="s">
        <v>1259</v>
      </c>
      <c r="P516" s="2" t="s">
        <v>1260</v>
      </c>
    </row>
    <row r="517" spans="1:16" ht="15.6" x14ac:dyDescent="0.3">
      <c r="A517" s="4">
        <v>1136579</v>
      </c>
      <c r="B517" s="4" t="s">
        <v>1182</v>
      </c>
      <c r="C517" s="4" t="s">
        <v>445</v>
      </c>
      <c r="D517" s="4" t="str">
        <f t="shared" si="8"/>
        <v>IPL-2018</v>
      </c>
      <c r="E517" s="4">
        <f>YEAR('IPL Info'!$F517)</f>
        <v>2018</v>
      </c>
      <c r="F517" s="5">
        <v>43211</v>
      </c>
      <c r="G517" s="4" t="s">
        <v>445</v>
      </c>
      <c r="H517" s="4" t="s">
        <v>18</v>
      </c>
      <c r="I517" s="4" t="s">
        <v>19</v>
      </c>
      <c r="J517" s="4" t="s">
        <v>20</v>
      </c>
      <c r="K517" s="4" t="s">
        <v>445</v>
      </c>
      <c r="L517" s="4" t="s">
        <v>861</v>
      </c>
      <c r="M517" s="4" t="s">
        <v>1048</v>
      </c>
      <c r="N517" s="4" t="s">
        <v>116</v>
      </c>
      <c r="O517" s="4" t="s">
        <v>1261</v>
      </c>
      <c r="P517" s="4" t="s">
        <v>1262</v>
      </c>
    </row>
    <row r="518" spans="1:16" ht="15.6" x14ac:dyDescent="0.3">
      <c r="A518" s="2">
        <v>1136577</v>
      </c>
      <c r="B518" s="2" t="s">
        <v>51</v>
      </c>
      <c r="C518" s="2" t="s">
        <v>77</v>
      </c>
      <c r="D518" s="2" t="str">
        <f t="shared" si="8"/>
        <v>IPL-2018</v>
      </c>
      <c r="E518" s="2">
        <f>YEAR('IPL Info'!$F518)</f>
        <v>2018</v>
      </c>
      <c r="F518" s="3">
        <v>43210</v>
      </c>
      <c r="G518" s="2" t="s">
        <v>77</v>
      </c>
      <c r="H518" s="2" t="s">
        <v>18</v>
      </c>
      <c r="I518" s="2" t="s">
        <v>19</v>
      </c>
      <c r="J518" s="2" t="s">
        <v>20</v>
      </c>
      <c r="K518" s="2" t="s">
        <v>51</v>
      </c>
      <c r="L518" s="2" t="s">
        <v>996</v>
      </c>
      <c r="M518" s="2" t="s">
        <v>1179</v>
      </c>
      <c r="N518" s="2" t="s">
        <v>635</v>
      </c>
      <c r="O518" s="2" t="s">
        <v>1263</v>
      </c>
      <c r="P518" s="2" t="s">
        <v>1264</v>
      </c>
    </row>
    <row r="519" spans="1:16" ht="15.6" x14ac:dyDescent="0.3">
      <c r="A519" s="4">
        <v>1136576</v>
      </c>
      <c r="B519" s="4" t="s">
        <v>925</v>
      </c>
      <c r="C519" s="4" t="s">
        <v>55</v>
      </c>
      <c r="D519" s="4" t="str">
        <f t="shared" si="8"/>
        <v>IPL-2018</v>
      </c>
      <c r="E519" s="4">
        <f>YEAR('IPL Info'!$F519)</f>
        <v>2018</v>
      </c>
      <c r="F519" s="5">
        <v>43209</v>
      </c>
      <c r="G519" s="4" t="s">
        <v>925</v>
      </c>
      <c r="H519" s="4" t="s">
        <v>31</v>
      </c>
      <c r="I519" s="4" t="s">
        <v>19</v>
      </c>
      <c r="J519" s="4" t="s">
        <v>20</v>
      </c>
      <c r="K519" s="4" t="s">
        <v>925</v>
      </c>
      <c r="L519" s="4" t="s">
        <v>941</v>
      </c>
      <c r="M519" s="4" t="s">
        <v>1042</v>
      </c>
      <c r="N519" s="4" t="s">
        <v>502</v>
      </c>
      <c r="O519" s="4" t="s">
        <v>1265</v>
      </c>
      <c r="P519" s="4" t="s">
        <v>1266</v>
      </c>
    </row>
    <row r="520" spans="1:16" ht="15.6" x14ac:dyDescent="0.3">
      <c r="A520" s="2">
        <v>1136575</v>
      </c>
      <c r="B520" s="2" t="s">
        <v>77</v>
      </c>
      <c r="C520" s="2" t="s">
        <v>56</v>
      </c>
      <c r="D520" s="2" t="str">
        <f t="shared" si="8"/>
        <v>IPL-2018</v>
      </c>
      <c r="E520" s="2">
        <f>YEAR('IPL Info'!$F520)</f>
        <v>2018</v>
      </c>
      <c r="F520" s="3">
        <v>43208</v>
      </c>
      <c r="G520" s="2" t="s">
        <v>56</v>
      </c>
      <c r="H520" s="2" t="s">
        <v>18</v>
      </c>
      <c r="I520" s="2" t="s">
        <v>19</v>
      </c>
      <c r="J520" s="2" t="s">
        <v>20</v>
      </c>
      <c r="K520" s="2" t="s">
        <v>56</v>
      </c>
      <c r="L520" s="2" t="s">
        <v>235</v>
      </c>
      <c r="M520" s="2" t="s">
        <v>1069</v>
      </c>
      <c r="N520" s="2" t="s">
        <v>48</v>
      </c>
      <c r="O520" s="2" t="s">
        <v>1267</v>
      </c>
      <c r="P520" s="2" t="s">
        <v>1268</v>
      </c>
    </row>
    <row r="521" spans="1:16" ht="15.6" x14ac:dyDescent="0.3">
      <c r="A521" s="4">
        <v>1136574</v>
      </c>
      <c r="B521" s="4" t="s">
        <v>26</v>
      </c>
      <c r="C521" s="4" t="s">
        <v>445</v>
      </c>
      <c r="D521" s="4" t="str">
        <f t="shared" si="8"/>
        <v>IPL-2018</v>
      </c>
      <c r="E521" s="4">
        <f>YEAR('IPL Info'!$F521)</f>
        <v>2018</v>
      </c>
      <c r="F521" s="5">
        <v>43207</v>
      </c>
      <c r="G521" s="4" t="s">
        <v>445</v>
      </c>
      <c r="H521" s="4" t="s">
        <v>18</v>
      </c>
      <c r="I521" s="4" t="s">
        <v>19</v>
      </c>
      <c r="J521" s="4" t="s">
        <v>20</v>
      </c>
      <c r="K521" s="4" t="s">
        <v>26</v>
      </c>
      <c r="L521" s="4" t="s">
        <v>32</v>
      </c>
      <c r="M521" s="4" t="s">
        <v>1045</v>
      </c>
      <c r="N521" s="4" t="s">
        <v>74</v>
      </c>
      <c r="O521" s="4" t="s">
        <v>1252</v>
      </c>
      <c r="P521" s="4" t="s">
        <v>1269</v>
      </c>
    </row>
    <row r="522" spans="1:16" ht="15.6" x14ac:dyDescent="0.3">
      <c r="A522" s="2">
        <v>1136573</v>
      </c>
      <c r="B522" s="2" t="s">
        <v>56</v>
      </c>
      <c r="C522" s="2" t="s">
        <v>1182</v>
      </c>
      <c r="D522" s="2" t="str">
        <f t="shared" si="8"/>
        <v>IPL-2018</v>
      </c>
      <c r="E522" s="2">
        <f>YEAR('IPL Info'!$F522)</f>
        <v>2018</v>
      </c>
      <c r="F522" s="3">
        <v>43206</v>
      </c>
      <c r="G522" s="2" t="s">
        <v>1182</v>
      </c>
      <c r="H522" s="2" t="s">
        <v>18</v>
      </c>
      <c r="I522" s="2" t="s">
        <v>19</v>
      </c>
      <c r="J522" s="2" t="s">
        <v>20</v>
      </c>
      <c r="K522" s="2" t="s">
        <v>56</v>
      </c>
      <c r="L522" s="2" t="s">
        <v>235</v>
      </c>
      <c r="M522" s="2" t="s">
        <v>1064</v>
      </c>
      <c r="N522" s="2" t="s">
        <v>98</v>
      </c>
      <c r="O522" s="2" t="s">
        <v>1259</v>
      </c>
      <c r="P522" s="2" t="s">
        <v>1270</v>
      </c>
    </row>
    <row r="523" spans="1:16" ht="15.6" x14ac:dyDescent="0.3">
      <c r="A523" s="4">
        <v>1136571</v>
      </c>
      <c r="B523" s="4" t="s">
        <v>77</v>
      </c>
      <c r="C523" s="4" t="s">
        <v>445</v>
      </c>
      <c r="D523" s="4" t="str">
        <f t="shared" si="8"/>
        <v>IPL-2018</v>
      </c>
      <c r="E523" s="4">
        <f>YEAR('IPL Info'!$F523)</f>
        <v>2018</v>
      </c>
      <c r="F523" s="5">
        <v>43205</v>
      </c>
      <c r="G523" s="4" t="s">
        <v>445</v>
      </c>
      <c r="H523" s="4" t="s">
        <v>18</v>
      </c>
      <c r="I523" s="4" t="s">
        <v>19</v>
      </c>
      <c r="J523" s="4" t="s">
        <v>20</v>
      </c>
      <c r="K523" s="4" t="s">
        <v>77</v>
      </c>
      <c r="L523" s="4" t="s">
        <v>331</v>
      </c>
      <c r="M523" s="4" t="s">
        <v>1048</v>
      </c>
      <c r="N523" s="4" t="s">
        <v>116</v>
      </c>
      <c r="O523" s="4" t="s">
        <v>1271</v>
      </c>
      <c r="P523" s="4" t="s">
        <v>1272</v>
      </c>
    </row>
    <row r="524" spans="1:16" ht="15.6" x14ac:dyDescent="0.3">
      <c r="A524" s="2">
        <v>1136572</v>
      </c>
      <c r="B524" s="2" t="s">
        <v>925</v>
      </c>
      <c r="C524" s="2" t="s">
        <v>51</v>
      </c>
      <c r="D524" s="2" t="str">
        <f t="shared" si="8"/>
        <v>IPL-2018</v>
      </c>
      <c r="E524" s="2">
        <f>YEAR('IPL Info'!$F524)</f>
        <v>2018</v>
      </c>
      <c r="F524" s="3">
        <v>43205</v>
      </c>
      <c r="G524" s="2" t="s">
        <v>51</v>
      </c>
      <c r="H524" s="2" t="s">
        <v>18</v>
      </c>
      <c r="I524" s="2" t="s">
        <v>19</v>
      </c>
      <c r="J524" s="2" t="s">
        <v>20</v>
      </c>
      <c r="K524" s="2" t="s">
        <v>925</v>
      </c>
      <c r="L524" s="2" t="s">
        <v>941</v>
      </c>
      <c r="M524" s="2" t="s">
        <v>1042</v>
      </c>
      <c r="N524" s="2" t="s">
        <v>502</v>
      </c>
      <c r="O524" s="2" t="s">
        <v>1273</v>
      </c>
      <c r="P524" s="2" t="s">
        <v>1274</v>
      </c>
    </row>
    <row r="525" spans="1:16" ht="15.6" x14ac:dyDescent="0.3">
      <c r="A525" s="4">
        <v>1136569</v>
      </c>
      <c r="B525" s="4" t="s">
        <v>26</v>
      </c>
      <c r="C525" s="4" t="s">
        <v>1182</v>
      </c>
      <c r="D525" s="4" t="str">
        <f t="shared" si="8"/>
        <v>IPL-2018</v>
      </c>
      <c r="E525" s="4">
        <f>YEAR('IPL Info'!$F525)</f>
        <v>2018</v>
      </c>
      <c r="F525" s="5">
        <v>43204</v>
      </c>
      <c r="G525" s="4" t="s">
        <v>1182</v>
      </c>
      <c r="H525" s="4" t="s">
        <v>18</v>
      </c>
      <c r="I525" s="4" t="s">
        <v>19</v>
      </c>
      <c r="J525" s="4" t="s">
        <v>20</v>
      </c>
      <c r="K525" s="4" t="s">
        <v>1182</v>
      </c>
      <c r="L525" s="4" t="s">
        <v>822</v>
      </c>
      <c r="M525" s="4" t="s">
        <v>1045</v>
      </c>
      <c r="N525" s="4" t="s">
        <v>74</v>
      </c>
      <c r="O525" s="4" t="s">
        <v>1275</v>
      </c>
      <c r="P525" s="4" t="s">
        <v>1276</v>
      </c>
    </row>
    <row r="526" spans="1:16" ht="15.6" x14ac:dyDescent="0.3">
      <c r="A526" s="2">
        <v>1136570</v>
      </c>
      <c r="B526" s="2" t="s">
        <v>56</v>
      </c>
      <c r="C526" s="2" t="s">
        <v>55</v>
      </c>
      <c r="D526" s="2" t="str">
        <f t="shared" si="8"/>
        <v>IPL-2018</v>
      </c>
      <c r="E526" s="2">
        <f>YEAR('IPL Info'!$F526)</f>
        <v>2018</v>
      </c>
      <c r="F526" s="3">
        <v>43204</v>
      </c>
      <c r="G526" s="2" t="s">
        <v>55</v>
      </c>
      <c r="H526" s="2" t="s">
        <v>18</v>
      </c>
      <c r="I526" s="2" t="s">
        <v>19</v>
      </c>
      <c r="J526" s="2" t="s">
        <v>20</v>
      </c>
      <c r="K526" s="2" t="s">
        <v>55</v>
      </c>
      <c r="L526" s="2" t="s">
        <v>1277</v>
      </c>
      <c r="M526" s="2" t="s">
        <v>1064</v>
      </c>
      <c r="N526" s="2" t="s">
        <v>98</v>
      </c>
      <c r="O526" s="2" t="s">
        <v>1278</v>
      </c>
      <c r="P526" s="2" t="s">
        <v>1279</v>
      </c>
    </row>
    <row r="527" spans="1:16" ht="15.6" x14ac:dyDescent="0.3">
      <c r="A527" s="4">
        <v>1136568</v>
      </c>
      <c r="B527" s="4" t="s">
        <v>925</v>
      </c>
      <c r="C527" s="4" t="s">
        <v>445</v>
      </c>
      <c r="D527" s="4" t="str">
        <f t="shared" si="8"/>
        <v>IPL-2018</v>
      </c>
      <c r="E527" s="4">
        <f>YEAR('IPL Info'!$F527)</f>
        <v>2018</v>
      </c>
      <c r="F527" s="5">
        <v>43203</v>
      </c>
      <c r="G527" s="4" t="s">
        <v>445</v>
      </c>
      <c r="H527" s="4" t="s">
        <v>18</v>
      </c>
      <c r="I527" s="4" t="s">
        <v>19</v>
      </c>
      <c r="J527" s="4" t="s">
        <v>20</v>
      </c>
      <c r="K527" s="4" t="s">
        <v>445</v>
      </c>
      <c r="L527" s="4" t="s">
        <v>753</v>
      </c>
      <c r="M527" s="4" t="s">
        <v>1048</v>
      </c>
      <c r="N527" s="4" t="s">
        <v>116</v>
      </c>
      <c r="O527" s="4" t="s">
        <v>1280</v>
      </c>
      <c r="P527" s="4" t="s">
        <v>1281</v>
      </c>
    </row>
    <row r="528" spans="1:16" ht="15.6" x14ac:dyDescent="0.3">
      <c r="A528" s="2">
        <v>1136567</v>
      </c>
      <c r="B528" s="2" t="s">
        <v>26</v>
      </c>
      <c r="C528" s="2" t="s">
        <v>55</v>
      </c>
      <c r="D528" s="2" t="str">
        <f t="shared" si="8"/>
        <v>IPL-2018</v>
      </c>
      <c r="E528" s="2">
        <f>YEAR('IPL Info'!$F528)</f>
        <v>2018</v>
      </c>
      <c r="F528" s="3">
        <v>43202</v>
      </c>
      <c r="G528" s="2" t="s">
        <v>55</v>
      </c>
      <c r="H528" s="2" t="s">
        <v>18</v>
      </c>
      <c r="I528" s="2" t="s">
        <v>19</v>
      </c>
      <c r="J528" s="2" t="s">
        <v>20</v>
      </c>
      <c r="K528" s="2" t="s">
        <v>55</v>
      </c>
      <c r="L528" s="2" t="s">
        <v>377</v>
      </c>
      <c r="M528" s="2" t="s">
        <v>1031</v>
      </c>
      <c r="N528" s="2" t="s">
        <v>105</v>
      </c>
      <c r="O528" s="2" t="s">
        <v>1282</v>
      </c>
      <c r="P528" s="2" t="s">
        <v>1283</v>
      </c>
    </row>
    <row r="529" spans="1:16" ht="15.6" x14ac:dyDescent="0.3">
      <c r="A529" s="4">
        <v>1136566</v>
      </c>
      <c r="B529" s="4" t="s">
        <v>77</v>
      </c>
      <c r="C529" s="4" t="s">
        <v>1182</v>
      </c>
      <c r="D529" s="4" t="str">
        <f t="shared" si="8"/>
        <v>IPL-2018</v>
      </c>
      <c r="E529" s="4">
        <f>YEAR('IPL Info'!$F529)</f>
        <v>2018</v>
      </c>
      <c r="F529" s="5">
        <v>43201</v>
      </c>
      <c r="G529" s="4" t="s">
        <v>1182</v>
      </c>
      <c r="H529" s="4" t="s">
        <v>18</v>
      </c>
      <c r="I529" s="4" t="s">
        <v>19</v>
      </c>
      <c r="J529" s="4" t="s">
        <v>20</v>
      </c>
      <c r="K529" s="4" t="s">
        <v>77</v>
      </c>
      <c r="L529" s="4" t="s">
        <v>331</v>
      </c>
      <c r="M529" s="4" t="s">
        <v>1069</v>
      </c>
      <c r="N529" s="4" t="s">
        <v>48</v>
      </c>
      <c r="O529" s="4" t="s">
        <v>1284</v>
      </c>
      <c r="P529" s="4" t="s">
        <v>1285</v>
      </c>
    </row>
    <row r="530" spans="1:16" ht="15.6" x14ac:dyDescent="0.3">
      <c r="A530" s="2">
        <v>1136565</v>
      </c>
      <c r="B530" s="2" t="s">
        <v>56</v>
      </c>
      <c r="C530" s="2" t="s">
        <v>51</v>
      </c>
      <c r="D530" s="2" t="str">
        <f t="shared" si="8"/>
        <v>IPL-2018</v>
      </c>
      <c r="E530" s="2">
        <f>YEAR('IPL Info'!$F530)</f>
        <v>2018</v>
      </c>
      <c r="F530" s="3">
        <v>43200</v>
      </c>
      <c r="G530" s="2" t="s">
        <v>51</v>
      </c>
      <c r="H530" s="2" t="s">
        <v>18</v>
      </c>
      <c r="I530" s="2" t="s">
        <v>19</v>
      </c>
      <c r="J530" s="2" t="s">
        <v>20</v>
      </c>
      <c r="K530" s="2" t="s">
        <v>51</v>
      </c>
      <c r="L530" s="2" t="s">
        <v>1286</v>
      </c>
      <c r="M530" s="2" t="s">
        <v>1039</v>
      </c>
      <c r="N530" s="2" t="s">
        <v>126</v>
      </c>
      <c r="O530" s="2" t="s">
        <v>1287</v>
      </c>
      <c r="P530" s="2" t="s">
        <v>1288</v>
      </c>
    </row>
    <row r="531" spans="1:16" ht="15.6" x14ac:dyDescent="0.3">
      <c r="A531" s="4">
        <v>1136564</v>
      </c>
      <c r="B531" s="4" t="s">
        <v>77</v>
      </c>
      <c r="C531" s="4" t="s">
        <v>55</v>
      </c>
      <c r="D531" s="4" t="str">
        <f t="shared" si="8"/>
        <v>IPL-2018</v>
      </c>
      <c r="E531" s="4">
        <f>YEAR('IPL Info'!$F531)</f>
        <v>2018</v>
      </c>
      <c r="F531" s="5">
        <v>43199</v>
      </c>
      <c r="G531" s="4" t="s">
        <v>55</v>
      </c>
      <c r="H531" s="4" t="s">
        <v>18</v>
      </c>
      <c r="I531" s="4" t="s">
        <v>19</v>
      </c>
      <c r="J531" s="4" t="s">
        <v>20</v>
      </c>
      <c r="K531" s="4" t="s">
        <v>55</v>
      </c>
      <c r="L531" s="4" t="s">
        <v>571</v>
      </c>
      <c r="M531" s="4" t="s">
        <v>1031</v>
      </c>
      <c r="N531" s="4" t="s">
        <v>105</v>
      </c>
      <c r="O531" s="4" t="s">
        <v>1289</v>
      </c>
      <c r="P531" s="4" t="s">
        <v>1290</v>
      </c>
    </row>
    <row r="532" spans="1:16" ht="15.6" x14ac:dyDescent="0.3">
      <c r="A532" s="2">
        <v>1136563</v>
      </c>
      <c r="B532" s="2" t="s">
        <v>445</v>
      </c>
      <c r="C532" s="2" t="s">
        <v>56</v>
      </c>
      <c r="D532" s="2" t="str">
        <f t="shared" si="8"/>
        <v>IPL-2018</v>
      </c>
      <c r="E532" s="2">
        <f>YEAR('IPL Info'!$F532)</f>
        <v>2018</v>
      </c>
      <c r="F532" s="3">
        <v>43198</v>
      </c>
      <c r="G532" s="2" t="s">
        <v>56</v>
      </c>
      <c r="H532" s="2" t="s">
        <v>18</v>
      </c>
      <c r="I532" s="2" t="s">
        <v>19</v>
      </c>
      <c r="J532" s="2" t="s">
        <v>20</v>
      </c>
      <c r="K532" s="2" t="s">
        <v>56</v>
      </c>
      <c r="L532" s="2" t="s">
        <v>129</v>
      </c>
      <c r="M532" s="2" t="s">
        <v>1064</v>
      </c>
      <c r="N532" s="2" t="s">
        <v>98</v>
      </c>
      <c r="O532" s="2" t="s">
        <v>1291</v>
      </c>
      <c r="P532" s="2" t="s">
        <v>1292</v>
      </c>
    </row>
    <row r="533" spans="1:16" ht="15.6" x14ac:dyDescent="0.3">
      <c r="A533" s="4">
        <v>1136562</v>
      </c>
      <c r="B533" s="4" t="s">
        <v>1182</v>
      </c>
      <c r="C533" s="4" t="s">
        <v>925</v>
      </c>
      <c r="D533" s="4" t="str">
        <f t="shared" si="8"/>
        <v>IPL-2018</v>
      </c>
      <c r="E533" s="4">
        <f>YEAR('IPL Info'!$F533)</f>
        <v>2018</v>
      </c>
      <c r="F533" s="5">
        <v>43198</v>
      </c>
      <c r="G533" s="4" t="s">
        <v>925</v>
      </c>
      <c r="H533" s="4" t="s">
        <v>18</v>
      </c>
      <c r="I533" s="4" t="s">
        <v>19</v>
      </c>
      <c r="J533" s="4" t="s">
        <v>20</v>
      </c>
      <c r="K533" s="4" t="s">
        <v>925</v>
      </c>
      <c r="L533" s="4" t="s">
        <v>196</v>
      </c>
      <c r="M533" s="4" t="s">
        <v>1042</v>
      </c>
      <c r="N533" s="4" t="s">
        <v>502</v>
      </c>
      <c r="O533" s="4" t="s">
        <v>1293</v>
      </c>
      <c r="P533" s="4" t="s">
        <v>1294</v>
      </c>
    </row>
    <row r="534" spans="1:16" ht="15.6" x14ac:dyDescent="0.3">
      <c r="A534" s="2">
        <v>1136561</v>
      </c>
      <c r="B534" s="2" t="s">
        <v>26</v>
      </c>
      <c r="C534" s="2" t="s">
        <v>51</v>
      </c>
      <c r="D534" s="2" t="str">
        <f t="shared" si="8"/>
        <v>IPL-2018</v>
      </c>
      <c r="E534" s="2">
        <f>YEAR('IPL Info'!$F534)</f>
        <v>2018</v>
      </c>
      <c r="F534" s="3">
        <v>43197</v>
      </c>
      <c r="G534" s="2" t="s">
        <v>51</v>
      </c>
      <c r="H534" s="2" t="s">
        <v>18</v>
      </c>
      <c r="I534" s="2" t="s">
        <v>19</v>
      </c>
      <c r="J534" s="2" t="s">
        <v>20</v>
      </c>
      <c r="K534" s="2" t="s">
        <v>51</v>
      </c>
      <c r="L534" s="2" t="s">
        <v>834</v>
      </c>
      <c r="M534" s="2" t="s">
        <v>1045</v>
      </c>
      <c r="N534" s="2" t="s">
        <v>74</v>
      </c>
      <c r="O534" s="2" t="s">
        <v>1295</v>
      </c>
      <c r="P534" s="2" t="s">
        <v>1296</v>
      </c>
    </row>
    <row r="535" spans="1:16" ht="15.6" x14ac:dyDescent="0.3">
      <c r="A535" s="4">
        <v>1082650</v>
      </c>
      <c r="B535" s="4" t="s">
        <v>26</v>
      </c>
      <c r="C535" s="4" t="s">
        <v>1297</v>
      </c>
      <c r="D535" s="4" t="str">
        <f t="shared" si="8"/>
        <v>IPL-2017</v>
      </c>
      <c r="E535" s="4">
        <f>YEAR('IPL Info'!$F535)</f>
        <v>2017</v>
      </c>
      <c r="F535" s="5">
        <v>42876</v>
      </c>
      <c r="G535" s="4" t="s">
        <v>26</v>
      </c>
      <c r="H535" s="4" t="s">
        <v>31</v>
      </c>
      <c r="I535" s="4" t="s">
        <v>19</v>
      </c>
      <c r="J535" s="4" t="s">
        <v>20</v>
      </c>
      <c r="K535" s="4" t="s">
        <v>26</v>
      </c>
      <c r="L535" s="4" t="s">
        <v>21</v>
      </c>
      <c r="M535" s="4" t="s">
        <v>1298</v>
      </c>
      <c r="N535" s="4" t="s">
        <v>105</v>
      </c>
      <c r="O535" s="4" t="s">
        <v>1299</v>
      </c>
      <c r="P535" s="4" t="s">
        <v>1300</v>
      </c>
    </row>
    <row r="536" spans="1:16" ht="15.6" x14ac:dyDescent="0.3">
      <c r="A536" s="2">
        <v>1082649</v>
      </c>
      <c r="B536" s="2" t="s">
        <v>26</v>
      </c>
      <c r="C536" s="2" t="s">
        <v>56</v>
      </c>
      <c r="D536" s="2" t="str">
        <f t="shared" si="8"/>
        <v>IPL-2017</v>
      </c>
      <c r="E536" s="2">
        <f>YEAR('IPL Info'!$F536)</f>
        <v>2017</v>
      </c>
      <c r="F536" s="3">
        <v>42874</v>
      </c>
      <c r="G536" s="2" t="s">
        <v>26</v>
      </c>
      <c r="H536" s="2" t="s">
        <v>18</v>
      </c>
      <c r="I536" s="2" t="s">
        <v>19</v>
      </c>
      <c r="J536" s="2" t="s">
        <v>20</v>
      </c>
      <c r="K536" s="2" t="s">
        <v>26</v>
      </c>
      <c r="L536" s="2" t="s">
        <v>183</v>
      </c>
      <c r="M536" s="2" t="s">
        <v>1301</v>
      </c>
      <c r="N536" s="2" t="s">
        <v>1302</v>
      </c>
      <c r="O536" s="2" t="s">
        <v>1303</v>
      </c>
      <c r="P536" s="2" t="s">
        <v>1304</v>
      </c>
    </row>
    <row r="537" spans="1:16" ht="15.6" x14ac:dyDescent="0.3">
      <c r="A537" s="4">
        <v>1082648</v>
      </c>
      <c r="B537" s="4" t="s">
        <v>55</v>
      </c>
      <c r="C537" s="4" t="s">
        <v>56</v>
      </c>
      <c r="D537" s="4" t="str">
        <f t="shared" si="8"/>
        <v>IPL-2017</v>
      </c>
      <c r="E537" s="4">
        <f>YEAR('IPL Info'!$F537)</f>
        <v>2017</v>
      </c>
      <c r="F537" s="5">
        <v>42872</v>
      </c>
      <c r="G537" s="4" t="s">
        <v>56</v>
      </c>
      <c r="H537" s="4" t="s">
        <v>18</v>
      </c>
      <c r="I537" s="4" t="s">
        <v>19</v>
      </c>
      <c r="J537" s="4" t="s">
        <v>20</v>
      </c>
      <c r="K537" s="4" t="s">
        <v>56</v>
      </c>
      <c r="L537" s="4" t="s">
        <v>798</v>
      </c>
      <c r="M537" s="4" t="s">
        <v>1301</v>
      </c>
      <c r="N537" s="4" t="s">
        <v>1302</v>
      </c>
      <c r="O537" s="4" t="s">
        <v>1305</v>
      </c>
      <c r="P537" s="4" t="s">
        <v>1306</v>
      </c>
    </row>
    <row r="538" spans="1:16" ht="15.6" x14ac:dyDescent="0.3">
      <c r="A538" s="2">
        <v>1082647</v>
      </c>
      <c r="B538" s="2" t="s">
        <v>26</v>
      </c>
      <c r="C538" s="2" t="s">
        <v>1297</v>
      </c>
      <c r="D538" s="2" t="str">
        <f t="shared" si="8"/>
        <v>IPL-2017</v>
      </c>
      <c r="E538" s="2">
        <f>YEAR('IPL Info'!$F538)</f>
        <v>2017</v>
      </c>
      <c r="F538" s="3">
        <v>42871</v>
      </c>
      <c r="G538" s="2" t="s">
        <v>26</v>
      </c>
      <c r="H538" s="2" t="s">
        <v>18</v>
      </c>
      <c r="I538" s="2" t="s">
        <v>19</v>
      </c>
      <c r="J538" s="2" t="s">
        <v>20</v>
      </c>
      <c r="K538" s="2" t="s">
        <v>1297</v>
      </c>
      <c r="L538" s="2" t="s">
        <v>1307</v>
      </c>
      <c r="M538" s="2" t="s">
        <v>1045</v>
      </c>
      <c r="N538" s="2" t="s">
        <v>74</v>
      </c>
      <c r="O538" s="2" t="s">
        <v>1308</v>
      </c>
      <c r="P538" s="2" t="s">
        <v>1309</v>
      </c>
    </row>
    <row r="539" spans="1:16" ht="15.6" x14ac:dyDescent="0.3">
      <c r="A539" s="4">
        <v>1082646</v>
      </c>
      <c r="B539" s="4" t="s">
        <v>1182</v>
      </c>
      <c r="C539" s="4" t="s">
        <v>445</v>
      </c>
      <c r="D539" s="4" t="str">
        <f t="shared" si="8"/>
        <v>IPL-2017</v>
      </c>
      <c r="E539" s="4">
        <f>YEAR('IPL Info'!$F539)</f>
        <v>2017</v>
      </c>
      <c r="F539" s="5">
        <v>42869</v>
      </c>
      <c r="G539" s="4" t="s">
        <v>445</v>
      </c>
      <c r="H539" s="4" t="s">
        <v>31</v>
      </c>
      <c r="I539" s="4" t="s">
        <v>19</v>
      </c>
      <c r="J539" s="4" t="s">
        <v>20</v>
      </c>
      <c r="K539" s="4" t="s">
        <v>445</v>
      </c>
      <c r="L539" s="4" t="s">
        <v>142</v>
      </c>
      <c r="M539" s="4" t="s">
        <v>1310</v>
      </c>
      <c r="N539" s="4" t="s">
        <v>59</v>
      </c>
      <c r="O539" s="4" t="s">
        <v>1311</v>
      </c>
      <c r="P539" s="4" t="s">
        <v>1312</v>
      </c>
    </row>
    <row r="540" spans="1:16" ht="15.6" x14ac:dyDescent="0.3">
      <c r="A540" s="2">
        <v>1082645</v>
      </c>
      <c r="B540" s="2" t="s">
        <v>1297</v>
      </c>
      <c r="C540" s="2" t="s">
        <v>925</v>
      </c>
      <c r="D540" s="2" t="str">
        <f t="shared" si="8"/>
        <v>IPL-2017</v>
      </c>
      <c r="E540" s="2">
        <f>YEAR('IPL Info'!$F540)</f>
        <v>2017</v>
      </c>
      <c r="F540" s="3">
        <v>42869</v>
      </c>
      <c r="G540" s="2" t="s">
        <v>1297</v>
      </c>
      <c r="H540" s="2" t="s">
        <v>18</v>
      </c>
      <c r="I540" s="2" t="s">
        <v>19</v>
      </c>
      <c r="J540" s="2" t="s">
        <v>20</v>
      </c>
      <c r="K540" s="2" t="s">
        <v>1297</v>
      </c>
      <c r="L540" s="2" t="s">
        <v>896</v>
      </c>
      <c r="M540" s="2" t="s">
        <v>1179</v>
      </c>
      <c r="N540" s="2" t="s">
        <v>635</v>
      </c>
      <c r="O540" s="2" t="s">
        <v>1313</v>
      </c>
      <c r="P540" s="2" t="s">
        <v>1314</v>
      </c>
    </row>
    <row r="541" spans="1:16" ht="15.6" x14ac:dyDescent="0.3">
      <c r="A541" s="4">
        <v>1082643</v>
      </c>
      <c r="B541" s="4" t="s">
        <v>1315</v>
      </c>
      <c r="C541" s="4" t="s">
        <v>55</v>
      </c>
      <c r="D541" s="4" t="str">
        <f t="shared" si="8"/>
        <v>IPL-2017</v>
      </c>
      <c r="E541" s="4">
        <f>YEAR('IPL Info'!$F541)</f>
        <v>2017</v>
      </c>
      <c r="F541" s="5">
        <v>42868</v>
      </c>
      <c r="G541" s="4" t="s">
        <v>55</v>
      </c>
      <c r="H541" s="4" t="s">
        <v>18</v>
      </c>
      <c r="I541" s="4" t="s">
        <v>19</v>
      </c>
      <c r="J541" s="4" t="s">
        <v>20</v>
      </c>
      <c r="K541" s="4" t="s">
        <v>55</v>
      </c>
      <c r="L541" s="4" t="s">
        <v>210</v>
      </c>
      <c r="M541" s="4" t="s">
        <v>1316</v>
      </c>
      <c r="N541" s="4" t="s">
        <v>1317</v>
      </c>
      <c r="O541" s="4" t="s">
        <v>1318</v>
      </c>
      <c r="P541" s="4" t="s">
        <v>1319</v>
      </c>
    </row>
    <row r="542" spans="1:16" ht="15.6" x14ac:dyDescent="0.3">
      <c r="A542" s="2">
        <v>1082644</v>
      </c>
      <c r="B542" s="2" t="s">
        <v>56</v>
      </c>
      <c r="C542" s="2" t="s">
        <v>26</v>
      </c>
      <c r="D542" s="2" t="str">
        <f t="shared" si="8"/>
        <v>IPL-2017</v>
      </c>
      <c r="E542" s="2">
        <f>YEAR('IPL Info'!$F542)</f>
        <v>2017</v>
      </c>
      <c r="F542" s="3">
        <v>42868</v>
      </c>
      <c r="G542" s="2" t="s">
        <v>56</v>
      </c>
      <c r="H542" s="2" t="s">
        <v>18</v>
      </c>
      <c r="I542" s="2" t="s">
        <v>19</v>
      </c>
      <c r="J542" s="2" t="s">
        <v>20</v>
      </c>
      <c r="K542" s="2" t="s">
        <v>26</v>
      </c>
      <c r="L542" s="2" t="s">
        <v>1028</v>
      </c>
      <c r="M542" s="2" t="s">
        <v>1064</v>
      </c>
      <c r="N542" s="2" t="s">
        <v>98</v>
      </c>
      <c r="O542" s="2" t="s">
        <v>1320</v>
      </c>
      <c r="P542" s="2" t="s">
        <v>1321</v>
      </c>
    </row>
    <row r="543" spans="1:16" ht="15.6" x14ac:dyDescent="0.3">
      <c r="A543" s="4">
        <v>1082642</v>
      </c>
      <c r="B543" s="4" t="s">
        <v>1182</v>
      </c>
      <c r="C543" s="4" t="s">
        <v>1297</v>
      </c>
      <c r="D543" s="4" t="str">
        <f t="shared" si="8"/>
        <v>IPL-2017</v>
      </c>
      <c r="E543" s="4">
        <f>YEAR('IPL Info'!$F543)</f>
        <v>2017</v>
      </c>
      <c r="F543" s="5">
        <v>42867</v>
      </c>
      <c r="G543" s="4" t="s">
        <v>1182</v>
      </c>
      <c r="H543" s="4" t="s">
        <v>31</v>
      </c>
      <c r="I543" s="4" t="s">
        <v>19</v>
      </c>
      <c r="J543" s="4" t="s">
        <v>20</v>
      </c>
      <c r="K543" s="4" t="s">
        <v>1182</v>
      </c>
      <c r="L543" s="4" t="s">
        <v>1322</v>
      </c>
      <c r="M543" s="4" t="s">
        <v>1310</v>
      </c>
      <c r="N543" s="4" t="s">
        <v>59</v>
      </c>
      <c r="O543" s="4" t="s">
        <v>1311</v>
      </c>
      <c r="P543" s="4" t="s">
        <v>1323</v>
      </c>
    </row>
    <row r="544" spans="1:16" ht="15.6" x14ac:dyDescent="0.3">
      <c r="A544" s="2">
        <v>1082641</v>
      </c>
      <c r="B544" s="2" t="s">
        <v>26</v>
      </c>
      <c r="C544" s="2" t="s">
        <v>925</v>
      </c>
      <c r="D544" s="2" t="str">
        <f t="shared" si="8"/>
        <v>IPL-2017</v>
      </c>
      <c r="E544" s="2">
        <f>YEAR('IPL Info'!$F544)</f>
        <v>2017</v>
      </c>
      <c r="F544" s="3">
        <v>42866</v>
      </c>
      <c r="G544" s="2" t="s">
        <v>26</v>
      </c>
      <c r="H544" s="2" t="s">
        <v>18</v>
      </c>
      <c r="I544" s="2" t="s">
        <v>19</v>
      </c>
      <c r="J544" s="2" t="s">
        <v>20</v>
      </c>
      <c r="K544" s="2" t="s">
        <v>925</v>
      </c>
      <c r="L544" s="2" t="s">
        <v>632</v>
      </c>
      <c r="M544" s="2" t="s">
        <v>1045</v>
      </c>
      <c r="N544" s="2" t="s">
        <v>74</v>
      </c>
      <c r="O544" s="2" t="s">
        <v>1324</v>
      </c>
      <c r="P544" s="2" t="s">
        <v>1325</v>
      </c>
    </row>
    <row r="545" spans="1:16" ht="15.6" x14ac:dyDescent="0.3">
      <c r="A545" s="4">
        <v>1082640</v>
      </c>
      <c r="B545" s="4" t="s">
        <v>1315</v>
      </c>
      <c r="C545" s="4" t="s">
        <v>1182</v>
      </c>
      <c r="D545" s="4" t="str">
        <f t="shared" si="8"/>
        <v>IPL-2017</v>
      </c>
      <c r="E545" s="4">
        <f>YEAR('IPL Info'!$F545)</f>
        <v>2017</v>
      </c>
      <c r="F545" s="5">
        <v>42865</v>
      </c>
      <c r="G545" s="4" t="s">
        <v>1182</v>
      </c>
      <c r="H545" s="4" t="s">
        <v>18</v>
      </c>
      <c r="I545" s="4" t="s">
        <v>19</v>
      </c>
      <c r="J545" s="4" t="s">
        <v>20</v>
      </c>
      <c r="K545" s="4" t="s">
        <v>1182</v>
      </c>
      <c r="L545" s="4" t="s">
        <v>27</v>
      </c>
      <c r="M545" s="4" t="s">
        <v>1316</v>
      </c>
      <c r="N545" s="4" t="s">
        <v>1317</v>
      </c>
      <c r="O545" s="4" t="s">
        <v>1326</v>
      </c>
      <c r="P545" s="4" t="s">
        <v>1327</v>
      </c>
    </row>
    <row r="546" spans="1:16" ht="15.6" x14ac:dyDescent="0.3">
      <c r="A546" s="2">
        <v>1082639</v>
      </c>
      <c r="B546" s="2" t="s">
        <v>925</v>
      </c>
      <c r="C546" s="2" t="s">
        <v>56</v>
      </c>
      <c r="D546" s="2" t="str">
        <f t="shared" si="8"/>
        <v>IPL-2017</v>
      </c>
      <c r="E546" s="2">
        <f>YEAR('IPL Info'!$F546)</f>
        <v>2017</v>
      </c>
      <c r="F546" s="3">
        <v>42864</v>
      </c>
      <c r="G546" s="2" t="s">
        <v>56</v>
      </c>
      <c r="H546" s="2" t="s">
        <v>18</v>
      </c>
      <c r="I546" s="2" t="s">
        <v>19</v>
      </c>
      <c r="J546" s="2" t="s">
        <v>20</v>
      </c>
      <c r="K546" s="2" t="s">
        <v>925</v>
      </c>
      <c r="L546" s="2" t="s">
        <v>403</v>
      </c>
      <c r="M546" s="2" t="s">
        <v>1328</v>
      </c>
      <c r="N546" s="2" t="s">
        <v>502</v>
      </c>
      <c r="O546" s="2" t="s">
        <v>1329</v>
      </c>
      <c r="P546" s="2" t="s">
        <v>1330</v>
      </c>
    </row>
    <row r="547" spans="1:16" ht="15.6" x14ac:dyDescent="0.3">
      <c r="A547" s="4">
        <v>1082638</v>
      </c>
      <c r="B547" s="4" t="s">
        <v>55</v>
      </c>
      <c r="C547" s="4" t="s">
        <v>26</v>
      </c>
      <c r="D547" s="4" t="str">
        <f t="shared" si="8"/>
        <v>IPL-2017</v>
      </c>
      <c r="E547" s="4">
        <f>YEAR('IPL Info'!$F547)</f>
        <v>2017</v>
      </c>
      <c r="F547" s="5">
        <v>42863</v>
      </c>
      <c r="G547" s="4" t="s">
        <v>26</v>
      </c>
      <c r="H547" s="4" t="s">
        <v>31</v>
      </c>
      <c r="I547" s="4" t="s">
        <v>19</v>
      </c>
      <c r="J547" s="4" t="s">
        <v>20</v>
      </c>
      <c r="K547" s="4" t="s">
        <v>55</v>
      </c>
      <c r="L547" s="4" t="s">
        <v>571</v>
      </c>
      <c r="M547" s="4" t="s">
        <v>1298</v>
      </c>
      <c r="N547" s="4" t="s">
        <v>105</v>
      </c>
      <c r="O547" s="4" t="s">
        <v>1331</v>
      </c>
      <c r="P547" s="4" t="s">
        <v>1332</v>
      </c>
    </row>
    <row r="548" spans="1:16" ht="15.6" x14ac:dyDescent="0.3">
      <c r="A548" s="2">
        <v>1082637</v>
      </c>
      <c r="B548" s="2" t="s">
        <v>925</v>
      </c>
      <c r="C548" s="2" t="s">
        <v>1315</v>
      </c>
      <c r="D548" s="2" t="str">
        <f t="shared" si="8"/>
        <v>IPL-2017</v>
      </c>
      <c r="E548" s="2">
        <f>YEAR('IPL Info'!$F548)</f>
        <v>2017</v>
      </c>
      <c r="F548" s="3">
        <v>42862</v>
      </c>
      <c r="G548" s="2" t="s">
        <v>1315</v>
      </c>
      <c r="H548" s="2" t="s">
        <v>18</v>
      </c>
      <c r="I548" s="2" t="s">
        <v>19</v>
      </c>
      <c r="J548" s="2" t="s">
        <v>20</v>
      </c>
      <c r="K548" s="2" t="s">
        <v>1315</v>
      </c>
      <c r="L548" s="2" t="s">
        <v>1333</v>
      </c>
      <c r="M548" s="2" t="s">
        <v>1328</v>
      </c>
      <c r="N548" s="2" t="s">
        <v>502</v>
      </c>
      <c r="O548" s="2" t="s">
        <v>1334</v>
      </c>
      <c r="P548" s="2" t="s">
        <v>1326</v>
      </c>
    </row>
    <row r="549" spans="1:16" ht="15.6" x14ac:dyDescent="0.3">
      <c r="A549" s="4">
        <v>1082636</v>
      </c>
      <c r="B549" s="4" t="s">
        <v>445</v>
      </c>
      <c r="C549" s="4" t="s">
        <v>56</v>
      </c>
      <c r="D549" s="4" t="str">
        <f t="shared" si="8"/>
        <v>IPL-2017</v>
      </c>
      <c r="E549" s="4">
        <f>YEAR('IPL Info'!$F549)</f>
        <v>2017</v>
      </c>
      <c r="F549" s="5">
        <v>42862</v>
      </c>
      <c r="G549" s="4" t="s">
        <v>56</v>
      </c>
      <c r="H549" s="4" t="s">
        <v>18</v>
      </c>
      <c r="I549" s="4" t="s">
        <v>19</v>
      </c>
      <c r="J549" s="4" t="s">
        <v>20</v>
      </c>
      <c r="K549" s="4" t="s">
        <v>56</v>
      </c>
      <c r="L549" s="4" t="s">
        <v>129</v>
      </c>
      <c r="M549" s="4" t="s">
        <v>1301</v>
      </c>
      <c r="N549" s="4" t="s">
        <v>1302</v>
      </c>
      <c r="O549" s="4" t="s">
        <v>1335</v>
      </c>
      <c r="P549" s="4" t="s">
        <v>1336</v>
      </c>
    </row>
    <row r="550" spans="1:16" ht="15.6" x14ac:dyDescent="0.3">
      <c r="A550" s="2">
        <v>1082634</v>
      </c>
      <c r="B550" s="2" t="s">
        <v>55</v>
      </c>
      <c r="C550" s="2" t="s">
        <v>1297</v>
      </c>
      <c r="D550" s="2" t="str">
        <f t="shared" si="8"/>
        <v>IPL-2017</v>
      </c>
      <c r="E550" s="2">
        <f>YEAR('IPL Info'!$F550)</f>
        <v>2017</v>
      </c>
      <c r="F550" s="3">
        <v>42861</v>
      </c>
      <c r="G550" s="2" t="s">
        <v>55</v>
      </c>
      <c r="H550" s="2" t="s">
        <v>18</v>
      </c>
      <c r="I550" s="2" t="s">
        <v>19</v>
      </c>
      <c r="J550" s="2" t="s">
        <v>20</v>
      </c>
      <c r="K550" s="2" t="s">
        <v>1297</v>
      </c>
      <c r="L550" s="2" t="s">
        <v>896</v>
      </c>
      <c r="M550" s="2" t="s">
        <v>1298</v>
      </c>
      <c r="N550" s="2" t="s">
        <v>105</v>
      </c>
      <c r="O550" s="2" t="s">
        <v>1337</v>
      </c>
      <c r="P550" s="2" t="s">
        <v>1338</v>
      </c>
    </row>
    <row r="551" spans="1:16" ht="15.6" x14ac:dyDescent="0.3">
      <c r="A551" s="4">
        <v>1082635</v>
      </c>
      <c r="B551" s="4" t="s">
        <v>1182</v>
      </c>
      <c r="C551" s="4" t="s">
        <v>26</v>
      </c>
      <c r="D551" s="4" t="str">
        <f t="shared" si="8"/>
        <v>IPL-2017</v>
      </c>
      <c r="E551" s="4">
        <f>YEAR('IPL Info'!$F551)</f>
        <v>2017</v>
      </c>
      <c r="F551" s="5">
        <v>42861</v>
      </c>
      <c r="G551" s="4" t="s">
        <v>1182</v>
      </c>
      <c r="H551" s="4" t="s">
        <v>18</v>
      </c>
      <c r="I551" s="4" t="s">
        <v>19</v>
      </c>
      <c r="J551" s="4" t="s">
        <v>20</v>
      </c>
      <c r="K551" s="4" t="s">
        <v>26</v>
      </c>
      <c r="L551" s="4" t="s">
        <v>1339</v>
      </c>
      <c r="M551" s="4" t="s">
        <v>1310</v>
      </c>
      <c r="N551" s="4" t="s">
        <v>59</v>
      </c>
      <c r="O551" s="4" t="s">
        <v>1340</v>
      </c>
      <c r="P551" s="4" t="s">
        <v>1341</v>
      </c>
    </row>
    <row r="552" spans="1:16" ht="15.6" x14ac:dyDescent="0.3">
      <c r="A552" s="2">
        <v>1082633</v>
      </c>
      <c r="B552" s="2" t="s">
        <v>445</v>
      </c>
      <c r="C552" s="2" t="s">
        <v>925</v>
      </c>
      <c r="D552" s="2" t="str">
        <f t="shared" si="8"/>
        <v>IPL-2017</v>
      </c>
      <c r="E552" s="2">
        <f>YEAR('IPL Info'!$F552)</f>
        <v>2017</v>
      </c>
      <c r="F552" s="3">
        <v>42860</v>
      </c>
      <c r="G552" s="2" t="s">
        <v>445</v>
      </c>
      <c r="H552" s="2" t="s">
        <v>18</v>
      </c>
      <c r="I552" s="2" t="s">
        <v>19</v>
      </c>
      <c r="J552" s="2" t="s">
        <v>20</v>
      </c>
      <c r="K552" s="2" t="s">
        <v>925</v>
      </c>
      <c r="L552" s="2" t="s">
        <v>344</v>
      </c>
      <c r="M552" s="2" t="s">
        <v>1301</v>
      </c>
      <c r="N552" s="2" t="s">
        <v>1302</v>
      </c>
      <c r="O552" s="2" t="s">
        <v>1342</v>
      </c>
      <c r="P552" s="2" t="s">
        <v>1343</v>
      </c>
    </row>
    <row r="553" spans="1:16" ht="15.6" x14ac:dyDescent="0.3">
      <c r="A553" s="4">
        <v>1082632</v>
      </c>
      <c r="B553" s="4" t="s">
        <v>1182</v>
      </c>
      <c r="C553" s="4" t="s">
        <v>1315</v>
      </c>
      <c r="D553" s="4" t="str">
        <f t="shared" si="8"/>
        <v>IPL-2017</v>
      </c>
      <c r="E553" s="4">
        <f>YEAR('IPL Info'!$F553)</f>
        <v>2017</v>
      </c>
      <c r="F553" s="5">
        <v>42859</v>
      </c>
      <c r="G553" s="4" t="s">
        <v>1182</v>
      </c>
      <c r="H553" s="4" t="s">
        <v>18</v>
      </c>
      <c r="I553" s="4" t="s">
        <v>19</v>
      </c>
      <c r="J553" s="4" t="s">
        <v>20</v>
      </c>
      <c r="K553" s="4" t="s">
        <v>1182</v>
      </c>
      <c r="L553" s="4" t="s">
        <v>339</v>
      </c>
      <c r="M553" s="4" t="s">
        <v>1310</v>
      </c>
      <c r="N553" s="4" t="s">
        <v>59</v>
      </c>
      <c r="O553" s="4" t="s">
        <v>1344</v>
      </c>
      <c r="P553" s="4" t="s">
        <v>1345</v>
      </c>
    </row>
    <row r="554" spans="1:16" ht="15.6" x14ac:dyDescent="0.3">
      <c r="A554" s="2">
        <v>1082631</v>
      </c>
      <c r="B554" s="2" t="s">
        <v>56</v>
      </c>
      <c r="C554" s="2" t="s">
        <v>1297</v>
      </c>
      <c r="D554" s="2" t="str">
        <f t="shared" si="8"/>
        <v>IPL-2017</v>
      </c>
      <c r="E554" s="2">
        <f>YEAR('IPL Info'!$F554)</f>
        <v>2017</v>
      </c>
      <c r="F554" s="3">
        <v>42858</v>
      </c>
      <c r="G554" s="2" t="s">
        <v>1297</v>
      </c>
      <c r="H554" s="2" t="s">
        <v>18</v>
      </c>
      <c r="I554" s="2" t="s">
        <v>19</v>
      </c>
      <c r="J554" s="2" t="s">
        <v>20</v>
      </c>
      <c r="K554" s="2" t="s">
        <v>1297</v>
      </c>
      <c r="L554" s="2" t="s">
        <v>625</v>
      </c>
      <c r="M554" s="2" t="s">
        <v>1064</v>
      </c>
      <c r="N554" s="2" t="s">
        <v>98</v>
      </c>
      <c r="O554" s="2" t="s">
        <v>1346</v>
      </c>
      <c r="P554" s="2" t="s">
        <v>1347</v>
      </c>
    </row>
    <row r="555" spans="1:16" ht="15.6" x14ac:dyDescent="0.3">
      <c r="A555" s="4">
        <v>1082630</v>
      </c>
      <c r="B555" s="4" t="s">
        <v>1182</v>
      </c>
      <c r="C555" s="4" t="s">
        <v>55</v>
      </c>
      <c r="D555" s="4" t="str">
        <f t="shared" si="8"/>
        <v>IPL-2017</v>
      </c>
      <c r="E555" s="4">
        <f>YEAR('IPL Info'!$F555)</f>
        <v>2017</v>
      </c>
      <c r="F555" s="5">
        <v>42857</v>
      </c>
      <c r="G555" s="4" t="s">
        <v>1182</v>
      </c>
      <c r="H555" s="4" t="s">
        <v>18</v>
      </c>
      <c r="I555" s="4" t="s">
        <v>19</v>
      </c>
      <c r="J555" s="4" t="s">
        <v>20</v>
      </c>
      <c r="K555" s="4" t="s">
        <v>1182</v>
      </c>
      <c r="L555" s="4" t="s">
        <v>505</v>
      </c>
      <c r="M555" s="4" t="s">
        <v>1310</v>
      </c>
      <c r="N555" s="4" t="s">
        <v>59</v>
      </c>
      <c r="O555" s="4" t="s">
        <v>1348</v>
      </c>
      <c r="P555" s="4" t="s">
        <v>1349</v>
      </c>
    </row>
    <row r="556" spans="1:16" ht="15.6" x14ac:dyDescent="0.3">
      <c r="A556" s="2">
        <v>1082629</v>
      </c>
      <c r="B556" s="2" t="s">
        <v>1297</v>
      </c>
      <c r="C556" s="2" t="s">
        <v>1315</v>
      </c>
      <c r="D556" s="2" t="str">
        <f t="shared" si="8"/>
        <v>IPL-2017</v>
      </c>
      <c r="E556" s="2">
        <f>YEAR('IPL Info'!$F556)</f>
        <v>2017</v>
      </c>
      <c r="F556" s="3">
        <v>42856</v>
      </c>
      <c r="G556" s="2" t="s">
        <v>1297</v>
      </c>
      <c r="H556" s="2" t="s">
        <v>18</v>
      </c>
      <c r="I556" s="2" t="s">
        <v>19</v>
      </c>
      <c r="J556" s="2" t="s">
        <v>20</v>
      </c>
      <c r="K556" s="2" t="s">
        <v>1297</v>
      </c>
      <c r="L556" s="2" t="s">
        <v>932</v>
      </c>
      <c r="M556" s="2" t="s">
        <v>1179</v>
      </c>
      <c r="N556" s="2" t="s">
        <v>635</v>
      </c>
      <c r="O556" s="2" t="s">
        <v>1350</v>
      </c>
      <c r="P556" s="2" t="s">
        <v>1351</v>
      </c>
    </row>
    <row r="557" spans="1:16" ht="15.6" x14ac:dyDescent="0.3">
      <c r="A557" s="4">
        <v>1082628</v>
      </c>
      <c r="B557" s="4" t="s">
        <v>26</v>
      </c>
      <c r="C557" s="4" t="s">
        <v>445</v>
      </c>
      <c r="D557" s="4" t="str">
        <f t="shared" si="8"/>
        <v>IPL-2017</v>
      </c>
      <c r="E557" s="4">
        <f>YEAR('IPL Info'!$F557)</f>
        <v>2017</v>
      </c>
      <c r="F557" s="5">
        <v>42856</v>
      </c>
      <c r="G557" s="4" t="s">
        <v>445</v>
      </c>
      <c r="H557" s="4" t="s">
        <v>31</v>
      </c>
      <c r="I557" s="4" t="s">
        <v>19</v>
      </c>
      <c r="J557" s="4" t="s">
        <v>20</v>
      </c>
      <c r="K557" s="4" t="s">
        <v>26</v>
      </c>
      <c r="L557" s="4" t="s">
        <v>32</v>
      </c>
      <c r="M557" s="4" t="s">
        <v>1045</v>
      </c>
      <c r="N557" s="4" t="s">
        <v>74</v>
      </c>
      <c r="O557" s="4" t="s">
        <v>1352</v>
      </c>
      <c r="P557" s="4" t="s">
        <v>1353</v>
      </c>
    </row>
    <row r="558" spans="1:16" ht="15.6" x14ac:dyDescent="0.3">
      <c r="A558" s="2">
        <v>1082626</v>
      </c>
      <c r="B558" s="2" t="s">
        <v>925</v>
      </c>
      <c r="C558" s="2" t="s">
        <v>1182</v>
      </c>
      <c r="D558" s="2" t="str">
        <f t="shared" si="8"/>
        <v>IPL-2017</v>
      </c>
      <c r="E558" s="2">
        <f>YEAR('IPL Info'!$F558)</f>
        <v>2017</v>
      </c>
      <c r="F558" s="3">
        <v>42855</v>
      </c>
      <c r="G558" s="2" t="s">
        <v>925</v>
      </c>
      <c r="H558" s="2" t="s">
        <v>18</v>
      </c>
      <c r="I558" s="2" t="s">
        <v>19</v>
      </c>
      <c r="J558" s="2" t="s">
        <v>20</v>
      </c>
      <c r="K558" s="2" t="s">
        <v>925</v>
      </c>
      <c r="L558" s="2" t="s">
        <v>344</v>
      </c>
      <c r="M558" s="2" t="s">
        <v>1328</v>
      </c>
      <c r="N558" s="2" t="s">
        <v>502</v>
      </c>
      <c r="O558" s="2" t="s">
        <v>1354</v>
      </c>
      <c r="P558" s="2" t="s">
        <v>1355</v>
      </c>
    </row>
    <row r="559" spans="1:16" ht="15.6" x14ac:dyDescent="0.3">
      <c r="A559" s="4">
        <v>1082627</v>
      </c>
      <c r="B559" s="4" t="s">
        <v>55</v>
      </c>
      <c r="C559" s="4" t="s">
        <v>56</v>
      </c>
      <c r="D559" s="4" t="str">
        <f t="shared" si="8"/>
        <v>IPL-2017</v>
      </c>
      <c r="E559" s="4">
        <f>YEAR('IPL Info'!$F559)</f>
        <v>2017</v>
      </c>
      <c r="F559" s="5">
        <v>42855</v>
      </c>
      <c r="G559" s="4" t="s">
        <v>56</v>
      </c>
      <c r="H559" s="4" t="s">
        <v>18</v>
      </c>
      <c r="I559" s="4" t="s">
        <v>19</v>
      </c>
      <c r="J559" s="4" t="s">
        <v>20</v>
      </c>
      <c r="K559" s="4" t="s">
        <v>55</v>
      </c>
      <c r="L559" s="4" t="s">
        <v>658</v>
      </c>
      <c r="M559" s="4" t="s">
        <v>1298</v>
      </c>
      <c r="N559" s="4" t="s">
        <v>105</v>
      </c>
      <c r="O559" s="4" t="s">
        <v>1356</v>
      </c>
      <c r="P559" s="4" t="s">
        <v>1357</v>
      </c>
    </row>
    <row r="560" spans="1:16" ht="15.6" x14ac:dyDescent="0.3">
      <c r="A560" s="2">
        <v>1082625</v>
      </c>
      <c r="B560" s="2" t="s">
        <v>1315</v>
      </c>
      <c r="C560" s="2" t="s">
        <v>26</v>
      </c>
      <c r="D560" s="2" t="str">
        <f t="shared" si="8"/>
        <v>IPL-2017</v>
      </c>
      <c r="E560" s="2">
        <f>YEAR('IPL Info'!$F560)</f>
        <v>2017</v>
      </c>
      <c r="F560" s="3">
        <v>42854</v>
      </c>
      <c r="G560" s="2" t="s">
        <v>1315</v>
      </c>
      <c r="H560" s="2" t="s">
        <v>31</v>
      </c>
      <c r="I560" s="2" t="s">
        <v>173</v>
      </c>
      <c r="J560" s="2" t="s">
        <v>26</v>
      </c>
      <c r="K560" s="2" t="s">
        <v>20</v>
      </c>
      <c r="L560" s="2" t="s">
        <v>21</v>
      </c>
      <c r="M560" s="2" t="s">
        <v>1358</v>
      </c>
      <c r="N560" s="2" t="s">
        <v>1359</v>
      </c>
      <c r="O560" s="2" t="s">
        <v>1360</v>
      </c>
      <c r="P560" s="2" t="s">
        <v>1361</v>
      </c>
    </row>
    <row r="561" spans="1:16" ht="15.6" x14ac:dyDescent="0.3">
      <c r="A561" s="4">
        <v>1082624</v>
      </c>
      <c r="B561" s="4" t="s">
        <v>1297</v>
      </c>
      <c r="C561" s="4" t="s">
        <v>445</v>
      </c>
      <c r="D561" s="4" t="str">
        <f t="shared" si="8"/>
        <v>IPL-2017</v>
      </c>
      <c r="E561" s="4">
        <f>YEAR('IPL Info'!$F561)</f>
        <v>2017</v>
      </c>
      <c r="F561" s="5">
        <v>42854</v>
      </c>
      <c r="G561" s="4" t="s">
        <v>445</v>
      </c>
      <c r="H561" s="4" t="s">
        <v>18</v>
      </c>
      <c r="I561" s="4" t="s">
        <v>19</v>
      </c>
      <c r="J561" s="4" t="s">
        <v>20</v>
      </c>
      <c r="K561" s="4" t="s">
        <v>1297</v>
      </c>
      <c r="L561" s="4" t="s">
        <v>749</v>
      </c>
      <c r="M561" s="4" t="s">
        <v>1179</v>
      </c>
      <c r="N561" s="4" t="s">
        <v>635</v>
      </c>
      <c r="O561" s="4" t="s">
        <v>1362</v>
      </c>
      <c r="P561" s="4" t="s">
        <v>1363</v>
      </c>
    </row>
    <row r="562" spans="1:16" ht="15.6" x14ac:dyDescent="0.3">
      <c r="A562" s="2">
        <v>1082622</v>
      </c>
      <c r="B562" s="2" t="s">
        <v>56</v>
      </c>
      <c r="C562" s="2" t="s">
        <v>1182</v>
      </c>
      <c r="D562" s="2" t="str">
        <f t="shared" si="8"/>
        <v>IPL-2017</v>
      </c>
      <c r="E562" s="2">
        <f>YEAR('IPL Info'!$F562)</f>
        <v>2017</v>
      </c>
      <c r="F562" s="3">
        <v>42853</v>
      </c>
      <c r="G562" s="2" t="s">
        <v>56</v>
      </c>
      <c r="H562" s="2" t="s">
        <v>18</v>
      </c>
      <c r="I562" s="2" t="s">
        <v>19</v>
      </c>
      <c r="J562" s="2" t="s">
        <v>20</v>
      </c>
      <c r="K562" s="2" t="s">
        <v>56</v>
      </c>
      <c r="L562" s="2" t="s">
        <v>1364</v>
      </c>
      <c r="M562" s="2" t="s">
        <v>1064</v>
      </c>
      <c r="N562" s="2" t="s">
        <v>98</v>
      </c>
      <c r="O562" s="2" t="s">
        <v>1365</v>
      </c>
      <c r="P562" s="2" t="s">
        <v>1366</v>
      </c>
    </row>
    <row r="563" spans="1:16" ht="15.6" x14ac:dyDescent="0.3">
      <c r="A563" s="4">
        <v>1082623</v>
      </c>
      <c r="B563" s="4" t="s">
        <v>925</v>
      </c>
      <c r="C563" s="4" t="s">
        <v>55</v>
      </c>
      <c r="D563" s="4" t="str">
        <f t="shared" si="8"/>
        <v>IPL-2017</v>
      </c>
      <c r="E563" s="4">
        <f>YEAR('IPL Info'!$F563)</f>
        <v>2017</v>
      </c>
      <c r="F563" s="5">
        <v>42853</v>
      </c>
      <c r="G563" s="4" t="s">
        <v>925</v>
      </c>
      <c r="H563" s="4" t="s">
        <v>18</v>
      </c>
      <c r="I563" s="4" t="s">
        <v>19</v>
      </c>
      <c r="J563" s="4" t="s">
        <v>20</v>
      </c>
      <c r="K563" s="4" t="s">
        <v>55</v>
      </c>
      <c r="L563" s="4" t="s">
        <v>377</v>
      </c>
      <c r="M563" s="4" t="s">
        <v>1328</v>
      </c>
      <c r="N563" s="4" t="s">
        <v>502</v>
      </c>
      <c r="O563" s="4" t="s">
        <v>1367</v>
      </c>
      <c r="P563" s="4" t="s">
        <v>1368</v>
      </c>
    </row>
    <row r="564" spans="1:16" ht="15.6" x14ac:dyDescent="0.3">
      <c r="A564" s="2">
        <v>1082621</v>
      </c>
      <c r="B564" s="2" t="s">
        <v>445</v>
      </c>
      <c r="C564" s="2" t="s">
        <v>1315</v>
      </c>
      <c r="D564" s="2" t="str">
        <f t="shared" si="8"/>
        <v>IPL-2017</v>
      </c>
      <c r="E564" s="2">
        <f>YEAR('IPL Info'!$F564)</f>
        <v>2017</v>
      </c>
      <c r="F564" s="3">
        <v>42852</v>
      </c>
      <c r="G564" s="2" t="s">
        <v>1315</v>
      </c>
      <c r="H564" s="2" t="s">
        <v>18</v>
      </c>
      <c r="I564" s="2" t="s">
        <v>19</v>
      </c>
      <c r="J564" s="2" t="s">
        <v>20</v>
      </c>
      <c r="K564" s="2" t="s">
        <v>1315</v>
      </c>
      <c r="L564" s="2" t="s">
        <v>1369</v>
      </c>
      <c r="M564" s="2" t="s">
        <v>1301</v>
      </c>
      <c r="N564" s="2" t="s">
        <v>1302</v>
      </c>
      <c r="O564" s="2" t="s">
        <v>1370</v>
      </c>
      <c r="P564" s="2" t="s">
        <v>1371</v>
      </c>
    </row>
    <row r="565" spans="1:16" ht="15.6" x14ac:dyDescent="0.3">
      <c r="A565" s="4">
        <v>1082620</v>
      </c>
      <c r="B565" s="4" t="s">
        <v>1297</v>
      </c>
      <c r="C565" s="4" t="s">
        <v>56</v>
      </c>
      <c r="D565" s="4" t="str">
        <f t="shared" si="8"/>
        <v>IPL-2017</v>
      </c>
      <c r="E565" s="4">
        <f>YEAR('IPL Info'!$F565)</f>
        <v>2017</v>
      </c>
      <c r="F565" s="5">
        <v>42851</v>
      </c>
      <c r="G565" s="4" t="s">
        <v>56</v>
      </c>
      <c r="H565" s="4" t="s">
        <v>18</v>
      </c>
      <c r="I565" s="4" t="s">
        <v>19</v>
      </c>
      <c r="J565" s="4" t="s">
        <v>20</v>
      </c>
      <c r="K565" s="4" t="s">
        <v>56</v>
      </c>
      <c r="L565" s="4" t="s">
        <v>1372</v>
      </c>
      <c r="M565" s="4" t="s">
        <v>1179</v>
      </c>
      <c r="N565" s="4" t="s">
        <v>635</v>
      </c>
      <c r="O565" s="4" t="s">
        <v>1373</v>
      </c>
      <c r="P565" s="4" t="s">
        <v>1374</v>
      </c>
    </row>
    <row r="566" spans="1:16" ht="15.6" x14ac:dyDescent="0.3">
      <c r="A566" s="2">
        <v>1082618</v>
      </c>
      <c r="B566" s="2" t="s">
        <v>26</v>
      </c>
      <c r="C566" s="2" t="s">
        <v>1297</v>
      </c>
      <c r="D566" s="2" t="str">
        <f t="shared" si="8"/>
        <v>IPL-2017</v>
      </c>
      <c r="E566" s="2">
        <f>YEAR('IPL Info'!$F566)</f>
        <v>2017</v>
      </c>
      <c r="F566" s="3">
        <v>42849</v>
      </c>
      <c r="G566" s="2" t="s">
        <v>26</v>
      </c>
      <c r="H566" s="2" t="s">
        <v>18</v>
      </c>
      <c r="I566" s="2" t="s">
        <v>19</v>
      </c>
      <c r="J566" s="2" t="s">
        <v>20</v>
      </c>
      <c r="K566" s="2" t="s">
        <v>1297</v>
      </c>
      <c r="L566" s="2" t="s">
        <v>932</v>
      </c>
      <c r="M566" s="2" t="s">
        <v>1045</v>
      </c>
      <c r="N566" s="2" t="s">
        <v>74</v>
      </c>
      <c r="O566" s="2" t="s">
        <v>1375</v>
      </c>
      <c r="P566" s="2" t="s">
        <v>1376</v>
      </c>
    </row>
    <row r="567" spans="1:16" ht="15.6" x14ac:dyDescent="0.3">
      <c r="A567" s="4">
        <v>1082616</v>
      </c>
      <c r="B567" s="4" t="s">
        <v>1315</v>
      </c>
      <c r="C567" s="4" t="s">
        <v>925</v>
      </c>
      <c r="D567" s="4" t="str">
        <f t="shared" si="8"/>
        <v>IPL-2017</v>
      </c>
      <c r="E567" s="4">
        <f>YEAR('IPL Info'!$F567)</f>
        <v>2017</v>
      </c>
      <c r="F567" s="5">
        <v>42848</v>
      </c>
      <c r="G567" s="4" t="s">
        <v>1315</v>
      </c>
      <c r="H567" s="4" t="s">
        <v>18</v>
      </c>
      <c r="I567" s="4" t="s">
        <v>19</v>
      </c>
      <c r="J567" s="4" t="s">
        <v>20</v>
      </c>
      <c r="K567" s="4" t="s">
        <v>925</v>
      </c>
      <c r="L567" s="4" t="s">
        <v>1377</v>
      </c>
      <c r="M567" s="4" t="s">
        <v>1358</v>
      </c>
      <c r="N567" s="4" t="s">
        <v>1359</v>
      </c>
      <c r="O567" s="4" t="s">
        <v>1378</v>
      </c>
      <c r="P567" s="4" t="s">
        <v>1379</v>
      </c>
    </row>
    <row r="568" spans="1:16" ht="15.6" x14ac:dyDescent="0.3">
      <c r="A568" s="2">
        <v>1082617</v>
      </c>
      <c r="B568" s="2" t="s">
        <v>56</v>
      </c>
      <c r="C568" s="2" t="s">
        <v>445</v>
      </c>
      <c r="D568" s="2" t="str">
        <f t="shared" si="8"/>
        <v>IPL-2017</v>
      </c>
      <c r="E568" s="2">
        <f>YEAR('IPL Info'!$F568)</f>
        <v>2017</v>
      </c>
      <c r="F568" s="3">
        <v>42848</v>
      </c>
      <c r="G568" s="2" t="s">
        <v>445</v>
      </c>
      <c r="H568" s="2" t="s">
        <v>18</v>
      </c>
      <c r="I568" s="2" t="s">
        <v>19</v>
      </c>
      <c r="J568" s="2" t="s">
        <v>20</v>
      </c>
      <c r="K568" s="2" t="s">
        <v>56</v>
      </c>
      <c r="L568" s="2" t="s">
        <v>798</v>
      </c>
      <c r="M568" s="2" t="s">
        <v>1064</v>
      </c>
      <c r="N568" s="2" t="s">
        <v>98</v>
      </c>
      <c r="O568" s="2" t="s">
        <v>1380</v>
      </c>
      <c r="P568" s="2" t="s">
        <v>1381</v>
      </c>
    </row>
    <row r="569" spans="1:16" ht="15.6" x14ac:dyDescent="0.3">
      <c r="A569" s="4">
        <v>1082614</v>
      </c>
      <c r="B569" s="4" t="s">
        <v>26</v>
      </c>
      <c r="C569" s="4" t="s">
        <v>1182</v>
      </c>
      <c r="D569" s="4" t="str">
        <f t="shared" si="8"/>
        <v>IPL-2017</v>
      </c>
      <c r="E569" s="4">
        <f>YEAR('IPL Info'!$F569)</f>
        <v>2017</v>
      </c>
      <c r="F569" s="5">
        <v>42847</v>
      </c>
      <c r="G569" s="4" t="s">
        <v>1182</v>
      </c>
      <c r="H569" s="4" t="s">
        <v>18</v>
      </c>
      <c r="I569" s="4" t="s">
        <v>19</v>
      </c>
      <c r="J569" s="4" t="s">
        <v>20</v>
      </c>
      <c r="K569" s="4" t="s">
        <v>26</v>
      </c>
      <c r="L569" s="4" t="s">
        <v>1382</v>
      </c>
      <c r="M569" s="4" t="s">
        <v>1045</v>
      </c>
      <c r="N569" s="4" t="s">
        <v>74</v>
      </c>
      <c r="O569" s="4" t="s">
        <v>1383</v>
      </c>
      <c r="P569" s="4" t="s">
        <v>1384</v>
      </c>
    </row>
    <row r="570" spans="1:16" ht="15.6" x14ac:dyDescent="0.3">
      <c r="A570" s="2">
        <v>1082615</v>
      </c>
      <c r="B570" s="2" t="s">
        <v>1297</v>
      </c>
      <c r="C570" s="2" t="s">
        <v>55</v>
      </c>
      <c r="D570" s="2" t="str">
        <f t="shared" si="8"/>
        <v>IPL-2017</v>
      </c>
      <c r="E570" s="2">
        <f>YEAR('IPL Info'!$F570)</f>
        <v>2017</v>
      </c>
      <c r="F570" s="3">
        <v>42847</v>
      </c>
      <c r="G570" s="2" t="s">
        <v>1297</v>
      </c>
      <c r="H570" s="2" t="s">
        <v>18</v>
      </c>
      <c r="I570" s="2" t="s">
        <v>19</v>
      </c>
      <c r="J570" s="2" t="s">
        <v>20</v>
      </c>
      <c r="K570" s="2" t="s">
        <v>1297</v>
      </c>
      <c r="L570" s="2" t="s">
        <v>180</v>
      </c>
      <c r="M570" s="2" t="s">
        <v>1179</v>
      </c>
      <c r="N570" s="2" t="s">
        <v>635</v>
      </c>
      <c r="O570" s="2" t="s">
        <v>1376</v>
      </c>
      <c r="P570" s="2" t="s">
        <v>1385</v>
      </c>
    </row>
    <row r="571" spans="1:16" ht="15.6" x14ac:dyDescent="0.3">
      <c r="A571" s="4">
        <v>1082613</v>
      </c>
      <c r="B571" s="4" t="s">
        <v>56</v>
      </c>
      <c r="C571" s="4" t="s">
        <v>1315</v>
      </c>
      <c r="D571" s="4" t="str">
        <f t="shared" si="8"/>
        <v>IPL-2017</v>
      </c>
      <c r="E571" s="4">
        <f>YEAR('IPL Info'!$F571)</f>
        <v>2017</v>
      </c>
      <c r="F571" s="5">
        <v>42846</v>
      </c>
      <c r="G571" s="4" t="s">
        <v>1315</v>
      </c>
      <c r="H571" s="4" t="s">
        <v>18</v>
      </c>
      <c r="I571" s="4" t="s">
        <v>19</v>
      </c>
      <c r="J571" s="4" t="s">
        <v>20</v>
      </c>
      <c r="K571" s="4" t="s">
        <v>1315</v>
      </c>
      <c r="L571" s="4" t="s">
        <v>1386</v>
      </c>
      <c r="M571" s="4" t="s">
        <v>1064</v>
      </c>
      <c r="N571" s="4" t="s">
        <v>98</v>
      </c>
      <c r="O571" s="4" t="s">
        <v>1387</v>
      </c>
      <c r="P571" s="4" t="s">
        <v>1388</v>
      </c>
    </row>
    <row r="572" spans="1:16" ht="15.6" x14ac:dyDescent="0.3">
      <c r="A572" s="2">
        <v>1082612</v>
      </c>
      <c r="B572" s="2" t="s">
        <v>925</v>
      </c>
      <c r="C572" s="2" t="s">
        <v>26</v>
      </c>
      <c r="D572" s="2" t="str">
        <f t="shared" si="8"/>
        <v>IPL-2017</v>
      </c>
      <c r="E572" s="2">
        <f>YEAR('IPL Info'!$F572)</f>
        <v>2017</v>
      </c>
      <c r="F572" s="3">
        <v>42845</v>
      </c>
      <c r="G572" s="2" t="s">
        <v>26</v>
      </c>
      <c r="H572" s="2" t="s">
        <v>18</v>
      </c>
      <c r="I572" s="2" t="s">
        <v>19</v>
      </c>
      <c r="J572" s="2" t="s">
        <v>20</v>
      </c>
      <c r="K572" s="2" t="s">
        <v>26</v>
      </c>
      <c r="L572" s="2" t="s">
        <v>165</v>
      </c>
      <c r="M572" s="2" t="s">
        <v>1198</v>
      </c>
      <c r="N572" s="2" t="s">
        <v>1199</v>
      </c>
      <c r="O572" s="2" t="s">
        <v>1389</v>
      </c>
      <c r="P572" s="2" t="s">
        <v>1390</v>
      </c>
    </row>
    <row r="573" spans="1:16" ht="15.6" x14ac:dyDescent="0.3">
      <c r="A573" s="4">
        <v>1082611</v>
      </c>
      <c r="B573" s="4" t="s">
        <v>55</v>
      </c>
      <c r="C573" s="4" t="s">
        <v>1182</v>
      </c>
      <c r="D573" s="4" t="str">
        <f t="shared" si="8"/>
        <v>IPL-2017</v>
      </c>
      <c r="E573" s="4">
        <f>YEAR('IPL Info'!$F573)</f>
        <v>2017</v>
      </c>
      <c r="F573" s="5">
        <v>42844</v>
      </c>
      <c r="G573" s="4" t="s">
        <v>55</v>
      </c>
      <c r="H573" s="4" t="s">
        <v>31</v>
      </c>
      <c r="I573" s="4" t="s">
        <v>19</v>
      </c>
      <c r="J573" s="4" t="s">
        <v>20</v>
      </c>
      <c r="K573" s="4" t="s">
        <v>55</v>
      </c>
      <c r="L573" s="4" t="s">
        <v>723</v>
      </c>
      <c r="M573" s="4" t="s">
        <v>1298</v>
      </c>
      <c r="N573" s="4" t="s">
        <v>105</v>
      </c>
      <c r="O573" s="4" t="s">
        <v>1391</v>
      </c>
      <c r="P573" s="4" t="s">
        <v>1392</v>
      </c>
    </row>
    <row r="574" spans="1:16" ht="15.6" x14ac:dyDescent="0.3">
      <c r="A574" s="2">
        <v>1082610</v>
      </c>
      <c r="B574" s="2" t="s">
        <v>1315</v>
      </c>
      <c r="C574" s="2" t="s">
        <v>445</v>
      </c>
      <c r="D574" s="2" t="str">
        <f t="shared" si="8"/>
        <v>IPL-2017</v>
      </c>
      <c r="E574" s="2">
        <f>YEAR('IPL Info'!$F574)</f>
        <v>2017</v>
      </c>
      <c r="F574" s="3">
        <v>42843</v>
      </c>
      <c r="G574" s="2" t="s">
        <v>1315</v>
      </c>
      <c r="H574" s="2" t="s">
        <v>18</v>
      </c>
      <c r="I574" s="2" t="s">
        <v>19</v>
      </c>
      <c r="J574" s="2" t="s">
        <v>20</v>
      </c>
      <c r="K574" s="2" t="s">
        <v>445</v>
      </c>
      <c r="L574" s="2" t="s">
        <v>941</v>
      </c>
      <c r="M574" s="2" t="s">
        <v>1358</v>
      </c>
      <c r="N574" s="2" t="s">
        <v>1359</v>
      </c>
      <c r="O574" s="2" t="s">
        <v>1393</v>
      </c>
      <c r="P574" s="2" t="s">
        <v>1394</v>
      </c>
    </row>
    <row r="575" spans="1:16" ht="15.6" x14ac:dyDescent="0.3">
      <c r="A575" s="4">
        <v>1082608</v>
      </c>
      <c r="B575" s="4" t="s">
        <v>1182</v>
      </c>
      <c r="C575" s="4" t="s">
        <v>56</v>
      </c>
      <c r="D575" s="4" t="str">
        <f t="shared" si="8"/>
        <v>IPL-2017</v>
      </c>
      <c r="E575" s="4">
        <f>YEAR('IPL Info'!$F575)</f>
        <v>2017</v>
      </c>
      <c r="F575" s="5">
        <v>42842</v>
      </c>
      <c r="G575" s="4" t="s">
        <v>1182</v>
      </c>
      <c r="H575" s="4" t="s">
        <v>31</v>
      </c>
      <c r="I575" s="4" t="s">
        <v>19</v>
      </c>
      <c r="J575" s="4" t="s">
        <v>20</v>
      </c>
      <c r="K575" s="4" t="s">
        <v>56</v>
      </c>
      <c r="L575" s="4" t="s">
        <v>798</v>
      </c>
      <c r="M575" s="4" t="s">
        <v>1310</v>
      </c>
      <c r="N575" s="4" t="s">
        <v>59</v>
      </c>
      <c r="O575" s="4" t="s">
        <v>1395</v>
      </c>
      <c r="P575" s="4" t="s">
        <v>1396</v>
      </c>
    </row>
    <row r="576" spans="1:16" ht="15.6" x14ac:dyDescent="0.3">
      <c r="A576" s="2">
        <v>1082609</v>
      </c>
      <c r="B576" s="2" t="s">
        <v>55</v>
      </c>
      <c r="C576" s="2" t="s">
        <v>925</v>
      </c>
      <c r="D576" s="2" t="str">
        <f t="shared" si="8"/>
        <v>IPL-2017</v>
      </c>
      <c r="E576" s="2">
        <f>YEAR('IPL Info'!$F576)</f>
        <v>2017</v>
      </c>
      <c r="F576" s="3">
        <v>42842</v>
      </c>
      <c r="G576" s="2" t="s">
        <v>925</v>
      </c>
      <c r="H576" s="2" t="s">
        <v>18</v>
      </c>
      <c r="I576" s="2" t="s">
        <v>19</v>
      </c>
      <c r="J576" s="2" t="s">
        <v>20</v>
      </c>
      <c r="K576" s="2" t="s">
        <v>55</v>
      </c>
      <c r="L576" s="2" t="s">
        <v>313</v>
      </c>
      <c r="M576" s="2" t="s">
        <v>1298</v>
      </c>
      <c r="N576" s="2" t="s">
        <v>105</v>
      </c>
      <c r="O576" s="2" t="s">
        <v>1397</v>
      </c>
      <c r="P576" s="2" t="s">
        <v>1398</v>
      </c>
    </row>
    <row r="577" spans="1:16" ht="15.6" x14ac:dyDescent="0.3">
      <c r="A577" s="4">
        <v>1082606</v>
      </c>
      <c r="B577" s="4" t="s">
        <v>26</v>
      </c>
      <c r="C577" s="4" t="s">
        <v>1315</v>
      </c>
      <c r="D577" s="4" t="str">
        <f t="shared" si="8"/>
        <v>IPL-2017</v>
      </c>
      <c r="E577" s="4">
        <f>YEAR('IPL Info'!$F577)</f>
        <v>2017</v>
      </c>
      <c r="F577" s="5">
        <v>42841</v>
      </c>
      <c r="G577" s="4" t="s">
        <v>26</v>
      </c>
      <c r="H577" s="4" t="s">
        <v>18</v>
      </c>
      <c r="I577" s="4" t="s">
        <v>19</v>
      </c>
      <c r="J577" s="4" t="s">
        <v>20</v>
      </c>
      <c r="K577" s="4" t="s">
        <v>26</v>
      </c>
      <c r="L577" s="4" t="s">
        <v>235</v>
      </c>
      <c r="M577" s="4" t="s">
        <v>1045</v>
      </c>
      <c r="N577" s="4" t="s">
        <v>74</v>
      </c>
      <c r="O577" s="4" t="s">
        <v>1399</v>
      </c>
      <c r="P577" s="4" t="s">
        <v>1400</v>
      </c>
    </row>
    <row r="578" spans="1:16" ht="15.6" x14ac:dyDescent="0.3">
      <c r="A578" s="2">
        <v>1082607</v>
      </c>
      <c r="B578" s="2" t="s">
        <v>445</v>
      </c>
      <c r="C578" s="2" t="s">
        <v>1297</v>
      </c>
      <c r="D578" s="2" t="str">
        <f t="shared" si="8"/>
        <v>IPL-2017</v>
      </c>
      <c r="E578" s="2">
        <f>YEAR('IPL Info'!$F578)</f>
        <v>2017</v>
      </c>
      <c r="F578" s="3">
        <v>42841</v>
      </c>
      <c r="G578" s="2" t="s">
        <v>445</v>
      </c>
      <c r="H578" s="2" t="s">
        <v>18</v>
      </c>
      <c r="I578" s="2" t="s">
        <v>19</v>
      </c>
      <c r="J578" s="2" t="s">
        <v>20</v>
      </c>
      <c r="K578" s="2" t="s">
        <v>1297</v>
      </c>
      <c r="L578" s="2" t="s">
        <v>932</v>
      </c>
      <c r="M578" s="2" t="s">
        <v>1301</v>
      </c>
      <c r="N578" s="2" t="s">
        <v>1302</v>
      </c>
      <c r="O578" s="2" t="s">
        <v>1401</v>
      </c>
      <c r="P578" s="2" t="s">
        <v>1402</v>
      </c>
    </row>
    <row r="579" spans="1:16" ht="15.6" x14ac:dyDescent="0.3">
      <c r="A579" s="4">
        <v>1082605</v>
      </c>
      <c r="B579" s="4" t="s">
        <v>1182</v>
      </c>
      <c r="C579" s="4" t="s">
        <v>925</v>
      </c>
      <c r="D579" s="4" t="str">
        <f t="shared" ref="D579:D613" si="9">_xlfn.SINGLE(_xlfn.CONCAT("IPL-",E579))</f>
        <v>IPL-2017</v>
      </c>
      <c r="E579" s="4">
        <f>YEAR('IPL Info'!$F579)</f>
        <v>2017</v>
      </c>
      <c r="F579" s="5">
        <v>42840</v>
      </c>
      <c r="G579" s="4" t="s">
        <v>1182</v>
      </c>
      <c r="H579" s="4" t="s">
        <v>31</v>
      </c>
      <c r="I579" s="4" t="s">
        <v>19</v>
      </c>
      <c r="J579" s="4" t="s">
        <v>20</v>
      </c>
      <c r="K579" s="4" t="s">
        <v>1182</v>
      </c>
      <c r="L579" s="4" t="s">
        <v>1403</v>
      </c>
      <c r="M579" s="4" t="s">
        <v>1310</v>
      </c>
      <c r="N579" s="4" t="s">
        <v>59</v>
      </c>
      <c r="O579" s="4" t="s">
        <v>1404</v>
      </c>
      <c r="P579" s="4" t="s">
        <v>1405</v>
      </c>
    </row>
    <row r="580" spans="1:16" ht="15.6" x14ac:dyDescent="0.3">
      <c r="A580" s="2">
        <v>1082604</v>
      </c>
      <c r="B580" s="2" t="s">
        <v>56</v>
      </c>
      <c r="C580" s="2" t="s">
        <v>55</v>
      </c>
      <c r="D580" s="2" t="str">
        <f t="shared" si="9"/>
        <v>IPL-2017</v>
      </c>
      <c r="E580" s="2">
        <f>YEAR('IPL Info'!$F580)</f>
        <v>2017</v>
      </c>
      <c r="F580" s="3">
        <v>42840</v>
      </c>
      <c r="G580" s="2" t="s">
        <v>55</v>
      </c>
      <c r="H580" s="2" t="s">
        <v>18</v>
      </c>
      <c r="I580" s="2" t="s">
        <v>19</v>
      </c>
      <c r="J580" s="2" t="s">
        <v>20</v>
      </c>
      <c r="K580" s="2" t="s">
        <v>56</v>
      </c>
      <c r="L580" s="2" t="s">
        <v>1372</v>
      </c>
      <c r="M580" s="2" t="s">
        <v>1064</v>
      </c>
      <c r="N580" s="2" t="s">
        <v>98</v>
      </c>
      <c r="O580" s="2" t="s">
        <v>1406</v>
      </c>
      <c r="P580" s="2" t="s">
        <v>1407</v>
      </c>
    </row>
    <row r="581" spans="1:16" ht="15.6" x14ac:dyDescent="0.3">
      <c r="A581" s="4">
        <v>1082602</v>
      </c>
      <c r="B581" s="4" t="s">
        <v>445</v>
      </c>
      <c r="C581" s="4" t="s">
        <v>26</v>
      </c>
      <c r="D581" s="4" t="str">
        <f t="shared" si="9"/>
        <v>IPL-2017</v>
      </c>
      <c r="E581" s="4">
        <f>YEAR('IPL Info'!$F581)</f>
        <v>2017</v>
      </c>
      <c r="F581" s="5">
        <v>42839</v>
      </c>
      <c r="G581" s="4" t="s">
        <v>26</v>
      </c>
      <c r="H581" s="4" t="s">
        <v>18</v>
      </c>
      <c r="I581" s="4" t="s">
        <v>19</v>
      </c>
      <c r="J581" s="4" t="s">
        <v>20</v>
      </c>
      <c r="K581" s="4" t="s">
        <v>26</v>
      </c>
      <c r="L581" s="4" t="s">
        <v>819</v>
      </c>
      <c r="M581" s="4" t="s">
        <v>1301</v>
      </c>
      <c r="N581" s="4" t="s">
        <v>1302</v>
      </c>
      <c r="O581" s="4" t="s">
        <v>1408</v>
      </c>
      <c r="P581" s="4" t="s">
        <v>1409</v>
      </c>
    </row>
    <row r="582" spans="1:16" ht="15.6" x14ac:dyDescent="0.3">
      <c r="A582" s="2">
        <v>1082603</v>
      </c>
      <c r="B582" s="2" t="s">
        <v>1315</v>
      </c>
      <c r="C582" s="2" t="s">
        <v>1297</v>
      </c>
      <c r="D582" s="2" t="str">
        <f t="shared" si="9"/>
        <v>IPL-2017</v>
      </c>
      <c r="E582" s="2">
        <f>YEAR('IPL Info'!$F582)</f>
        <v>2017</v>
      </c>
      <c r="F582" s="3">
        <v>42839</v>
      </c>
      <c r="G582" s="2" t="s">
        <v>1315</v>
      </c>
      <c r="H582" s="2" t="s">
        <v>18</v>
      </c>
      <c r="I582" s="2" t="s">
        <v>19</v>
      </c>
      <c r="J582" s="2" t="s">
        <v>20</v>
      </c>
      <c r="K582" s="2" t="s">
        <v>1315</v>
      </c>
      <c r="L582" s="2" t="s">
        <v>1369</v>
      </c>
      <c r="M582" s="2" t="s">
        <v>1358</v>
      </c>
      <c r="N582" s="2" t="s">
        <v>1359</v>
      </c>
      <c r="O582" s="2" t="s">
        <v>1410</v>
      </c>
      <c r="P582" s="2" t="s">
        <v>1411</v>
      </c>
    </row>
    <row r="583" spans="1:16" ht="15.6" x14ac:dyDescent="0.3">
      <c r="A583" s="4">
        <v>1082601</v>
      </c>
      <c r="B583" s="4" t="s">
        <v>56</v>
      </c>
      <c r="C583" s="4" t="s">
        <v>925</v>
      </c>
      <c r="D583" s="4" t="str">
        <f t="shared" si="9"/>
        <v>IPL-2017</v>
      </c>
      <c r="E583" s="4">
        <f>YEAR('IPL Info'!$F583)</f>
        <v>2017</v>
      </c>
      <c r="F583" s="5">
        <v>42838</v>
      </c>
      <c r="G583" s="4" t="s">
        <v>56</v>
      </c>
      <c r="H583" s="4" t="s">
        <v>18</v>
      </c>
      <c r="I583" s="4" t="s">
        <v>19</v>
      </c>
      <c r="J583" s="4" t="s">
        <v>20</v>
      </c>
      <c r="K583" s="4" t="s">
        <v>56</v>
      </c>
      <c r="L583" s="4" t="s">
        <v>129</v>
      </c>
      <c r="M583" s="4" t="s">
        <v>1064</v>
      </c>
      <c r="N583" s="4" t="s">
        <v>98</v>
      </c>
      <c r="O583" s="4" t="s">
        <v>1412</v>
      </c>
      <c r="P583" s="4" t="s">
        <v>1413</v>
      </c>
    </row>
    <row r="584" spans="1:16" ht="15.6" x14ac:dyDescent="0.3">
      <c r="A584" s="2">
        <v>1082600</v>
      </c>
      <c r="B584" s="2" t="s">
        <v>26</v>
      </c>
      <c r="C584" s="2" t="s">
        <v>55</v>
      </c>
      <c r="D584" s="2" t="str">
        <f t="shared" si="9"/>
        <v>IPL-2017</v>
      </c>
      <c r="E584" s="2">
        <f>YEAR('IPL Info'!$F584)</f>
        <v>2017</v>
      </c>
      <c r="F584" s="3">
        <v>42837</v>
      </c>
      <c r="G584" s="2" t="s">
        <v>26</v>
      </c>
      <c r="H584" s="2" t="s">
        <v>18</v>
      </c>
      <c r="I584" s="2" t="s">
        <v>19</v>
      </c>
      <c r="J584" s="2" t="s">
        <v>20</v>
      </c>
      <c r="K584" s="2" t="s">
        <v>26</v>
      </c>
      <c r="L584" s="2" t="s">
        <v>356</v>
      </c>
      <c r="M584" s="2" t="s">
        <v>1045</v>
      </c>
      <c r="N584" s="2" t="s">
        <v>74</v>
      </c>
      <c r="O584" s="2" t="s">
        <v>1414</v>
      </c>
      <c r="P584" s="2" t="s">
        <v>1415</v>
      </c>
    </row>
    <row r="585" spans="1:16" ht="15.6" x14ac:dyDescent="0.3">
      <c r="A585" s="4">
        <v>1082599</v>
      </c>
      <c r="B585" s="4" t="s">
        <v>1297</v>
      </c>
      <c r="C585" s="4" t="s">
        <v>1182</v>
      </c>
      <c r="D585" s="4" t="str">
        <f t="shared" si="9"/>
        <v>IPL-2017</v>
      </c>
      <c r="E585" s="4">
        <f>YEAR('IPL Info'!$F585)</f>
        <v>2017</v>
      </c>
      <c r="F585" s="5">
        <v>42836</v>
      </c>
      <c r="G585" s="4" t="s">
        <v>1297</v>
      </c>
      <c r="H585" s="4" t="s">
        <v>18</v>
      </c>
      <c r="I585" s="4" t="s">
        <v>19</v>
      </c>
      <c r="J585" s="4" t="s">
        <v>20</v>
      </c>
      <c r="K585" s="4" t="s">
        <v>1182</v>
      </c>
      <c r="L585" s="4" t="s">
        <v>331</v>
      </c>
      <c r="M585" s="4" t="s">
        <v>1179</v>
      </c>
      <c r="N585" s="4" t="s">
        <v>635</v>
      </c>
      <c r="O585" s="4" t="s">
        <v>1416</v>
      </c>
      <c r="P585" s="4" t="s">
        <v>1417</v>
      </c>
    </row>
    <row r="586" spans="1:16" ht="15.6" x14ac:dyDescent="0.3">
      <c r="A586" s="2">
        <v>1082598</v>
      </c>
      <c r="B586" s="2" t="s">
        <v>925</v>
      </c>
      <c r="C586" s="2" t="s">
        <v>445</v>
      </c>
      <c r="D586" s="2" t="str">
        <f t="shared" si="9"/>
        <v>IPL-2017</v>
      </c>
      <c r="E586" s="2">
        <f>YEAR('IPL Info'!$F586)</f>
        <v>2017</v>
      </c>
      <c r="F586" s="3">
        <v>42835</v>
      </c>
      <c r="G586" s="2" t="s">
        <v>445</v>
      </c>
      <c r="H586" s="2" t="s">
        <v>31</v>
      </c>
      <c r="I586" s="2" t="s">
        <v>19</v>
      </c>
      <c r="J586" s="2" t="s">
        <v>20</v>
      </c>
      <c r="K586" s="2" t="s">
        <v>925</v>
      </c>
      <c r="L586" s="2" t="s">
        <v>527</v>
      </c>
      <c r="M586" s="2" t="s">
        <v>1198</v>
      </c>
      <c r="N586" s="2" t="s">
        <v>1199</v>
      </c>
      <c r="O586" s="2" t="s">
        <v>1418</v>
      </c>
      <c r="P586" s="2" t="s">
        <v>1419</v>
      </c>
    </row>
    <row r="587" spans="1:16" ht="15.6" x14ac:dyDescent="0.3">
      <c r="A587" s="4">
        <v>1082596</v>
      </c>
      <c r="B587" s="4" t="s">
        <v>55</v>
      </c>
      <c r="C587" s="4" t="s">
        <v>1315</v>
      </c>
      <c r="D587" s="4" t="str">
        <f t="shared" si="9"/>
        <v>IPL-2017</v>
      </c>
      <c r="E587" s="4">
        <f>YEAR('IPL Info'!$F587)</f>
        <v>2017</v>
      </c>
      <c r="F587" s="5">
        <v>42834</v>
      </c>
      <c r="G587" s="4" t="s">
        <v>55</v>
      </c>
      <c r="H587" s="4" t="s">
        <v>18</v>
      </c>
      <c r="I587" s="4" t="s">
        <v>19</v>
      </c>
      <c r="J587" s="4" t="s">
        <v>20</v>
      </c>
      <c r="K587" s="4" t="s">
        <v>55</v>
      </c>
      <c r="L587" s="4" t="s">
        <v>377</v>
      </c>
      <c r="M587" s="4" t="s">
        <v>1298</v>
      </c>
      <c r="N587" s="4" t="s">
        <v>105</v>
      </c>
      <c r="O587" s="4" t="s">
        <v>1420</v>
      </c>
      <c r="P587" s="4" t="s">
        <v>1421</v>
      </c>
    </row>
    <row r="588" spans="1:16" ht="15.6" x14ac:dyDescent="0.3">
      <c r="A588" s="2">
        <v>1082597</v>
      </c>
      <c r="B588" s="2" t="s">
        <v>26</v>
      </c>
      <c r="C588" s="2" t="s">
        <v>56</v>
      </c>
      <c r="D588" s="2" t="str">
        <f t="shared" si="9"/>
        <v>IPL-2017</v>
      </c>
      <c r="E588" s="2">
        <f>YEAR('IPL Info'!$F588)</f>
        <v>2017</v>
      </c>
      <c r="F588" s="3">
        <v>42834</v>
      </c>
      <c r="G588" s="2" t="s">
        <v>26</v>
      </c>
      <c r="H588" s="2" t="s">
        <v>18</v>
      </c>
      <c r="I588" s="2" t="s">
        <v>19</v>
      </c>
      <c r="J588" s="2" t="s">
        <v>20</v>
      </c>
      <c r="K588" s="2" t="s">
        <v>26</v>
      </c>
      <c r="L588" s="2" t="s">
        <v>235</v>
      </c>
      <c r="M588" s="2" t="s">
        <v>1045</v>
      </c>
      <c r="N588" s="2" t="s">
        <v>74</v>
      </c>
      <c r="O588" s="2" t="s">
        <v>1422</v>
      </c>
      <c r="P588" s="2" t="s">
        <v>1423</v>
      </c>
    </row>
    <row r="589" spans="1:16" ht="15.6" x14ac:dyDescent="0.3">
      <c r="A589" s="4">
        <v>1082595</v>
      </c>
      <c r="B589" s="4" t="s">
        <v>445</v>
      </c>
      <c r="C589" s="4" t="s">
        <v>1182</v>
      </c>
      <c r="D589" s="4" t="str">
        <f t="shared" si="9"/>
        <v>IPL-2017</v>
      </c>
      <c r="E589" s="4">
        <f>YEAR('IPL Info'!$F589)</f>
        <v>2017</v>
      </c>
      <c r="F589" s="5">
        <v>42833</v>
      </c>
      <c r="G589" s="4" t="s">
        <v>445</v>
      </c>
      <c r="H589" s="4" t="s">
        <v>31</v>
      </c>
      <c r="I589" s="4" t="s">
        <v>19</v>
      </c>
      <c r="J589" s="4" t="s">
        <v>20</v>
      </c>
      <c r="K589" s="4" t="s">
        <v>445</v>
      </c>
      <c r="L589" s="4" t="s">
        <v>1424</v>
      </c>
      <c r="M589" s="4" t="s">
        <v>1048</v>
      </c>
      <c r="N589" s="4" t="s">
        <v>116</v>
      </c>
      <c r="O589" s="4" t="s">
        <v>1425</v>
      </c>
      <c r="P589" s="4" t="s">
        <v>1426</v>
      </c>
    </row>
    <row r="590" spans="1:16" ht="15.6" x14ac:dyDescent="0.3">
      <c r="A590" s="2">
        <v>1082594</v>
      </c>
      <c r="B590" s="2" t="s">
        <v>925</v>
      </c>
      <c r="C590" s="2" t="s">
        <v>1297</v>
      </c>
      <c r="D590" s="2" t="str">
        <f t="shared" si="9"/>
        <v>IPL-2017</v>
      </c>
      <c r="E590" s="2">
        <f>YEAR('IPL Info'!$F590)</f>
        <v>2017</v>
      </c>
      <c r="F590" s="3">
        <v>42833</v>
      </c>
      <c r="G590" s="2" t="s">
        <v>925</v>
      </c>
      <c r="H590" s="2" t="s">
        <v>18</v>
      </c>
      <c r="I590" s="2" t="s">
        <v>19</v>
      </c>
      <c r="J590" s="2" t="s">
        <v>20</v>
      </c>
      <c r="K590" s="2" t="s">
        <v>925</v>
      </c>
      <c r="L590" s="2" t="s">
        <v>533</v>
      </c>
      <c r="M590" s="2" t="s">
        <v>1198</v>
      </c>
      <c r="N590" s="2" t="s">
        <v>1199</v>
      </c>
      <c r="O590" s="2" t="s">
        <v>1427</v>
      </c>
      <c r="P590" s="2" t="s">
        <v>1428</v>
      </c>
    </row>
    <row r="591" spans="1:16" ht="15.6" x14ac:dyDescent="0.3">
      <c r="A591" s="4">
        <v>1082593</v>
      </c>
      <c r="B591" s="4" t="s">
        <v>1315</v>
      </c>
      <c r="C591" s="4" t="s">
        <v>56</v>
      </c>
      <c r="D591" s="4" t="str">
        <f t="shared" si="9"/>
        <v>IPL-2017</v>
      </c>
      <c r="E591" s="4">
        <f>YEAR('IPL Info'!$F591)</f>
        <v>2017</v>
      </c>
      <c r="F591" s="5">
        <v>42832</v>
      </c>
      <c r="G591" s="4" t="s">
        <v>56</v>
      </c>
      <c r="H591" s="4" t="s">
        <v>18</v>
      </c>
      <c r="I591" s="4" t="s">
        <v>19</v>
      </c>
      <c r="J591" s="4" t="s">
        <v>20</v>
      </c>
      <c r="K591" s="4" t="s">
        <v>56</v>
      </c>
      <c r="L591" s="4" t="s">
        <v>1185</v>
      </c>
      <c r="M591" s="4" t="s">
        <v>1358</v>
      </c>
      <c r="N591" s="4" t="s">
        <v>1359</v>
      </c>
      <c r="O591" s="4" t="s">
        <v>1429</v>
      </c>
      <c r="P591" s="4" t="s">
        <v>1430</v>
      </c>
    </row>
    <row r="592" spans="1:16" ht="15.6" x14ac:dyDescent="0.3">
      <c r="A592" s="2">
        <v>1082592</v>
      </c>
      <c r="B592" s="2" t="s">
        <v>1297</v>
      </c>
      <c r="C592" s="2" t="s">
        <v>26</v>
      </c>
      <c r="D592" s="2" t="str">
        <f t="shared" si="9"/>
        <v>IPL-2017</v>
      </c>
      <c r="E592" s="2">
        <f>YEAR('IPL Info'!$F592)</f>
        <v>2017</v>
      </c>
      <c r="F592" s="3">
        <v>42831</v>
      </c>
      <c r="G592" s="2" t="s">
        <v>1297</v>
      </c>
      <c r="H592" s="2" t="s">
        <v>18</v>
      </c>
      <c r="I592" s="2" t="s">
        <v>19</v>
      </c>
      <c r="J592" s="2" t="s">
        <v>20</v>
      </c>
      <c r="K592" s="2" t="s">
        <v>1297</v>
      </c>
      <c r="L592" s="2" t="s">
        <v>1090</v>
      </c>
      <c r="M592" s="2" t="s">
        <v>1179</v>
      </c>
      <c r="N592" s="2" t="s">
        <v>635</v>
      </c>
      <c r="O592" s="2" t="s">
        <v>1431</v>
      </c>
      <c r="P592" s="2" t="s">
        <v>1432</v>
      </c>
    </row>
    <row r="593" spans="1:16" ht="15.6" x14ac:dyDescent="0.3">
      <c r="A593" s="4">
        <v>1082591</v>
      </c>
      <c r="B593" s="4" t="s">
        <v>55</v>
      </c>
      <c r="C593" s="4" t="s">
        <v>445</v>
      </c>
      <c r="D593" s="4" t="str">
        <f t="shared" si="9"/>
        <v>IPL-2017</v>
      </c>
      <c r="E593" s="4">
        <f>YEAR('IPL Info'!$F593)</f>
        <v>2017</v>
      </c>
      <c r="F593" s="5">
        <v>42830</v>
      </c>
      <c r="G593" s="4" t="s">
        <v>445</v>
      </c>
      <c r="H593" s="4" t="s">
        <v>18</v>
      </c>
      <c r="I593" s="4" t="s">
        <v>19</v>
      </c>
      <c r="J593" s="4" t="s">
        <v>20</v>
      </c>
      <c r="K593" s="4" t="s">
        <v>55</v>
      </c>
      <c r="L593" s="4" t="s">
        <v>1433</v>
      </c>
      <c r="M593" s="4" t="s">
        <v>1298</v>
      </c>
      <c r="N593" s="4" t="s">
        <v>105</v>
      </c>
      <c r="O593" s="4" t="s">
        <v>1420</v>
      </c>
      <c r="P593" s="4" t="s">
        <v>1434</v>
      </c>
    </row>
    <row r="594" spans="1:16" ht="15.6" x14ac:dyDescent="0.3">
      <c r="A594" s="2">
        <v>981019</v>
      </c>
      <c r="B594" s="2" t="s">
        <v>445</v>
      </c>
      <c r="C594" s="2" t="s">
        <v>55</v>
      </c>
      <c r="D594" s="2" t="str">
        <f t="shared" si="9"/>
        <v>IPL-2016</v>
      </c>
      <c r="E594" s="2">
        <f>YEAR('IPL Info'!$F594)</f>
        <v>2016</v>
      </c>
      <c r="F594" s="3">
        <v>42519</v>
      </c>
      <c r="G594" s="2" t="s">
        <v>55</v>
      </c>
      <c r="H594" s="2" t="s">
        <v>31</v>
      </c>
      <c r="I594" s="2" t="s">
        <v>19</v>
      </c>
      <c r="J594" s="2" t="s">
        <v>20</v>
      </c>
      <c r="K594" s="2" t="s">
        <v>55</v>
      </c>
      <c r="L594" s="2" t="s">
        <v>1435</v>
      </c>
      <c r="M594" s="2" t="s">
        <v>1301</v>
      </c>
      <c r="N594" s="2" t="s">
        <v>1302</v>
      </c>
      <c r="O594" s="2" t="s">
        <v>1436</v>
      </c>
      <c r="P594" s="2" t="s">
        <v>1437</v>
      </c>
    </row>
    <row r="595" spans="1:16" ht="15.6" x14ac:dyDescent="0.3">
      <c r="A595" s="4">
        <v>981017</v>
      </c>
      <c r="B595" s="4" t="s">
        <v>1315</v>
      </c>
      <c r="C595" s="4" t="s">
        <v>55</v>
      </c>
      <c r="D595" s="4" t="str">
        <f t="shared" si="9"/>
        <v>IPL-2016</v>
      </c>
      <c r="E595" s="4">
        <f>YEAR('IPL Info'!$F595)</f>
        <v>2016</v>
      </c>
      <c r="F595" s="5">
        <v>42517</v>
      </c>
      <c r="G595" s="4" t="s">
        <v>55</v>
      </c>
      <c r="H595" s="4" t="s">
        <v>18</v>
      </c>
      <c r="I595" s="4" t="s">
        <v>19</v>
      </c>
      <c r="J595" s="4" t="s">
        <v>20</v>
      </c>
      <c r="K595" s="4" t="s">
        <v>55</v>
      </c>
      <c r="L595" s="4" t="s">
        <v>658</v>
      </c>
      <c r="M595" s="4" t="s">
        <v>1310</v>
      </c>
      <c r="N595" s="4" t="s">
        <v>59</v>
      </c>
      <c r="O595" s="4" t="s">
        <v>1438</v>
      </c>
      <c r="P595" s="4" t="s">
        <v>1439</v>
      </c>
    </row>
    <row r="596" spans="1:16" ht="15.6" x14ac:dyDescent="0.3">
      <c r="A596" s="2">
        <v>981015</v>
      </c>
      <c r="B596" s="2" t="s">
        <v>55</v>
      </c>
      <c r="C596" s="2" t="s">
        <v>56</v>
      </c>
      <c r="D596" s="2" t="str">
        <f t="shared" si="9"/>
        <v>IPL-2016</v>
      </c>
      <c r="E596" s="2">
        <f>YEAR('IPL Info'!$F596)</f>
        <v>2016</v>
      </c>
      <c r="F596" s="3">
        <v>42515</v>
      </c>
      <c r="G596" s="2" t="s">
        <v>56</v>
      </c>
      <c r="H596" s="2" t="s">
        <v>18</v>
      </c>
      <c r="I596" s="2" t="s">
        <v>19</v>
      </c>
      <c r="J596" s="2" t="s">
        <v>20</v>
      </c>
      <c r="K596" s="2" t="s">
        <v>55</v>
      </c>
      <c r="L596" s="2" t="s">
        <v>1440</v>
      </c>
      <c r="M596" s="2" t="s">
        <v>1310</v>
      </c>
      <c r="N596" s="2" t="s">
        <v>59</v>
      </c>
      <c r="O596" s="2" t="s">
        <v>1441</v>
      </c>
      <c r="P596" s="2" t="s">
        <v>1442</v>
      </c>
    </row>
    <row r="597" spans="1:16" ht="15.6" x14ac:dyDescent="0.3">
      <c r="A597" s="4">
        <v>981013</v>
      </c>
      <c r="B597" s="4" t="s">
        <v>1315</v>
      </c>
      <c r="C597" s="4" t="s">
        <v>445</v>
      </c>
      <c r="D597" s="4" t="str">
        <f t="shared" si="9"/>
        <v>IPL-2016</v>
      </c>
      <c r="E597" s="4">
        <f>YEAR('IPL Info'!$F597)</f>
        <v>2016</v>
      </c>
      <c r="F597" s="5">
        <v>42514</v>
      </c>
      <c r="G597" s="4" t="s">
        <v>445</v>
      </c>
      <c r="H597" s="4" t="s">
        <v>18</v>
      </c>
      <c r="I597" s="4" t="s">
        <v>19</v>
      </c>
      <c r="J597" s="4" t="s">
        <v>20</v>
      </c>
      <c r="K597" s="4" t="s">
        <v>445</v>
      </c>
      <c r="L597" s="4" t="s">
        <v>861</v>
      </c>
      <c r="M597" s="4" t="s">
        <v>1301</v>
      </c>
      <c r="N597" s="4" t="s">
        <v>1302</v>
      </c>
      <c r="O597" s="4" t="s">
        <v>1443</v>
      </c>
      <c r="P597" s="4" t="s">
        <v>1444</v>
      </c>
    </row>
    <row r="598" spans="1:16" ht="15.6" x14ac:dyDescent="0.3">
      <c r="A598" s="2">
        <v>981009</v>
      </c>
      <c r="B598" s="2" t="s">
        <v>56</v>
      </c>
      <c r="C598" s="2" t="s">
        <v>55</v>
      </c>
      <c r="D598" s="2" t="str">
        <f t="shared" si="9"/>
        <v>IPL-2016</v>
      </c>
      <c r="E598" s="2">
        <f>YEAR('IPL Info'!$F598)</f>
        <v>2016</v>
      </c>
      <c r="F598" s="3">
        <v>42512</v>
      </c>
      <c r="G598" s="2" t="s">
        <v>55</v>
      </c>
      <c r="H598" s="2" t="s">
        <v>18</v>
      </c>
      <c r="I598" s="2" t="s">
        <v>19</v>
      </c>
      <c r="J598" s="2" t="s">
        <v>20</v>
      </c>
      <c r="K598" s="2" t="s">
        <v>56</v>
      </c>
      <c r="L598" s="2" t="s">
        <v>1445</v>
      </c>
      <c r="M598" s="2" t="s">
        <v>1064</v>
      </c>
      <c r="N598" s="2" t="s">
        <v>98</v>
      </c>
      <c r="O598" s="2" t="s">
        <v>1446</v>
      </c>
      <c r="P598" s="2" t="s">
        <v>1447</v>
      </c>
    </row>
    <row r="599" spans="1:16" ht="15.6" x14ac:dyDescent="0.3">
      <c r="A599" s="4">
        <v>981011</v>
      </c>
      <c r="B599" s="4" t="s">
        <v>1182</v>
      </c>
      <c r="C599" s="4" t="s">
        <v>445</v>
      </c>
      <c r="D599" s="4" t="str">
        <f t="shared" si="9"/>
        <v>IPL-2016</v>
      </c>
      <c r="E599" s="4">
        <f>YEAR('IPL Info'!$F599)</f>
        <v>2016</v>
      </c>
      <c r="F599" s="5">
        <v>42512</v>
      </c>
      <c r="G599" s="4" t="s">
        <v>445</v>
      </c>
      <c r="H599" s="4" t="s">
        <v>18</v>
      </c>
      <c r="I599" s="4" t="s">
        <v>19</v>
      </c>
      <c r="J599" s="4" t="s">
        <v>20</v>
      </c>
      <c r="K599" s="4" t="s">
        <v>445</v>
      </c>
      <c r="L599" s="4" t="s">
        <v>158</v>
      </c>
      <c r="M599" s="4" t="s">
        <v>1448</v>
      </c>
      <c r="N599" s="4" t="s">
        <v>1449</v>
      </c>
      <c r="O599" s="4" t="s">
        <v>1450</v>
      </c>
      <c r="P599" s="4" t="s">
        <v>1451</v>
      </c>
    </row>
    <row r="600" spans="1:16" ht="15.6" x14ac:dyDescent="0.3">
      <c r="A600" s="2">
        <v>981005</v>
      </c>
      <c r="B600" s="2" t="s">
        <v>1452</v>
      </c>
      <c r="C600" s="2" t="s">
        <v>925</v>
      </c>
      <c r="D600" s="2" t="str">
        <f t="shared" si="9"/>
        <v>IPL-2016</v>
      </c>
      <c r="E600" s="2">
        <f>YEAR('IPL Info'!$F600)</f>
        <v>2016</v>
      </c>
      <c r="F600" s="3">
        <v>42511</v>
      </c>
      <c r="G600" s="2" t="s">
        <v>925</v>
      </c>
      <c r="H600" s="2" t="s">
        <v>31</v>
      </c>
      <c r="I600" s="2" t="s">
        <v>19</v>
      </c>
      <c r="J600" s="2" t="s">
        <v>20</v>
      </c>
      <c r="K600" s="2" t="s">
        <v>1452</v>
      </c>
      <c r="L600" s="2" t="s">
        <v>180</v>
      </c>
      <c r="M600" s="2" t="s">
        <v>1034</v>
      </c>
      <c r="N600" s="2" t="s">
        <v>232</v>
      </c>
      <c r="O600" s="2" t="s">
        <v>1453</v>
      </c>
      <c r="P600" s="2" t="s">
        <v>1454</v>
      </c>
    </row>
    <row r="601" spans="1:16" ht="15.6" x14ac:dyDescent="0.3">
      <c r="A601" s="4">
        <v>981007</v>
      </c>
      <c r="B601" s="4" t="s">
        <v>1315</v>
      </c>
      <c r="C601" s="4" t="s">
        <v>26</v>
      </c>
      <c r="D601" s="4" t="str">
        <f t="shared" si="9"/>
        <v>IPL-2016</v>
      </c>
      <c r="E601" s="4">
        <f>YEAR('IPL Info'!$F601)</f>
        <v>2016</v>
      </c>
      <c r="F601" s="5">
        <v>42511</v>
      </c>
      <c r="G601" s="4" t="s">
        <v>1315</v>
      </c>
      <c r="H601" s="4" t="s">
        <v>18</v>
      </c>
      <c r="I601" s="4" t="s">
        <v>19</v>
      </c>
      <c r="J601" s="4" t="s">
        <v>20</v>
      </c>
      <c r="K601" s="4" t="s">
        <v>1315</v>
      </c>
      <c r="L601" s="4" t="s">
        <v>1386</v>
      </c>
      <c r="M601" s="4" t="s">
        <v>1316</v>
      </c>
      <c r="N601" s="4" t="s">
        <v>1317</v>
      </c>
      <c r="O601" s="4" t="s">
        <v>1455</v>
      </c>
      <c r="P601" s="4" t="s">
        <v>1456</v>
      </c>
    </row>
    <row r="602" spans="1:16" ht="15.6" x14ac:dyDescent="0.3">
      <c r="A602" s="2">
        <v>981003</v>
      </c>
      <c r="B602" s="2" t="s">
        <v>1182</v>
      </c>
      <c r="C602" s="2" t="s">
        <v>55</v>
      </c>
      <c r="D602" s="2" t="str">
        <f t="shared" si="9"/>
        <v>IPL-2016</v>
      </c>
      <c r="E602" s="2">
        <f>YEAR('IPL Info'!$F602)</f>
        <v>2016</v>
      </c>
      <c r="F602" s="3">
        <v>42510</v>
      </c>
      <c r="G602" s="2" t="s">
        <v>1182</v>
      </c>
      <c r="H602" s="2" t="s">
        <v>18</v>
      </c>
      <c r="I602" s="2" t="s">
        <v>19</v>
      </c>
      <c r="J602" s="2" t="s">
        <v>20</v>
      </c>
      <c r="K602" s="2" t="s">
        <v>1182</v>
      </c>
      <c r="L602" s="2" t="s">
        <v>1322</v>
      </c>
      <c r="M602" s="2" t="s">
        <v>1448</v>
      </c>
      <c r="N602" s="2" t="s">
        <v>1449</v>
      </c>
      <c r="O602" s="2" t="s">
        <v>1457</v>
      </c>
      <c r="P602" s="2" t="s">
        <v>1458</v>
      </c>
    </row>
    <row r="603" spans="1:16" ht="15.6" x14ac:dyDescent="0.3">
      <c r="A603" s="4">
        <v>981001</v>
      </c>
      <c r="B603" s="4" t="s">
        <v>1315</v>
      </c>
      <c r="C603" s="4" t="s">
        <v>56</v>
      </c>
      <c r="D603" s="4" t="str">
        <f t="shared" si="9"/>
        <v>IPL-2016</v>
      </c>
      <c r="E603" s="4">
        <f>YEAR('IPL Info'!$F603)</f>
        <v>2016</v>
      </c>
      <c r="F603" s="5">
        <v>42509</v>
      </c>
      <c r="G603" s="4" t="s">
        <v>1315</v>
      </c>
      <c r="H603" s="4" t="s">
        <v>18</v>
      </c>
      <c r="I603" s="4" t="s">
        <v>19</v>
      </c>
      <c r="J603" s="4" t="s">
        <v>20</v>
      </c>
      <c r="K603" s="4" t="s">
        <v>1315</v>
      </c>
      <c r="L603" s="4" t="s">
        <v>1333</v>
      </c>
      <c r="M603" s="4" t="s">
        <v>1316</v>
      </c>
      <c r="N603" s="4" t="s">
        <v>1317</v>
      </c>
      <c r="O603" s="4" t="s">
        <v>1459</v>
      </c>
      <c r="P603" s="4" t="s">
        <v>1460</v>
      </c>
    </row>
    <row r="604" spans="1:16" ht="15.6" x14ac:dyDescent="0.3">
      <c r="A604" s="2">
        <v>980999</v>
      </c>
      <c r="B604" s="2" t="s">
        <v>445</v>
      </c>
      <c r="C604" s="2" t="s">
        <v>925</v>
      </c>
      <c r="D604" s="2" t="str">
        <f t="shared" si="9"/>
        <v>IPL-2016</v>
      </c>
      <c r="E604" s="2">
        <f>YEAR('IPL Info'!$F604)</f>
        <v>2016</v>
      </c>
      <c r="F604" s="3">
        <v>42508</v>
      </c>
      <c r="G604" s="2" t="s">
        <v>925</v>
      </c>
      <c r="H604" s="2" t="s">
        <v>18</v>
      </c>
      <c r="I604" s="2" t="s">
        <v>19</v>
      </c>
      <c r="J604" s="2" t="s">
        <v>20</v>
      </c>
      <c r="K604" s="2" t="s">
        <v>445</v>
      </c>
      <c r="L604" s="2" t="s">
        <v>158</v>
      </c>
      <c r="M604" s="2" t="s">
        <v>1301</v>
      </c>
      <c r="N604" s="2" t="s">
        <v>1302</v>
      </c>
      <c r="O604" s="2" t="s">
        <v>1461</v>
      </c>
      <c r="P604" s="2" t="s">
        <v>1462</v>
      </c>
    </row>
    <row r="605" spans="1:16" ht="15.6" x14ac:dyDescent="0.3">
      <c r="A605" s="4">
        <v>980997</v>
      </c>
      <c r="B605" s="4" t="s">
        <v>1452</v>
      </c>
      <c r="C605" s="4" t="s">
        <v>1182</v>
      </c>
      <c r="D605" s="4" t="str">
        <f t="shared" si="9"/>
        <v>IPL-2016</v>
      </c>
      <c r="E605" s="4">
        <f>YEAR('IPL Info'!$F605)</f>
        <v>2016</v>
      </c>
      <c r="F605" s="5">
        <v>42507</v>
      </c>
      <c r="G605" s="4" t="s">
        <v>1452</v>
      </c>
      <c r="H605" s="4" t="s">
        <v>18</v>
      </c>
      <c r="I605" s="4" t="s">
        <v>19</v>
      </c>
      <c r="J605" s="4" t="s">
        <v>20</v>
      </c>
      <c r="K605" s="4" t="s">
        <v>1452</v>
      </c>
      <c r="L605" s="4" t="s">
        <v>1463</v>
      </c>
      <c r="M605" s="4" t="s">
        <v>1034</v>
      </c>
      <c r="N605" s="4" t="s">
        <v>232</v>
      </c>
      <c r="O605" s="4" t="s">
        <v>1464</v>
      </c>
      <c r="P605" s="4" t="s">
        <v>1465</v>
      </c>
    </row>
    <row r="606" spans="1:16" ht="15.6" x14ac:dyDescent="0.3">
      <c r="A606" s="2">
        <v>980995</v>
      </c>
      <c r="B606" s="2" t="s">
        <v>56</v>
      </c>
      <c r="C606" s="2" t="s">
        <v>445</v>
      </c>
      <c r="D606" s="2" t="str">
        <f t="shared" si="9"/>
        <v>IPL-2016</v>
      </c>
      <c r="E606" s="2">
        <f>YEAR('IPL Info'!$F606)</f>
        <v>2016</v>
      </c>
      <c r="F606" s="3">
        <v>42506</v>
      </c>
      <c r="G606" s="2" t="s">
        <v>445</v>
      </c>
      <c r="H606" s="2" t="s">
        <v>18</v>
      </c>
      <c r="I606" s="2" t="s">
        <v>19</v>
      </c>
      <c r="J606" s="2" t="s">
        <v>20</v>
      </c>
      <c r="K606" s="2" t="s">
        <v>445</v>
      </c>
      <c r="L606" s="2" t="s">
        <v>158</v>
      </c>
      <c r="M606" s="2" t="s">
        <v>1064</v>
      </c>
      <c r="N606" s="2" t="s">
        <v>98</v>
      </c>
      <c r="O606" s="2" t="s">
        <v>1466</v>
      </c>
      <c r="P606" s="2" t="s">
        <v>1467</v>
      </c>
    </row>
    <row r="607" spans="1:16" ht="15.6" x14ac:dyDescent="0.3">
      <c r="A607" s="4">
        <v>980993</v>
      </c>
      <c r="B607" s="4" t="s">
        <v>26</v>
      </c>
      <c r="C607" s="4" t="s">
        <v>1182</v>
      </c>
      <c r="D607" s="4" t="str">
        <f t="shared" si="9"/>
        <v>IPL-2016</v>
      </c>
      <c r="E607" s="4">
        <f>YEAR('IPL Info'!$F607)</f>
        <v>2016</v>
      </c>
      <c r="F607" s="5">
        <v>42505</v>
      </c>
      <c r="G607" s="4" t="s">
        <v>1182</v>
      </c>
      <c r="H607" s="4" t="s">
        <v>18</v>
      </c>
      <c r="I607" s="4" t="s">
        <v>19</v>
      </c>
      <c r="J607" s="4" t="s">
        <v>20</v>
      </c>
      <c r="K607" s="4" t="s">
        <v>26</v>
      </c>
      <c r="L607" s="4" t="s">
        <v>21</v>
      </c>
      <c r="M607" s="4" t="s">
        <v>1034</v>
      </c>
      <c r="N607" s="4" t="s">
        <v>232</v>
      </c>
      <c r="O607" s="4" t="s">
        <v>1468</v>
      </c>
      <c r="P607" s="4" t="s">
        <v>1469</v>
      </c>
    </row>
    <row r="608" spans="1:16" ht="15.6" x14ac:dyDescent="0.3">
      <c r="A608" s="2">
        <v>980991</v>
      </c>
      <c r="B608" s="2" t="s">
        <v>925</v>
      </c>
      <c r="C608" s="2" t="s">
        <v>55</v>
      </c>
      <c r="D608" s="2" t="str">
        <f t="shared" si="9"/>
        <v>IPL-2016</v>
      </c>
      <c r="E608" s="2">
        <f>YEAR('IPL Info'!$F608)</f>
        <v>2016</v>
      </c>
      <c r="F608" s="3">
        <v>42505</v>
      </c>
      <c r="G608" s="2" t="s">
        <v>925</v>
      </c>
      <c r="H608" s="2" t="s">
        <v>31</v>
      </c>
      <c r="I608" s="2" t="s">
        <v>19</v>
      </c>
      <c r="J608" s="2" t="s">
        <v>20</v>
      </c>
      <c r="K608" s="2" t="s">
        <v>55</v>
      </c>
      <c r="L608" s="2" t="s">
        <v>1377</v>
      </c>
      <c r="M608" s="2" t="s">
        <v>1328</v>
      </c>
      <c r="N608" s="2" t="s">
        <v>502</v>
      </c>
      <c r="O608" s="2" t="s">
        <v>1470</v>
      </c>
      <c r="P608" s="2" t="s">
        <v>1471</v>
      </c>
    </row>
    <row r="609" spans="1:16" ht="15.6" x14ac:dyDescent="0.3">
      <c r="A609" s="4">
        <v>980989</v>
      </c>
      <c r="B609" s="4" t="s">
        <v>56</v>
      </c>
      <c r="C609" s="4" t="s">
        <v>1452</v>
      </c>
      <c r="D609" s="4" t="str">
        <f t="shared" si="9"/>
        <v>IPL-2016</v>
      </c>
      <c r="E609" s="4">
        <f>YEAR('IPL Info'!$F609)</f>
        <v>2016</v>
      </c>
      <c r="F609" s="5">
        <v>42504</v>
      </c>
      <c r="G609" s="4" t="s">
        <v>1452</v>
      </c>
      <c r="H609" s="4" t="s">
        <v>31</v>
      </c>
      <c r="I609" s="4" t="s">
        <v>19</v>
      </c>
      <c r="J609" s="4" t="s">
        <v>20</v>
      </c>
      <c r="K609" s="4" t="s">
        <v>56</v>
      </c>
      <c r="L609" s="4" t="s">
        <v>1445</v>
      </c>
      <c r="M609" s="4" t="s">
        <v>1064</v>
      </c>
      <c r="N609" s="4" t="s">
        <v>98</v>
      </c>
      <c r="O609" s="4" t="s">
        <v>1472</v>
      </c>
      <c r="P609" s="4" t="s">
        <v>1473</v>
      </c>
    </row>
    <row r="610" spans="1:16" ht="15.6" x14ac:dyDescent="0.3">
      <c r="A610" s="2">
        <v>980987</v>
      </c>
      <c r="B610" s="2" t="s">
        <v>445</v>
      </c>
      <c r="C610" s="2" t="s">
        <v>1315</v>
      </c>
      <c r="D610" s="2" t="str">
        <f t="shared" si="9"/>
        <v>IPL-2016</v>
      </c>
      <c r="E610" s="2">
        <f>YEAR('IPL Info'!$F610)</f>
        <v>2016</v>
      </c>
      <c r="F610" s="3">
        <v>42504</v>
      </c>
      <c r="G610" s="2" t="s">
        <v>1315</v>
      </c>
      <c r="H610" s="2" t="s">
        <v>18</v>
      </c>
      <c r="I610" s="2" t="s">
        <v>19</v>
      </c>
      <c r="J610" s="2" t="s">
        <v>20</v>
      </c>
      <c r="K610" s="2" t="s">
        <v>445</v>
      </c>
      <c r="L610" s="2" t="s">
        <v>861</v>
      </c>
      <c r="M610" s="2" t="s">
        <v>1301</v>
      </c>
      <c r="N610" s="2" t="s">
        <v>1302</v>
      </c>
      <c r="O610" s="2" t="s">
        <v>1474</v>
      </c>
      <c r="P610" s="2" t="s">
        <v>1475</v>
      </c>
    </row>
    <row r="611" spans="1:16" ht="15.6" x14ac:dyDescent="0.3">
      <c r="A611" s="4">
        <v>980985</v>
      </c>
      <c r="B611" s="4" t="s">
        <v>26</v>
      </c>
      <c r="C611" s="4" t="s">
        <v>925</v>
      </c>
      <c r="D611" s="4" t="str">
        <f t="shared" si="9"/>
        <v>IPL-2016</v>
      </c>
      <c r="E611" s="4">
        <f>YEAR('IPL Info'!$F611)</f>
        <v>2016</v>
      </c>
      <c r="F611" s="5">
        <v>42503</v>
      </c>
      <c r="G611" s="4" t="s">
        <v>26</v>
      </c>
      <c r="H611" s="4" t="s">
        <v>31</v>
      </c>
      <c r="I611" s="4" t="s">
        <v>19</v>
      </c>
      <c r="J611" s="4" t="s">
        <v>20</v>
      </c>
      <c r="K611" s="4" t="s">
        <v>925</v>
      </c>
      <c r="L611" s="4" t="s">
        <v>318</v>
      </c>
      <c r="M611" s="4" t="s">
        <v>1034</v>
      </c>
      <c r="N611" s="4" t="s">
        <v>232</v>
      </c>
      <c r="O611" s="4" t="s">
        <v>1476</v>
      </c>
      <c r="P611" s="4" t="s">
        <v>1477</v>
      </c>
    </row>
    <row r="612" spans="1:16" ht="15.6" x14ac:dyDescent="0.3">
      <c r="A612" s="2">
        <v>980983</v>
      </c>
      <c r="B612" s="2" t="s">
        <v>55</v>
      </c>
      <c r="C612" s="2" t="s">
        <v>1182</v>
      </c>
      <c r="D612" s="2" t="str">
        <f t="shared" si="9"/>
        <v>IPL-2016</v>
      </c>
      <c r="E612" s="2">
        <f>YEAR('IPL Info'!$F612)</f>
        <v>2016</v>
      </c>
      <c r="F612" s="3">
        <v>42502</v>
      </c>
      <c r="G612" s="2" t="s">
        <v>1182</v>
      </c>
      <c r="H612" s="2" t="s">
        <v>18</v>
      </c>
      <c r="I612" s="2" t="s">
        <v>19</v>
      </c>
      <c r="J612" s="2" t="s">
        <v>20</v>
      </c>
      <c r="K612" s="2" t="s">
        <v>1182</v>
      </c>
      <c r="L612" s="2" t="s">
        <v>871</v>
      </c>
      <c r="M612" s="2" t="s">
        <v>1298</v>
      </c>
      <c r="N612" s="2" t="s">
        <v>105</v>
      </c>
      <c r="O612" s="2" t="s">
        <v>1478</v>
      </c>
      <c r="P612" s="2" t="s">
        <v>1479</v>
      </c>
    </row>
    <row r="613" spans="1:16" ht="15.6" x14ac:dyDescent="0.3">
      <c r="A613" s="4">
        <v>980981</v>
      </c>
      <c r="B613" s="4" t="s">
        <v>445</v>
      </c>
      <c r="C613" s="4" t="s">
        <v>26</v>
      </c>
      <c r="D613" s="4" t="str">
        <f t="shared" si="9"/>
        <v>IPL-2016</v>
      </c>
      <c r="E613" s="4">
        <f>YEAR('IPL Info'!$F613)</f>
        <v>2016</v>
      </c>
      <c r="F613" s="5">
        <v>42501</v>
      </c>
      <c r="G613" s="4" t="s">
        <v>26</v>
      </c>
      <c r="H613" s="4" t="s">
        <v>18</v>
      </c>
      <c r="I613" s="4" t="s">
        <v>19</v>
      </c>
      <c r="J613" s="4" t="s">
        <v>20</v>
      </c>
      <c r="K613" s="4" t="s">
        <v>26</v>
      </c>
      <c r="L613" s="4" t="s">
        <v>21</v>
      </c>
      <c r="M613" s="4" t="s">
        <v>1301</v>
      </c>
      <c r="N613" s="4" t="s">
        <v>1302</v>
      </c>
      <c r="O613" s="4" t="s">
        <v>1480</v>
      </c>
      <c r="P613" s="4" t="s">
        <v>1481</v>
      </c>
    </row>
    <row r="614" spans="1:16" ht="15.6" x14ac:dyDescent="0.3">
      <c r="A614" s="2">
        <v>980979</v>
      </c>
      <c r="B614" s="2" t="s">
        <v>1452</v>
      </c>
      <c r="C614" s="2" t="s">
        <v>55</v>
      </c>
      <c r="D614" s="2" t="str">
        <f>_xlfn.SINGLE(_xlfn.CONCAT("IPL-",E614))</f>
        <v>IPL-2016</v>
      </c>
      <c r="E614" s="2">
        <f>YEAR('IPL Info'!$F614)</f>
        <v>2016</v>
      </c>
      <c r="F614" s="3">
        <v>42500</v>
      </c>
      <c r="G614" s="2" t="s">
        <v>55</v>
      </c>
      <c r="H614" s="2" t="s">
        <v>31</v>
      </c>
      <c r="I614" s="2" t="s">
        <v>19</v>
      </c>
      <c r="J614" s="2" t="s">
        <v>20</v>
      </c>
      <c r="K614" s="2" t="s">
        <v>55</v>
      </c>
      <c r="L614" s="2" t="s">
        <v>1482</v>
      </c>
      <c r="M614" s="2" t="s">
        <v>1034</v>
      </c>
      <c r="N614" s="2" t="s">
        <v>232</v>
      </c>
      <c r="O614" s="2" t="s">
        <v>1483</v>
      </c>
      <c r="P614" s="2" t="s">
        <v>1478</v>
      </c>
    </row>
    <row r="615" spans="1:16" ht="15.6" x14ac:dyDescent="0.3">
      <c r="A615" s="4">
        <v>980977</v>
      </c>
      <c r="B615" s="4" t="s">
        <v>925</v>
      </c>
      <c r="C615" s="4" t="s">
        <v>445</v>
      </c>
      <c r="D615" s="4" t="str">
        <f t="shared" ref="D615:D678" si="10">_xlfn.SINGLE(_xlfn.CONCAT("IPL-",E615))</f>
        <v>IPL-2016</v>
      </c>
      <c r="E615" s="4">
        <f>YEAR('IPL Info'!$F615)</f>
        <v>2016</v>
      </c>
      <c r="F615" s="5">
        <v>42499</v>
      </c>
      <c r="G615" s="4" t="s">
        <v>925</v>
      </c>
      <c r="H615" s="4" t="s">
        <v>18</v>
      </c>
      <c r="I615" s="4" t="s">
        <v>19</v>
      </c>
      <c r="J615" s="4" t="s">
        <v>20</v>
      </c>
      <c r="K615" s="4" t="s">
        <v>445</v>
      </c>
      <c r="L615" s="4" t="s">
        <v>996</v>
      </c>
      <c r="M615" s="4" t="s">
        <v>1328</v>
      </c>
      <c r="N615" s="4" t="s">
        <v>502</v>
      </c>
      <c r="O615" s="4" t="s">
        <v>1484</v>
      </c>
      <c r="P615" s="4" t="s">
        <v>1485</v>
      </c>
    </row>
    <row r="616" spans="1:16" ht="15.6" x14ac:dyDescent="0.3">
      <c r="A616" s="2">
        <v>980973</v>
      </c>
      <c r="B616" s="2" t="s">
        <v>26</v>
      </c>
      <c r="C616" s="2" t="s">
        <v>55</v>
      </c>
      <c r="D616" s="2" t="str">
        <f t="shared" si="10"/>
        <v>IPL-2016</v>
      </c>
      <c r="E616" s="2">
        <f>YEAR('IPL Info'!$F616)</f>
        <v>2016</v>
      </c>
      <c r="F616" s="3">
        <v>42498</v>
      </c>
      <c r="G616" s="2" t="s">
        <v>26</v>
      </c>
      <c r="H616" s="2" t="s">
        <v>18</v>
      </c>
      <c r="I616" s="2" t="s">
        <v>19</v>
      </c>
      <c r="J616" s="2" t="s">
        <v>20</v>
      </c>
      <c r="K616" s="2" t="s">
        <v>55</v>
      </c>
      <c r="L616" s="2" t="s">
        <v>1486</v>
      </c>
      <c r="M616" s="2" t="s">
        <v>1034</v>
      </c>
      <c r="N616" s="2" t="s">
        <v>232</v>
      </c>
      <c r="O616" s="2" t="s">
        <v>1487</v>
      </c>
      <c r="P616" s="2" t="s">
        <v>1478</v>
      </c>
    </row>
    <row r="617" spans="1:16" ht="15.6" x14ac:dyDescent="0.3">
      <c r="A617" s="4">
        <v>980975</v>
      </c>
      <c r="B617" s="4" t="s">
        <v>56</v>
      </c>
      <c r="C617" s="4" t="s">
        <v>1315</v>
      </c>
      <c r="D617" s="4" t="str">
        <f t="shared" si="10"/>
        <v>IPL-2016</v>
      </c>
      <c r="E617" s="4">
        <f>YEAR('IPL Info'!$F617)</f>
        <v>2016</v>
      </c>
      <c r="F617" s="5">
        <v>42498</v>
      </c>
      <c r="G617" s="4" t="s">
        <v>1315</v>
      </c>
      <c r="H617" s="4" t="s">
        <v>18</v>
      </c>
      <c r="I617" s="4" t="s">
        <v>19</v>
      </c>
      <c r="J617" s="4" t="s">
        <v>20</v>
      </c>
      <c r="K617" s="4" t="s">
        <v>1315</v>
      </c>
      <c r="L617" s="4" t="s">
        <v>1488</v>
      </c>
      <c r="M617" s="4" t="s">
        <v>1064</v>
      </c>
      <c r="N617" s="4" t="s">
        <v>98</v>
      </c>
      <c r="O617" s="4" t="s">
        <v>1489</v>
      </c>
      <c r="P617" s="4" t="s">
        <v>1490</v>
      </c>
    </row>
    <row r="618" spans="1:16" ht="15.6" x14ac:dyDescent="0.3">
      <c r="A618" s="2">
        <v>980971</v>
      </c>
      <c r="B618" s="2" t="s">
        <v>925</v>
      </c>
      <c r="C618" s="2" t="s">
        <v>1182</v>
      </c>
      <c r="D618" s="2" t="str">
        <f t="shared" si="10"/>
        <v>IPL-2016</v>
      </c>
      <c r="E618" s="2">
        <f>YEAR('IPL Info'!$F618)</f>
        <v>2016</v>
      </c>
      <c r="F618" s="3">
        <v>42497</v>
      </c>
      <c r="G618" s="2" t="s">
        <v>1182</v>
      </c>
      <c r="H618" s="2" t="s">
        <v>18</v>
      </c>
      <c r="I618" s="2" t="s">
        <v>19</v>
      </c>
      <c r="J618" s="2" t="s">
        <v>20</v>
      </c>
      <c r="K618" s="2" t="s">
        <v>925</v>
      </c>
      <c r="L618" s="2" t="s">
        <v>318</v>
      </c>
      <c r="M618" s="2" t="s">
        <v>1328</v>
      </c>
      <c r="N618" s="2" t="s">
        <v>502</v>
      </c>
      <c r="O618" s="2" t="s">
        <v>1491</v>
      </c>
      <c r="P618" s="2" t="s">
        <v>1492</v>
      </c>
    </row>
    <row r="619" spans="1:16" ht="15.6" x14ac:dyDescent="0.3">
      <c r="A619" s="4">
        <v>980969</v>
      </c>
      <c r="B619" s="4" t="s">
        <v>445</v>
      </c>
      <c r="C619" s="4" t="s">
        <v>1452</v>
      </c>
      <c r="D619" s="4" t="str">
        <f t="shared" si="10"/>
        <v>IPL-2016</v>
      </c>
      <c r="E619" s="4">
        <f>YEAR('IPL Info'!$F619)</f>
        <v>2016</v>
      </c>
      <c r="F619" s="5">
        <v>42497</v>
      </c>
      <c r="G619" s="4" t="s">
        <v>445</v>
      </c>
      <c r="H619" s="4" t="s">
        <v>18</v>
      </c>
      <c r="I619" s="4" t="s">
        <v>19</v>
      </c>
      <c r="J619" s="4" t="s">
        <v>20</v>
      </c>
      <c r="K619" s="4" t="s">
        <v>445</v>
      </c>
      <c r="L619" s="4" t="s">
        <v>158</v>
      </c>
      <c r="M619" s="4" t="s">
        <v>1301</v>
      </c>
      <c r="N619" s="4" t="s">
        <v>1302</v>
      </c>
      <c r="O619" s="4" t="s">
        <v>1493</v>
      </c>
      <c r="P619" s="4" t="s">
        <v>1494</v>
      </c>
    </row>
    <row r="620" spans="1:16" ht="15.6" x14ac:dyDescent="0.3">
      <c r="A620" s="2">
        <v>980967</v>
      </c>
      <c r="B620" s="2" t="s">
        <v>55</v>
      </c>
      <c r="C620" s="2" t="s">
        <v>1315</v>
      </c>
      <c r="D620" s="2" t="str">
        <f t="shared" si="10"/>
        <v>IPL-2016</v>
      </c>
      <c r="E620" s="2">
        <f>YEAR('IPL Info'!$F620)</f>
        <v>2016</v>
      </c>
      <c r="F620" s="3">
        <v>42496</v>
      </c>
      <c r="G620" s="2" t="s">
        <v>55</v>
      </c>
      <c r="H620" s="2" t="s">
        <v>18</v>
      </c>
      <c r="I620" s="2" t="s">
        <v>19</v>
      </c>
      <c r="J620" s="2" t="s">
        <v>20</v>
      </c>
      <c r="K620" s="2" t="s">
        <v>55</v>
      </c>
      <c r="L620" s="2" t="s">
        <v>313</v>
      </c>
      <c r="M620" s="2" t="s">
        <v>1298</v>
      </c>
      <c r="N620" s="2" t="s">
        <v>105</v>
      </c>
      <c r="O620" s="2" t="s">
        <v>1495</v>
      </c>
      <c r="P620" s="2" t="s">
        <v>1496</v>
      </c>
    </row>
    <row r="621" spans="1:16" ht="15.6" x14ac:dyDescent="0.3">
      <c r="A621" s="4">
        <v>980965</v>
      </c>
      <c r="B621" s="4" t="s">
        <v>1182</v>
      </c>
      <c r="C621" s="4" t="s">
        <v>1452</v>
      </c>
      <c r="D621" s="4" t="str">
        <f t="shared" si="10"/>
        <v>IPL-2016</v>
      </c>
      <c r="E621" s="4">
        <f>YEAR('IPL Info'!$F621)</f>
        <v>2016</v>
      </c>
      <c r="F621" s="5">
        <v>42495</v>
      </c>
      <c r="G621" s="4" t="s">
        <v>1452</v>
      </c>
      <c r="H621" s="4" t="s">
        <v>18</v>
      </c>
      <c r="I621" s="4" t="s">
        <v>19</v>
      </c>
      <c r="J621" s="4" t="s">
        <v>20</v>
      </c>
      <c r="K621" s="4" t="s">
        <v>1452</v>
      </c>
      <c r="L621" s="4" t="s">
        <v>530</v>
      </c>
      <c r="M621" s="4" t="s">
        <v>1310</v>
      </c>
      <c r="N621" s="4" t="s">
        <v>59</v>
      </c>
      <c r="O621" s="4" t="s">
        <v>1497</v>
      </c>
      <c r="P621" s="4" t="s">
        <v>1498</v>
      </c>
    </row>
    <row r="622" spans="1:16" ht="15.6" x14ac:dyDescent="0.3">
      <c r="A622" s="2">
        <v>980963</v>
      </c>
      <c r="B622" s="2" t="s">
        <v>56</v>
      </c>
      <c r="C622" s="2" t="s">
        <v>925</v>
      </c>
      <c r="D622" s="2" t="str">
        <f t="shared" si="10"/>
        <v>IPL-2016</v>
      </c>
      <c r="E622" s="2">
        <f>YEAR('IPL Info'!$F622)</f>
        <v>2016</v>
      </c>
      <c r="F622" s="3">
        <v>42494</v>
      </c>
      <c r="G622" s="2" t="s">
        <v>925</v>
      </c>
      <c r="H622" s="2" t="s">
        <v>18</v>
      </c>
      <c r="I622" s="2" t="s">
        <v>19</v>
      </c>
      <c r="J622" s="2" t="s">
        <v>20</v>
      </c>
      <c r="K622" s="2" t="s">
        <v>56</v>
      </c>
      <c r="L622" s="2" t="s">
        <v>111</v>
      </c>
      <c r="M622" s="2" t="s">
        <v>1064</v>
      </c>
      <c r="N622" s="2" t="s">
        <v>98</v>
      </c>
      <c r="O622" s="2" t="s">
        <v>1499</v>
      </c>
      <c r="P622" s="2" t="s">
        <v>1500</v>
      </c>
    </row>
    <row r="623" spans="1:16" ht="15.6" x14ac:dyDescent="0.3">
      <c r="A623" s="4">
        <v>980961</v>
      </c>
      <c r="B623" s="4" t="s">
        <v>1315</v>
      </c>
      <c r="C623" s="4" t="s">
        <v>1182</v>
      </c>
      <c r="D623" s="4" t="str">
        <f t="shared" si="10"/>
        <v>IPL-2016</v>
      </c>
      <c r="E623" s="4">
        <f>YEAR('IPL Info'!$F623)</f>
        <v>2016</v>
      </c>
      <c r="F623" s="5">
        <v>42493</v>
      </c>
      <c r="G623" s="4" t="s">
        <v>1182</v>
      </c>
      <c r="H623" s="4" t="s">
        <v>18</v>
      </c>
      <c r="I623" s="4" t="s">
        <v>19</v>
      </c>
      <c r="J623" s="4" t="s">
        <v>20</v>
      </c>
      <c r="K623" s="4" t="s">
        <v>1182</v>
      </c>
      <c r="L623" s="4" t="s">
        <v>339</v>
      </c>
      <c r="M623" s="4" t="s">
        <v>1358</v>
      </c>
      <c r="N623" s="4" t="s">
        <v>1359</v>
      </c>
      <c r="O623" s="4" t="s">
        <v>1501</v>
      </c>
      <c r="P623" s="4" t="s">
        <v>1502</v>
      </c>
    </row>
    <row r="624" spans="1:16" ht="15.6" x14ac:dyDescent="0.3">
      <c r="A624" s="2">
        <v>980959</v>
      </c>
      <c r="B624" s="2" t="s">
        <v>445</v>
      </c>
      <c r="C624" s="2" t="s">
        <v>56</v>
      </c>
      <c r="D624" s="2" t="str">
        <f t="shared" si="10"/>
        <v>IPL-2016</v>
      </c>
      <c r="E624" s="2">
        <f>YEAR('IPL Info'!$F624)</f>
        <v>2016</v>
      </c>
      <c r="F624" s="3">
        <v>42492</v>
      </c>
      <c r="G624" s="2" t="s">
        <v>56</v>
      </c>
      <c r="H624" s="2" t="s">
        <v>18</v>
      </c>
      <c r="I624" s="2" t="s">
        <v>19</v>
      </c>
      <c r="J624" s="2" t="s">
        <v>20</v>
      </c>
      <c r="K624" s="2" t="s">
        <v>56</v>
      </c>
      <c r="L624" s="2" t="s">
        <v>111</v>
      </c>
      <c r="M624" s="2" t="s">
        <v>1301</v>
      </c>
      <c r="N624" s="2" t="s">
        <v>1302</v>
      </c>
      <c r="O624" s="2" t="s">
        <v>1503</v>
      </c>
      <c r="P624" s="2" t="s">
        <v>1504</v>
      </c>
    </row>
    <row r="625" spans="1:16" ht="15.6" x14ac:dyDescent="0.3">
      <c r="A625" s="4">
        <v>980955</v>
      </c>
      <c r="B625" s="4" t="s">
        <v>1315</v>
      </c>
      <c r="C625" s="4" t="s">
        <v>925</v>
      </c>
      <c r="D625" s="4" t="str">
        <f t="shared" si="10"/>
        <v>IPL-2016</v>
      </c>
      <c r="E625" s="4">
        <f>YEAR('IPL Info'!$F625)</f>
        <v>2016</v>
      </c>
      <c r="F625" s="5">
        <v>42491</v>
      </c>
      <c r="G625" s="4" t="s">
        <v>1315</v>
      </c>
      <c r="H625" s="4" t="s">
        <v>18</v>
      </c>
      <c r="I625" s="4" t="s">
        <v>19</v>
      </c>
      <c r="J625" s="4" t="s">
        <v>20</v>
      </c>
      <c r="K625" s="4" t="s">
        <v>925</v>
      </c>
      <c r="L625" s="4" t="s">
        <v>527</v>
      </c>
      <c r="M625" s="4" t="s">
        <v>1358</v>
      </c>
      <c r="N625" s="4" t="s">
        <v>1359</v>
      </c>
      <c r="O625" s="4" t="s">
        <v>1505</v>
      </c>
      <c r="P625" s="4" t="s">
        <v>1506</v>
      </c>
    </row>
    <row r="626" spans="1:16" ht="15.6" x14ac:dyDescent="0.3">
      <c r="A626" s="2">
        <v>980957</v>
      </c>
      <c r="B626" s="2" t="s">
        <v>1452</v>
      </c>
      <c r="C626" s="2" t="s">
        <v>26</v>
      </c>
      <c r="D626" s="2" t="str">
        <f t="shared" si="10"/>
        <v>IPL-2016</v>
      </c>
      <c r="E626" s="2">
        <f>YEAR('IPL Info'!$F626)</f>
        <v>2016</v>
      </c>
      <c r="F626" s="3">
        <v>42491</v>
      </c>
      <c r="G626" s="2" t="s">
        <v>26</v>
      </c>
      <c r="H626" s="2" t="s">
        <v>18</v>
      </c>
      <c r="I626" s="2" t="s">
        <v>19</v>
      </c>
      <c r="J626" s="2" t="s">
        <v>20</v>
      </c>
      <c r="K626" s="2" t="s">
        <v>26</v>
      </c>
      <c r="L626" s="2" t="s">
        <v>32</v>
      </c>
      <c r="M626" s="2" t="s">
        <v>1179</v>
      </c>
      <c r="N626" s="2" t="s">
        <v>635</v>
      </c>
      <c r="O626" s="2" t="s">
        <v>1507</v>
      </c>
      <c r="P626" s="2" t="s">
        <v>1508</v>
      </c>
    </row>
    <row r="627" spans="1:16" ht="15.6" x14ac:dyDescent="0.3">
      <c r="A627" s="4">
        <v>980953</v>
      </c>
      <c r="B627" s="4" t="s">
        <v>55</v>
      </c>
      <c r="C627" s="4" t="s">
        <v>445</v>
      </c>
      <c r="D627" s="4" t="str">
        <f t="shared" si="10"/>
        <v>IPL-2016</v>
      </c>
      <c r="E627" s="4">
        <f>YEAR('IPL Info'!$F627)</f>
        <v>2016</v>
      </c>
      <c r="F627" s="5">
        <v>42490</v>
      </c>
      <c r="G627" s="4" t="s">
        <v>445</v>
      </c>
      <c r="H627" s="4" t="s">
        <v>18</v>
      </c>
      <c r="I627" s="4" t="s">
        <v>19</v>
      </c>
      <c r="J627" s="4" t="s">
        <v>20</v>
      </c>
      <c r="K627" s="4" t="s">
        <v>55</v>
      </c>
      <c r="L627" s="4" t="s">
        <v>658</v>
      </c>
      <c r="M627" s="4" t="s">
        <v>1298</v>
      </c>
      <c r="N627" s="4" t="s">
        <v>105</v>
      </c>
      <c r="O627" s="4" t="s">
        <v>1509</v>
      </c>
      <c r="P627" s="4" t="s">
        <v>1510</v>
      </c>
    </row>
    <row r="628" spans="1:16" ht="15.6" x14ac:dyDescent="0.3">
      <c r="A628" s="2">
        <v>980951</v>
      </c>
      <c r="B628" s="2" t="s">
        <v>1182</v>
      </c>
      <c r="C628" s="2" t="s">
        <v>56</v>
      </c>
      <c r="D628" s="2" t="str">
        <f t="shared" si="10"/>
        <v>IPL-2016</v>
      </c>
      <c r="E628" s="2">
        <f>YEAR('IPL Info'!$F628)</f>
        <v>2016</v>
      </c>
      <c r="F628" s="3">
        <v>42490</v>
      </c>
      <c r="G628" s="2" t="s">
        <v>56</v>
      </c>
      <c r="H628" s="2" t="s">
        <v>18</v>
      </c>
      <c r="I628" s="2" t="s">
        <v>19</v>
      </c>
      <c r="J628" s="2" t="s">
        <v>20</v>
      </c>
      <c r="K628" s="2" t="s">
        <v>1182</v>
      </c>
      <c r="L628" s="2" t="s">
        <v>1511</v>
      </c>
      <c r="M628" s="2" t="s">
        <v>1310</v>
      </c>
      <c r="N628" s="2" t="s">
        <v>59</v>
      </c>
      <c r="O628" s="2" t="s">
        <v>1512</v>
      </c>
      <c r="P628" s="2" t="s">
        <v>1513</v>
      </c>
    </row>
    <row r="629" spans="1:16" ht="15.6" x14ac:dyDescent="0.3">
      <c r="A629" s="4">
        <v>980949</v>
      </c>
      <c r="B629" s="4" t="s">
        <v>1452</v>
      </c>
      <c r="C629" s="4" t="s">
        <v>1315</v>
      </c>
      <c r="D629" s="4" t="str">
        <f t="shared" si="10"/>
        <v>IPL-2016</v>
      </c>
      <c r="E629" s="4">
        <f>YEAR('IPL Info'!$F629)</f>
        <v>2016</v>
      </c>
      <c r="F629" s="5">
        <v>42489</v>
      </c>
      <c r="G629" s="4" t="s">
        <v>1315</v>
      </c>
      <c r="H629" s="4" t="s">
        <v>18</v>
      </c>
      <c r="I629" s="4" t="s">
        <v>19</v>
      </c>
      <c r="J629" s="4" t="s">
        <v>20</v>
      </c>
      <c r="K629" s="4" t="s">
        <v>1315</v>
      </c>
      <c r="L629" s="4" t="s">
        <v>1333</v>
      </c>
      <c r="M629" s="4" t="s">
        <v>1179</v>
      </c>
      <c r="N629" s="4" t="s">
        <v>635</v>
      </c>
      <c r="O629" s="4" t="s">
        <v>1514</v>
      </c>
      <c r="P629" s="4" t="s">
        <v>1515</v>
      </c>
    </row>
    <row r="630" spans="1:16" ht="15.6" x14ac:dyDescent="0.3">
      <c r="A630" s="2">
        <v>980947</v>
      </c>
      <c r="B630" s="2" t="s">
        <v>26</v>
      </c>
      <c r="C630" s="2" t="s">
        <v>56</v>
      </c>
      <c r="D630" s="2" t="str">
        <f t="shared" si="10"/>
        <v>IPL-2016</v>
      </c>
      <c r="E630" s="2">
        <f>YEAR('IPL Info'!$F630)</f>
        <v>2016</v>
      </c>
      <c r="F630" s="3">
        <v>42488</v>
      </c>
      <c r="G630" s="2" t="s">
        <v>26</v>
      </c>
      <c r="H630" s="2" t="s">
        <v>18</v>
      </c>
      <c r="I630" s="2" t="s">
        <v>19</v>
      </c>
      <c r="J630" s="2" t="s">
        <v>20</v>
      </c>
      <c r="K630" s="2" t="s">
        <v>26</v>
      </c>
      <c r="L630" s="2" t="s">
        <v>32</v>
      </c>
      <c r="M630" s="2" t="s">
        <v>1045</v>
      </c>
      <c r="N630" s="2" t="s">
        <v>74</v>
      </c>
      <c r="O630" s="2" t="s">
        <v>1516</v>
      </c>
      <c r="P630" s="2" t="s">
        <v>1517</v>
      </c>
    </row>
    <row r="631" spans="1:16" ht="15.6" x14ac:dyDescent="0.3">
      <c r="A631" s="4">
        <v>980945</v>
      </c>
      <c r="B631" s="4" t="s">
        <v>1182</v>
      </c>
      <c r="C631" s="4" t="s">
        <v>1315</v>
      </c>
      <c r="D631" s="4" t="str">
        <f t="shared" si="10"/>
        <v>IPL-2016</v>
      </c>
      <c r="E631" s="4">
        <f>YEAR('IPL Info'!$F631)</f>
        <v>2016</v>
      </c>
      <c r="F631" s="5">
        <v>42487</v>
      </c>
      <c r="G631" s="4" t="s">
        <v>1182</v>
      </c>
      <c r="H631" s="4" t="s">
        <v>18</v>
      </c>
      <c r="I631" s="4" t="s">
        <v>19</v>
      </c>
      <c r="J631" s="4" t="s">
        <v>20</v>
      </c>
      <c r="K631" s="4" t="s">
        <v>1315</v>
      </c>
      <c r="L631" s="4" t="s">
        <v>871</v>
      </c>
      <c r="M631" s="4" t="s">
        <v>1310</v>
      </c>
      <c r="N631" s="4" t="s">
        <v>59</v>
      </c>
      <c r="O631" s="4" t="s">
        <v>1518</v>
      </c>
      <c r="P631" s="4" t="s">
        <v>1519</v>
      </c>
    </row>
    <row r="632" spans="1:16" ht="15.6" x14ac:dyDescent="0.3">
      <c r="A632" s="2">
        <v>980943</v>
      </c>
      <c r="B632" s="2" t="s">
        <v>55</v>
      </c>
      <c r="C632" s="2" t="s">
        <v>1452</v>
      </c>
      <c r="D632" s="2" t="str">
        <f t="shared" si="10"/>
        <v>IPL-2016</v>
      </c>
      <c r="E632" s="2">
        <f>YEAR('IPL Info'!$F632)</f>
        <v>2016</v>
      </c>
      <c r="F632" s="3">
        <v>42486</v>
      </c>
      <c r="G632" s="2" t="s">
        <v>1452</v>
      </c>
      <c r="H632" s="2" t="s">
        <v>18</v>
      </c>
      <c r="I632" s="2" t="s">
        <v>19</v>
      </c>
      <c r="J632" s="2" t="s">
        <v>20</v>
      </c>
      <c r="K632" s="2" t="s">
        <v>1452</v>
      </c>
      <c r="L632" s="2" t="s">
        <v>1463</v>
      </c>
      <c r="M632" s="2" t="s">
        <v>1298</v>
      </c>
      <c r="N632" s="2" t="s">
        <v>105</v>
      </c>
      <c r="O632" s="2" t="s">
        <v>1520</v>
      </c>
      <c r="P632" s="2" t="s">
        <v>1521</v>
      </c>
    </row>
    <row r="633" spans="1:16" ht="15.6" x14ac:dyDescent="0.3">
      <c r="A633" s="4">
        <v>980941</v>
      </c>
      <c r="B633" s="4" t="s">
        <v>925</v>
      </c>
      <c r="C633" s="4" t="s">
        <v>26</v>
      </c>
      <c r="D633" s="4" t="str">
        <f t="shared" si="10"/>
        <v>IPL-2016</v>
      </c>
      <c r="E633" s="4">
        <f>YEAR('IPL Info'!$F633)</f>
        <v>2016</v>
      </c>
      <c r="F633" s="5">
        <v>42485</v>
      </c>
      <c r="G633" s="4" t="s">
        <v>925</v>
      </c>
      <c r="H633" s="4" t="s">
        <v>18</v>
      </c>
      <c r="I633" s="4" t="s">
        <v>19</v>
      </c>
      <c r="J633" s="4" t="s">
        <v>20</v>
      </c>
      <c r="K633" s="4" t="s">
        <v>26</v>
      </c>
      <c r="L633" s="4" t="s">
        <v>1083</v>
      </c>
      <c r="M633" s="4" t="s">
        <v>1328</v>
      </c>
      <c r="N633" s="4" t="s">
        <v>502</v>
      </c>
      <c r="O633" s="4" t="s">
        <v>1522</v>
      </c>
      <c r="P633" s="4" t="s">
        <v>1523</v>
      </c>
    </row>
    <row r="634" spans="1:16" ht="15.6" x14ac:dyDescent="0.3">
      <c r="A634" s="2">
        <v>980937</v>
      </c>
      <c r="B634" s="2" t="s">
        <v>1315</v>
      </c>
      <c r="C634" s="2" t="s">
        <v>445</v>
      </c>
      <c r="D634" s="2" t="str">
        <f t="shared" si="10"/>
        <v>IPL-2016</v>
      </c>
      <c r="E634" s="2">
        <f>YEAR('IPL Info'!$F634)</f>
        <v>2016</v>
      </c>
      <c r="F634" s="3">
        <v>42484</v>
      </c>
      <c r="G634" s="2" t="s">
        <v>445</v>
      </c>
      <c r="H634" s="2" t="s">
        <v>31</v>
      </c>
      <c r="I634" s="2" t="s">
        <v>19</v>
      </c>
      <c r="J634" s="2" t="s">
        <v>20</v>
      </c>
      <c r="K634" s="2" t="s">
        <v>1315</v>
      </c>
      <c r="L634" s="2" t="s">
        <v>158</v>
      </c>
      <c r="M634" s="2" t="s">
        <v>1358</v>
      </c>
      <c r="N634" s="2" t="s">
        <v>1359</v>
      </c>
      <c r="O634" s="2" t="s">
        <v>1524</v>
      </c>
      <c r="P634" s="2" t="s">
        <v>1525</v>
      </c>
    </row>
    <row r="635" spans="1:16" ht="15.6" x14ac:dyDescent="0.3">
      <c r="A635" s="4">
        <v>980939</v>
      </c>
      <c r="B635" s="4" t="s">
        <v>1452</v>
      </c>
      <c r="C635" s="4" t="s">
        <v>56</v>
      </c>
      <c r="D635" s="4" t="str">
        <f t="shared" si="10"/>
        <v>IPL-2016</v>
      </c>
      <c r="E635" s="4">
        <f>YEAR('IPL Info'!$F635)</f>
        <v>2016</v>
      </c>
      <c r="F635" s="5">
        <v>42484</v>
      </c>
      <c r="G635" s="4" t="s">
        <v>56</v>
      </c>
      <c r="H635" s="4" t="s">
        <v>18</v>
      </c>
      <c r="I635" s="4" t="s">
        <v>19</v>
      </c>
      <c r="J635" s="4" t="s">
        <v>20</v>
      </c>
      <c r="K635" s="4" t="s">
        <v>56</v>
      </c>
      <c r="L635" s="4" t="s">
        <v>72</v>
      </c>
      <c r="M635" s="4" t="s">
        <v>1179</v>
      </c>
      <c r="N635" s="4" t="s">
        <v>635</v>
      </c>
      <c r="O635" s="4" t="s">
        <v>1526</v>
      </c>
      <c r="P635" s="4" t="s">
        <v>1527</v>
      </c>
    </row>
    <row r="636" spans="1:16" ht="15.6" x14ac:dyDescent="0.3">
      <c r="A636" s="2">
        <v>980935</v>
      </c>
      <c r="B636" s="2" t="s">
        <v>55</v>
      </c>
      <c r="C636" s="2" t="s">
        <v>925</v>
      </c>
      <c r="D636" s="2" t="str">
        <f t="shared" si="10"/>
        <v>IPL-2016</v>
      </c>
      <c r="E636" s="2">
        <f>YEAR('IPL Info'!$F636)</f>
        <v>2016</v>
      </c>
      <c r="F636" s="3">
        <v>42483</v>
      </c>
      <c r="G636" s="2" t="s">
        <v>55</v>
      </c>
      <c r="H636" s="2" t="s">
        <v>18</v>
      </c>
      <c r="I636" s="2" t="s">
        <v>19</v>
      </c>
      <c r="J636" s="2" t="s">
        <v>20</v>
      </c>
      <c r="K636" s="2" t="s">
        <v>55</v>
      </c>
      <c r="L636" s="2" t="s">
        <v>431</v>
      </c>
      <c r="M636" s="2" t="s">
        <v>1298</v>
      </c>
      <c r="N636" s="2" t="s">
        <v>105</v>
      </c>
      <c r="O636" s="2" t="s">
        <v>1528</v>
      </c>
      <c r="P636" s="2" t="s">
        <v>1529</v>
      </c>
    </row>
    <row r="637" spans="1:16" ht="15.6" x14ac:dyDescent="0.3">
      <c r="A637" s="4">
        <v>980933</v>
      </c>
      <c r="B637" s="4" t="s">
        <v>1182</v>
      </c>
      <c r="C637" s="4" t="s">
        <v>26</v>
      </c>
      <c r="D637" s="4" t="str">
        <f t="shared" si="10"/>
        <v>IPL-2016</v>
      </c>
      <c r="E637" s="4">
        <f>YEAR('IPL Info'!$F637)</f>
        <v>2016</v>
      </c>
      <c r="F637" s="5">
        <v>42483</v>
      </c>
      <c r="G637" s="4" t="s">
        <v>26</v>
      </c>
      <c r="H637" s="4" t="s">
        <v>18</v>
      </c>
      <c r="I637" s="4" t="s">
        <v>19</v>
      </c>
      <c r="J637" s="4" t="s">
        <v>20</v>
      </c>
      <c r="K637" s="4" t="s">
        <v>1182</v>
      </c>
      <c r="L637" s="4" t="s">
        <v>331</v>
      </c>
      <c r="M637" s="4" t="s">
        <v>1310</v>
      </c>
      <c r="N637" s="4" t="s">
        <v>59</v>
      </c>
      <c r="O637" s="4" t="s">
        <v>1530</v>
      </c>
      <c r="P637" s="4" t="s">
        <v>1487</v>
      </c>
    </row>
    <row r="638" spans="1:16" ht="15.6" x14ac:dyDescent="0.3">
      <c r="A638" s="2">
        <v>980931</v>
      </c>
      <c r="B638" s="2" t="s">
        <v>1452</v>
      </c>
      <c r="C638" s="2" t="s">
        <v>445</v>
      </c>
      <c r="D638" s="2" t="str">
        <f t="shared" si="10"/>
        <v>IPL-2016</v>
      </c>
      <c r="E638" s="2">
        <f>YEAR('IPL Info'!$F638)</f>
        <v>2016</v>
      </c>
      <c r="F638" s="3">
        <v>42482</v>
      </c>
      <c r="G638" s="2" t="s">
        <v>1452</v>
      </c>
      <c r="H638" s="2" t="s">
        <v>18</v>
      </c>
      <c r="I638" s="2" t="s">
        <v>19</v>
      </c>
      <c r="J638" s="2" t="s">
        <v>20</v>
      </c>
      <c r="K638" s="2" t="s">
        <v>445</v>
      </c>
      <c r="L638" s="2" t="s">
        <v>861</v>
      </c>
      <c r="M638" s="2" t="s">
        <v>1179</v>
      </c>
      <c r="N638" s="2" t="s">
        <v>635</v>
      </c>
      <c r="O638" s="2" t="s">
        <v>1531</v>
      </c>
      <c r="P638" s="2" t="s">
        <v>1532</v>
      </c>
    </row>
    <row r="639" spans="1:16" ht="15.6" x14ac:dyDescent="0.3">
      <c r="A639" s="4">
        <v>980929</v>
      </c>
      <c r="B639" s="4" t="s">
        <v>1315</v>
      </c>
      <c r="C639" s="4" t="s">
        <v>55</v>
      </c>
      <c r="D639" s="4" t="str">
        <f t="shared" si="10"/>
        <v>IPL-2016</v>
      </c>
      <c r="E639" s="4">
        <f>YEAR('IPL Info'!$F639)</f>
        <v>2016</v>
      </c>
      <c r="F639" s="5">
        <v>42481</v>
      </c>
      <c r="G639" s="4" t="s">
        <v>55</v>
      </c>
      <c r="H639" s="4" t="s">
        <v>18</v>
      </c>
      <c r="I639" s="4" t="s">
        <v>19</v>
      </c>
      <c r="J639" s="4" t="s">
        <v>20</v>
      </c>
      <c r="K639" s="4" t="s">
        <v>55</v>
      </c>
      <c r="L639" s="4" t="s">
        <v>313</v>
      </c>
      <c r="M639" s="4" t="s">
        <v>1358</v>
      </c>
      <c r="N639" s="4" t="s">
        <v>1359</v>
      </c>
      <c r="O639" s="4" t="s">
        <v>1533</v>
      </c>
      <c r="P639" s="4" t="s">
        <v>1534</v>
      </c>
    </row>
    <row r="640" spans="1:16" ht="15.6" x14ac:dyDescent="0.3">
      <c r="A640" s="2">
        <v>980927</v>
      </c>
      <c r="B640" s="2" t="s">
        <v>26</v>
      </c>
      <c r="C640" s="2" t="s">
        <v>445</v>
      </c>
      <c r="D640" s="2" t="str">
        <f t="shared" si="10"/>
        <v>IPL-2016</v>
      </c>
      <c r="E640" s="2">
        <f>YEAR('IPL Info'!$F640)</f>
        <v>2016</v>
      </c>
      <c r="F640" s="3">
        <v>42480</v>
      </c>
      <c r="G640" s="2" t="s">
        <v>26</v>
      </c>
      <c r="H640" s="2" t="s">
        <v>18</v>
      </c>
      <c r="I640" s="2" t="s">
        <v>19</v>
      </c>
      <c r="J640" s="2" t="s">
        <v>20</v>
      </c>
      <c r="K640" s="2" t="s">
        <v>26</v>
      </c>
      <c r="L640" s="2" t="s">
        <v>32</v>
      </c>
      <c r="M640" s="2" t="s">
        <v>1045</v>
      </c>
      <c r="N640" s="2" t="s">
        <v>74</v>
      </c>
      <c r="O640" s="2" t="s">
        <v>1535</v>
      </c>
      <c r="P640" s="2" t="s">
        <v>1536</v>
      </c>
    </row>
    <row r="641" spans="1:16" ht="15.6" x14ac:dyDescent="0.3">
      <c r="A641" s="4">
        <v>980925</v>
      </c>
      <c r="B641" s="4" t="s">
        <v>925</v>
      </c>
      <c r="C641" s="4" t="s">
        <v>56</v>
      </c>
      <c r="D641" s="4" t="str">
        <f t="shared" si="10"/>
        <v>IPL-2016</v>
      </c>
      <c r="E641" s="4">
        <f>YEAR('IPL Info'!$F641)</f>
        <v>2016</v>
      </c>
      <c r="F641" s="5">
        <v>42479</v>
      </c>
      <c r="G641" s="4" t="s">
        <v>56</v>
      </c>
      <c r="H641" s="4" t="s">
        <v>18</v>
      </c>
      <c r="I641" s="4" t="s">
        <v>19</v>
      </c>
      <c r="J641" s="4" t="s">
        <v>20</v>
      </c>
      <c r="K641" s="4" t="s">
        <v>56</v>
      </c>
      <c r="L641" s="4" t="s">
        <v>1372</v>
      </c>
      <c r="M641" s="4" t="s">
        <v>1328</v>
      </c>
      <c r="N641" s="4" t="s">
        <v>502</v>
      </c>
      <c r="O641" s="4" t="s">
        <v>1537</v>
      </c>
      <c r="P641" s="4" t="s">
        <v>1538</v>
      </c>
    </row>
    <row r="642" spans="1:16" ht="15.6" x14ac:dyDescent="0.3">
      <c r="A642" s="2">
        <v>980923</v>
      </c>
      <c r="B642" s="2" t="s">
        <v>55</v>
      </c>
      <c r="C642" s="2" t="s">
        <v>26</v>
      </c>
      <c r="D642" s="2" t="str">
        <f t="shared" si="10"/>
        <v>IPL-2016</v>
      </c>
      <c r="E642" s="2">
        <f>YEAR('IPL Info'!$F642)</f>
        <v>2016</v>
      </c>
      <c r="F642" s="3">
        <v>42478</v>
      </c>
      <c r="G642" s="2" t="s">
        <v>55</v>
      </c>
      <c r="H642" s="2" t="s">
        <v>18</v>
      </c>
      <c r="I642" s="2" t="s">
        <v>19</v>
      </c>
      <c r="J642" s="2" t="s">
        <v>20</v>
      </c>
      <c r="K642" s="2" t="s">
        <v>55</v>
      </c>
      <c r="L642" s="2" t="s">
        <v>658</v>
      </c>
      <c r="M642" s="2" t="s">
        <v>1298</v>
      </c>
      <c r="N642" s="2" t="s">
        <v>105</v>
      </c>
      <c r="O642" s="2" t="s">
        <v>1539</v>
      </c>
      <c r="P642" s="2" t="s">
        <v>1540</v>
      </c>
    </row>
    <row r="643" spans="1:16" ht="15.6" x14ac:dyDescent="0.3">
      <c r="A643" s="4">
        <v>980921</v>
      </c>
      <c r="B643" s="4" t="s">
        <v>445</v>
      </c>
      <c r="C643" s="4" t="s">
        <v>1182</v>
      </c>
      <c r="D643" s="4" t="str">
        <f t="shared" si="10"/>
        <v>IPL-2016</v>
      </c>
      <c r="E643" s="4">
        <f>YEAR('IPL Info'!$F643)</f>
        <v>2016</v>
      </c>
      <c r="F643" s="5">
        <v>42477</v>
      </c>
      <c r="G643" s="4" t="s">
        <v>1182</v>
      </c>
      <c r="H643" s="4" t="s">
        <v>18</v>
      </c>
      <c r="I643" s="4" t="s">
        <v>19</v>
      </c>
      <c r="J643" s="4" t="s">
        <v>20</v>
      </c>
      <c r="K643" s="4" t="s">
        <v>1182</v>
      </c>
      <c r="L643" s="4" t="s">
        <v>246</v>
      </c>
      <c r="M643" s="4" t="s">
        <v>1301</v>
      </c>
      <c r="N643" s="4" t="s">
        <v>1302</v>
      </c>
      <c r="O643" s="4" t="s">
        <v>1541</v>
      </c>
      <c r="P643" s="4" t="s">
        <v>1542</v>
      </c>
    </row>
    <row r="644" spans="1:16" ht="15.6" x14ac:dyDescent="0.3">
      <c r="A644" s="2">
        <v>980919</v>
      </c>
      <c r="B644" s="2" t="s">
        <v>925</v>
      </c>
      <c r="C644" s="2" t="s">
        <v>1452</v>
      </c>
      <c r="D644" s="2" t="str">
        <f t="shared" si="10"/>
        <v>IPL-2016</v>
      </c>
      <c r="E644" s="2">
        <f>YEAR('IPL Info'!$F644)</f>
        <v>2016</v>
      </c>
      <c r="F644" s="3">
        <v>42477</v>
      </c>
      <c r="G644" s="2" t="s">
        <v>1452</v>
      </c>
      <c r="H644" s="2" t="s">
        <v>31</v>
      </c>
      <c r="I644" s="2" t="s">
        <v>19</v>
      </c>
      <c r="J644" s="2" t="s">
        <v>20</v>
      </c>
      <c r="K644" s="2" t="s">
        <v>925</v>
      </c>
      <c r="L644" s="2" t="s">
        <v>1543</v>
      </c>
      <c r="M644" s="2" t="s">
        <v>1328</v>
      </c>
      <c r="N644" s="2" t="s">
        <v>502</v>
      </c>
      <c r="O644" s="2" t="s">
        <v>1544</v>
      </c>
      <c r="P644" s="2" t="s">
        <v>1545</v>
      </c>
    </row>
    <row r="645" spans="1:16" ht="15.6" x14ac:dyDescent="0.3">
      <c r="A645" s="4">
        <v>980917</v>
      </c>
      <c r="B645" s="4" t="s">
        <v>26</v>
      </c>
      <c r="C645" s="4" t="s">
        <v>1315</v>
      </c>
      <c r="D645" s="4" t="str">
        <f t="shared" si="10"/>
        <v>IPL-2016</v>
      </c>
      <c r="E645" s="4">
        <f>YEAR('IPL Info'!$F645)</f>
        <v>2016</v>
      </c>
      <c r="F645" s="5">
        <v>42476</v>
      </c>
      <c r="G645" s="4" t="s">
        <v>1315</v>
      </c>
      <c r="H645" s="4" t="s">
        <v>18</v>
      </c>
      <c r="I645" s="4" t="s">
        <v>19</v>
      </c>
      <c r="J645" s="4" t="s">
        <v>20</v>
      </c>
      <c r="K645" s="4" t="s">
        <v>1315</v>
      </c>
      <c r="L645" s="4" t="s">
        <v>1546</v>
      </c>
      <c r="M645" s="4" t="s">
        <v>1045</v>
      </c>
      <c r="N645" s="4" t="s">
        <v>74</v>
      </c>
      <c r="O645" s="4" t="s">
        <v>1547</v>
      </c>
      <c r="P645" s="4" t="s">
        <v>1548</v>
      </c>
    </row>
    <row r="646" spans="1:16" ht="15.6" x14ac:dyDescent="0.3">
      <c r="A646" s="2">
        <v>980915</v>
      </c>
      <c r="B646" s="2" t="s">
        <v>55</v>
      </c>
      <c r="C646" s="2" t="s">
        <v>56</v>
      </c>
      <c r="D646" s="2" t="str">
        <f t="shared" si="10"/>
        <v>IPL-2016</v>
      </c>
      <c r="E646" s="2">
        <f>YEAR('IPL Info'!$F646)</f>
        <v>2016</v>
      </c>
      <c r="F646" s="3">
        <v>42476</v>
      </c>
      <c r="G646" s="2" t="s">
        <v>55</v>
      </c>
      <c r="H646" s="2" t="s">
        <v>31</v>
      </c>
      <c r="I646" s="2" t="s">
        <v>19</v>
      </c>
      <c r="J646" s="2" t="s">
        <v>20</v>
      </c>
      <c r="K646" s="2" t="s">
        <v>56</v>
      </c>
      <c r="L646" s="2" t="s">
        <v>1364</v>
      </c>
      <c r="M646" s="2" t="s">
        <v>1298</v>
      </c>
      <c r="N646" s="2" t="s">
        <v>105</v>
      </c>
      <c r="O646" s="2" t="s">
        <v>1549</v>
      </c>
      <c r="P646" s="2" t="s">
        <v>1550</v>
      </c>
    </row>
    <row r="647" spans="1:16" ht="15.6" x14ac:dyDescent="0.3">
      <c r="A647" s="4">
        <v>980913</v>
      </c>
      <c r="B647" s="4" t="s">
        <v>1182</v>
      </c>
      <c r="C647" s="4" t="s">
        <v>925</v>
      </c>
      <c r="D647" s="4" t="str">
        <f t="shared" si="10"/>
        <v>IPL-2016</v>
      </c>
      <c r="E647" s="4">
        <f>YEAR('IPL Info'!$F647)</f>
        <v>2016</v>
      </c>
      <c r="F647" s="5">
        <v>42475</v>
      </c>
      <c r="G647" s="4" t="s">
        <v>1182</v>
      </c>
      <c r="H647" s="4" t="s">
        <v>18</v>
      </c>
      <c r="I647" s="4" t="s">
        <v>19</v>
      </c>
      <c r="J647" s="4" t="s">
        <v>20</v>
      </c>
      <c r="K647" s="4" t="s">
        <v>1182</v>
      </c>
      <c r="L647" s="4" t="s">
        <v>882</v>
      </c>
      <c r="M647" s="4" t="s">
        <v>1310</v>
      </c>
      <c r="N647" s="4" t="s">
        <v>59</v>
      </c>
      <c r="O647" s="4" t="s">
        <v>1551</v>
      </c>
      <c r="P647" s="4" t="s">
        <v>1552</v>
      </c>
    </row>
    <row r="648" spans="1:16" ht="15.6" x14ac:dyDescent="0.3">
      <c r="A648" s="2">
        <v>980911</v>
      </c>
      <c r="B648" s="2" t="s">
        <v>1315</v>
      </c>
      <c r="C648" s="2" t="s">
        <v>1452</v>
      </c>
      <c r="D648" s="2" t="str">
        <f t="shared" si="10"/>
        <v>IPL-2016</v>
      </c>
      <c r="E648" s="2">
        <f>YEAR('IPL Info'!$F648)</f>
        <v>2016</v>
      </c>
      <c r="F648" s="3">
        <v>42474</v>
      </c>
      <c r="G648" s="2" t="s">
        <v>1452</v>
      </c>
      <c r="H648" s="2" t="s">
        <v>31</v>
      </c>
      <c r="I648" s="2" t="s">
        <v>19</v>
      </c>
      <c r="J648" s="2" t="s">
        <v>20</v>
      </c>
      <c r="K648" s="2" t="s">
        <v>1315</v>
      </c>
      <c r="L648" s="2" t="s">
        <v>1546</v>
      </c>
      <c r="M648" s="2" t="s">
        <v>1358</v>
      </c>
      <c r="N648" s="2" t="s">
        <v>1359</v>
      </c>
      <c r="O648" s="2" t="s">
        <v>1553</v>
      </c>
      <c r="P648" s="2" t="s">
        <v>1554</v>
      </c>
    </row>
    <row r="649" spans="1:16" ht="15.6" x14ac:dyDescent="0.3">
      <c r="A649" s="4">
        <v>980909</v>
      </c>
      <c r="B649" s="4" t="s">
        <v>56</v>
      </c>
      <c r="C649" s="4" t="s">
        <v>26</v>
      </c>
      <c r="D649" s="4" t="str">
        <f t="shared" si="10"/>
        <v>IPL-2016</v>
      </c>
      <c r="E649" s="4">
        <f>YEAR('IPL Info'!$F649)</f>
        <v>2016</v>
      </c>
      <c r="F649" s="5">
        <v>42473</v>
      </c>
      <c r="G649" s="4" t="s">
        <v>26</v>
      </c>
      <c r="H649" s="4" t="s">
        <v>18</v>
      </c>
      <c r="I649" s="4" t="s">
        <v>19</v>
      </c>
      <c r="J649" s="4" t="s">
        <v>20</v>
      </c>
      <c r="K649" s="4" t="s">
        <v>26</v>
      </c>
      <c r="L649" s="4" t="s">
        <v>32</v>
      </c>
      <c r="M649" s="4" t="s">
        <v>1064</v>
      </c>
      <c r="N649" s="4" t="s">
        <v>98</v>
      </c>
      <c r="O649" s="4" t="s">
        <v>1555</v>
      </c>
      <c r="P649" s="4" t="s">
        <v>1556</v>
      </c>
    </row>
    <row r="650" spans="1:16" ht="15.6" x14ac:dyDescent="0.3">
      <c r="A650" s="2">
        <v>980907</v>
      </c>
      <c r="B650" s="2" t="s">
        <v>445</v>
      </c>
      <c r="C650" s="2" t="s">
        <v>55</v>
      </c>
      <c r="D650" s="2" t="str">
        <f t="shared" si="10"/>
        <v>IPL-2016</v>
      </c>
      <c r="E650" s="2">
        <f>YEAR('IPL Info'!$F650)</f>
        <v>2016</v>
      </c>
      <c r="F650" s="3">
        <v>42472</v>
      </c>
      <c r="G650" s="2" t="s">
        <v>55</v>
      </c>
      <c r="H650" s="2" t="s">
        <v>18</v>
      </c>
      <c r="I650" s="2" t="s">
        <v>19</v>
      </c>
      <c r="J650" s="2" t="s">
        <v>20</v>
      </c>
      <c r="K650" s="2" t="s">
        <v>445</v>
      </c>
      <c r="L650" s="2" t="s">
        <v>861</v>
      </c>
      <c r="M650" s="2" t="s">
        <v>1301</v>
      </c>
      <c r="N650" s="2" t="s">
        <v>1302</v>
      </c>
      <c r="O650" s="2" t="s">
        <v>1557</v>
      </c>
      <c r="P650" s="2" t="s">
        <v>1558</v>
      </c>
    </row>
    <row r="651" spans="1:16" ht="15.6" x14ac:dyDescent="0.3">
      <c r="A651" s="4">
        <v>980905</v>
      </c>
      <c r="B651" s="4" t="s">
        <v>925</v>
      </c>
      <c r="C651" s="4" t="s">
        <v>1315</v>
      </c>
      <c r="D651" s="4" t="str">
        <f t="shared" si="10"/>
        <v>IPL-2016</v>
      </c>
      <c r="E651" s="4">
        <f>YEAR('IPL Info'!$F651)</f>
        <v>2016</v>
      </c>
      <c r="F651" s="5">
        <v>42471</v>
      </c>
      <c r="G651" s="4" t="s">
        <v>1315</v>
      </c>
      <c r="H651" s="4" t="s">
        <v>18</v>
      </c>
      <c r="I651" s="4" t="s">
        <v>19</v>
      </c>
      <c r="J651" s="4" t="s">
        <v>20</v>
      </c>
      <c r="K651" s="4" t="s">
        <v>1315</v>
      </c>
      <c r="L651" s="4" t="s">
        <v>1546</v>
      </c>
      <c r="M651" s="4" t="s">
        <v>1328</v>
      </c>
      <c r="N651" s="4" t="s">
        <v>502</v>
      </c>
      <c r="O651" s="4" t="s">
        <v>1559</v>
      </c>
      <c r="P651" s="4" t="s">
        <v>1560</v>
      </c>
    </row>
    <row r="652" spans="1:16" ht="15.6" x14ac:dyDescent="0.3">
      <c r="A652" s="2">
        <v>980903</v>
      </c>
      <c r="B652" s="2" t="s">
        <v>56</v>
      </c>
      <c r="C652" s="2" t="s">
        <v>1182</v>
      </c>
      <c r="D652" s="2" t="str">
        <f t="shared" si="10"/>
        <v>IPL-2016</v>
      </c>
      <c r="E652" s="2">
        <f>YEAR('IPL Info'!$F652)</f>
        <v>2016</v>
      </c>
      <c r="F652" s="3">
        <v>42470</v>
      </c>
      <c r="G652" s="2" t="s">
        <v>56</v>
      </c>
      <c r="H652" s="2" t="s">
        <v>18</v>
      </c>
      <c r="I652" s="2" t="s">
        <v>19</v>
      </c>
      <c r="J652" s="2" t="s">
        <v>20</v>
      </c>
      <c r="K652" s="2" t="s">
        <v>56</v>
      </c>
      <c r="L652" s="2" t="s">
        <v>111</v>
      </c>
      <c r="M652" s="2" t="s">
        <v>1064</v>
      </c>
      <c r="N652" s="2" t="s">
        <v>98</v>
      </c>
      <c r="O652" s="2" t="s">
        <v>1561</v>
      </c>
      <c r="P652" s="2" t="s">
        <v>1562</v>
      </c>
    </row>
    <row r="653" spans="1:16" ht="15.6" x14ac:dyDescent="0.3">
      <c r="A653" s="4">
        <v>980901</v>
      </c>
      <c r="B653" s="4" t="s">
        <v>26</v>
      </c>
      <c r="C653" s="4" t="s">
        <v>1452</v>
      </c>
      <c r="D653" s="4" t="str">
        <f t="shared" si="10"/>
        <v>IPL-2016</v>
      </c>
      <c r="E653" s="4">
        <f>YEAR('IPL Info'!$F653)</f>
        <v>2016</v>
      </c>
      <c r="F653" s="5">
        <v>42469</v>
      </c>
      <c r="G653" s="4" t="s">
        <v>26</v>
      </c>
      <c r="H653" s="4" t="s">
        <v>31</v>
      </c>
      <c r="I653" s="4" t="s">
        <v>19</v>
      </c>
      <c r="J653" s="4" t="s">
        <v>20</v>
      </c>
      <c r="K653" s="4" t="s">
        <v>1452</v>
      </c>
      <c r="L653" s="4" t="s">
        <v>530</v>
      </c>
      <c r="M653" s="4" t="s">
        <v>1045</v>
      </c>
      <c r="N653" s="4" t="s">
        <v>74</v>
      </c>
      <c r="O653" s="4" t="s">
        <v>1563</v>
      </c>
      <c r="P653" s="4" t="s">
        <v>1564</v>
      </c>
    </row>
    <row r="654" spans="1:16" ht="15.6" x14ac:dyDescent="0.3">
      <c r="A654" s="2">
        <v>829823</v>
      </c>
      <c r="B654" s="2" t="s">
        <v>26</v>
      </c>
      <c r="C654" s="2" t="s">
        <v>51</v>
      </c>
      <c r="D654" s="2" t="str">
        <f t="shared" si="10"/>
        <v>IPL-2015</v>
      </c>
      <c r="E654" s="2">
        <f>YEAR('IPL Info'!$F654)</f>
        <v>2015</v>
      </c>
      <c r="F654" s="3">
        <v>42148</v>
      </c>
      <c r="G654" s="2" t="s">
        <v>51</v>
      </c>
      <c r="H654" s="2" t="s">
        <v>18</v>
      </c>
      <c r="I654" s="2" t="s">
        <v>19</v>
      </c>
      <c r="J654" s="2" t="s">
        <v>20</v>
      </c>
      <c r="K654" s="2" t="s">
        <v>26</v>
      </c>
      <c r="L654" s="2" t="s">
        <v>32</v>
      </c>
      <c r="M654" s="2" t="s">
        <v>1064</v>
      </c>
      <c r="N654" s="2" t="s">
        <v>98</v>
      </c>
      <c r="O654" s="2" t="s">
        <v>1565</v>
      </c>
      <c r="P654" s="2" t="s">
        <v>1566</v>
      </c>
    </row>
    <row r="655" spans="1:16" ht="15.6" x14ac:dyDescent="0.3">
      <c r="A655" s="4">
        <v>829821</v>
      </c>
      <c r="B655" s="4" t="s">
        <v>51</v>
      </c>
      <c r="C655" s="4" t="s">
        <v>445</v>
      </c>
      <c r="D655" s="4" t="str">
        <f t="shared" si="10"/>
        <v>IPL-2015</v>
      </c>
      <c r="E655" s="4">
        <f>YEAR('IPL Info'!$F655)</f>
        <v>2015</v>
      </c>
      <c r="F655" s="5">
        <v>42146</v>
      </c>
      <c r="G655" s="4" t="s">
        <v>51</v>
      </c>
      <c r="H655" s="4" t="s">
        <v>18</v>
      </c>
      <c r="I655" s="4" t="s">
        <v>19</v>
      </c>
      <c r="J655" s="4" t="s">
        <v>20</v>
      </c>
      <c r="K655" s="4" t="s">
        <v>51</v>
      </c>
      <c r="L655" s="4" t="s">
        <v>1486</v>
      </c>
      <c r="M655" s="4" t="s">
        <v>1567</v>
      </c>
      <c r="N655" s="4" t="s">
        <v>1568</v>
      </c>
      <c r="O655" s="4" t="s">
        <v>1569</v>
      </c>
      <c r="P655" s="4" t="s">
        <v>1570</v>
      </c>
    </row>
    <row r="656" spans="1:16" ht="15.6" x14ac:dyDescent="0.3">
      <c r="A656" s="2">
        <v>829819</v>
      </c>
      <c r="B656" s="2" t="s">
        <v>445</v>
      </c>
      <c r="C656" s="2" t="s">
        <v>77</v>
      </c>
      <c r="D656" s="2" t="str">
        <f t="shared" si="10"/>
        <v>IPL-2015</v>
      </c>
      <c r="E656" s="2">
        <f>YEAR('IPL Info'!$F656)</f>
        <v>2015</v>
      </c>
      <c r="F656" s="3">
        <v>42144</v>
      </c>
      <c r="G656" s="2" t="s">
        <v>445</v>
      </c>
      <c r="H656" s="2" t="s">
        <v>31</v>
      </c>
      <c r="I656" s="2" t="s">
        <v>19</v>
      </c>
      <c r="J656" s="2" t="s">
        <v>20</v>
      </c>
      <c r="K656" s="2" t="s">
        <v>445</v>
      </c>
      <c r="L656" s="2" t="s">
        <v>861</v>
      </c>
      <c r="M656" s="2" t="s">
        <v>1179</v>
      </c>
      <c r="N656" s="2" t="s">
        <v>635</v>
      </c>
      <c r="O656" s="2" t="s">
        <v>1571</v>
      </c>
      <c r="P656" s="2" t="s">
        <v>1572</v>
      </c>
    </row>
    <row r="657" spans="1:16" ht="15.6" x14ac:dyDescent="0.3">
      <c r="A657" s="4">
        <v>829817</v>
      </c>
      <c r="B657" s="4" t="s">
        <v>51</v>
      </c>
      <c r="C657" s="4" t="s">
        <v>26</v>
      </c>
      <c r="D657" s="4" t="str">
        <f t="shared" si="10"/>
        <v>IPL-2015</v>
      </c>
      <c r="E657" s="4">
        <f>YEAR('IPL Info'!$F657)</f>
        <v>2015</v>
      </c>
      <c r="F657" s="5">
        <v>42143</v>
      </c>
      <c r="G657" s="4" t="s">
        <v>26</v>
      </c>
      <c r="H657" s="4" t="s">
        <v>31</v>
      </c>
      <c r="I657" s="4" t="s">
        <v>19</v>
      </c>
      <c r="J657" s="4" t="s">
        <v>20</v>
      </c>
      <c r="K657" s="4" t="s">
        <v>26</v>
      </c>
      <c r="L657" s="4" t="s">
        <v>819</v>
      </c>
      <c r="M657" s="4" t="s">
        <v>1045</v>
      </c>
      <c r="N657" s="4" t="s">
        <v>74</v>
      </c>
      <c r="O657" s="4" t="s">
        <v>1573</v>
      </c>
      <c r="P657" s="4" t="s">
        <v>1574</v>
      </c>
    </row>
    <row r="658" spans="1:16" ht="15.6" x14ac:dyDescent="0.3">
      <c r="A658" s="2">
        <v>829815</v>
      </c>
      <c r="B658" s="2" t="s">
        <v>55</v>
      </c>
      <c r="C658" s="2" t="s">
        <v>26</v>
      </c>
      <c r="D658" s="2" t="str">
        <f t="shared" si="10"/>
        <v>IPL-2015</v>
      </c>
      <c r="E658" s="2">
        <f>YEAR('IPL Info'!$F658)</f>
        <v>2015</v>
      </c>
      <c r="F658" s="3">
        <v>42141</v>
      </c>
      <c r="G658" s="2" t="s">
        <v>55</v>
      </c>
      <c r="H658" s="2" t="s">
        <v>31</v>
      </c>
      <c r="I658" s="2" t="s">
        <v>19</v>
      </c>
      <c r="J658" s="2" t="s">
        <v>20</v>
      </c>
      <c r="K658" s="2" t="s">
        <v>26</v>
      </c>
      <c r="L658" s="2" t="s">
        <v>1382</v>
      </c>
      <c r="M658" s="2" t="s">
        <v>1298</v>
      </c>
      <c r="N658" s="2" t="s">
        <v>105</v>
      </c>
      <c r="O658" s="2" t="s">
        <v>1575</v>
      </c>
      <c r="P658" s="2" t="s">
        <v>1576</v>
      </c>
    </row>
    <row r="659" spans="1:16" ht="15.6" x14ac:dyDescent="0.3">
      <c r="A659" s="4">
        <v>829813</v>
      </c>
      <c r="B659" s="4" t="s">
        <v>445</v>
      </c>
      <c r="C659" s="4" t="s">
        <v>1182</v>
      </c>
      <c r="D659" s="4" t="str">
        <f t="shared" si="10"/>
        <v>IPL-2015</v>
      </c>
      <c r="E659" s="4">
        <f>YEAR('IPL Info'!$F659)</f>
        <v>2015</v>
      </c>
      <c r="F659" s="5">
        <v>42141</v>
      </c>
      <c r="G659" s="4" t="s">
        <v>445</v>
      </c>
      <c r="H659" s="4" t="s">
        <v>18</v>
      </c>
      <c r="I659" s="4" t="s">
        <v>90</v>
      </c>
      <c r="J659" s="4" t="s">
        <v>20</v>
      </c>
      <c r="K659" s="4" t="s">
        <v>20</v>
      </c>
      <c r="L659" s="4" t="s">
        <v>91</v>
      </c>
      <c r="M659" s="4" t="s">
        <v>1301</v>
      </c>
      <c r="N659" s="4" t="s">
        <v>1302</v>
      </c>
      <c r="O659" s="4" t="s">
        <v>1577</v>
      </c>
      <c r="P659" s="4" t="s">
        <v>1578</v>
      </c>
    </row>
    <row r="660" spans="1:16" ht="15.6" x14ac:dyDescent="0.3">
      <c r="A660" s="2">
        <v>829809</v>
      </c>
      <c r="B660" s="2" t="s">
        <v>925</v>
      </c>
      <c r="C660" s="2" t="s">
        <v>51</v>
      </c>
      <c r="D660" s="2" t="str">
        <f t="shared" si="10"/>
        <v>IPL-2015</v>
      </c>
      <c r="E660" s="2">
        <f>YEAR('IPL Info'!$F660)</f>
        <v>2015</v>
      </c>
      <c r="F660" s="3">
        <v>42140</v>
      </c>
      <c r="G660" s="2" t="s">
        <v>925</v>
      </c>
      <c r="H660" s="2" t="s">
        <v>31</v>
      </c>
      <c r="I660" s="2" t="s">
        <v>19</v>
      </c>
      <c r="J660" s="2" t="s">
        <v>20</v>
      </c>
      <c r="K660" s="2" t="s">
        <v>51</v>
      </c>
      <c r="L660" s="2" t="s">
        <v>1579</v>
      </c>
      <c r="M660" s="2" t="s">
        <v>1580</v>
      </c>
      <c r="N660" s="2" t="s">
        <v>502</v>
      </c>
      <c r="O660" s="2" t="s">
        <v>1581</v>
      </c>
      <c r="P660" s="2" t="s">
        <v>1582</v>
      </c>
    </row>
    <row r="661" spans="1:16" ht="15.6" x14ac:dyDescent="0.3">
      <c r="A661" s="4">
        <v>829811</v>
      </c>
      <c r="B661" s="4" t="s">
        <v>77</v>
      </c>
      <c r="C661" s="4" t="s">
        <v>56</v>
      </c>
      <c r="D661" s="4" t="str">
        <f t="shared" si="10"/>
        <v>IPL-2015</v>
      </c>
      <c r="E661" s="4">
        <f>YEAR('IPL Info'!$F661)</f>
        <v>2015</v>
      </c>
      <c r="F661" s="5">
        <v>42140</v>
      </c>
      <c r="G661" s="4" t="s">
        <v>77</v>
      </c>
      <c r="H661" s="4" t="s">
        <v>31</v>
      </c>
      <c r="I661" s="4" t="s">
        <v>19</v>
      </c>
      <c r="J661" s="4" t="s">
        <v>20</v>
      </c>
      <c r="K661" s="4" t="s">
        <v>77</v>
      </c>
      <c r="L661" s="4" t="s">
        <v>996</v>
      </c>
      <c r="M661" s="4" t="s">
        <v>1583</v>
      </c>
      <c r="N661" s="4" t="s">
        <v>74</v>
      </c>
      <c r="O661" s="4" t="s">
        <v>1584</v>
      </c>
      <c r="P661" s="4" t="s">
        <v>1585</v>
      </c>
    </row>
    <row r="662" spans="1:16" ht="15.6" x14ac:dyDescent="0.3">
      <c r="A662" s="2">
        <v>829807</v>
      </c>
      <c r="B662" s="2" t="s">
        <v>55</v>
      </c>
      <c r="C662" s="2" t="s">
        <v>445</v>
      </c>
      <c r="D662" s="2" t="str">
        <f t="shared" si="10"/>
        <v>IPL-2015</v>
      </c>
      <c r="E662" s="2">
        <f>YEAR('IPL Info'!$F662)</f>
        <v>2015</v>
      </c>
      <c r="F662" s="3">
        <v>42139</v>
      </c>
      <c r="G662" s="2" t="s">
        <v>55</v>
      </c>
      <c r="H662" s="2" t="s">
        <v>31</v>
      </c>
      <c r="I662" s="2" t="s">
        <v>19</v>
      </c>
      <c r="J662" s="2" t="s">
        <v>20</v>
      </c>
      <c r="K662" s="2" t="s">
        <v>445</v>
      </c>
      <c r="L662" s="2" t="s">
        <v>158</v>
      </c>
      <c r="M662" s="2" t="s">
        <v>1298</v>
      </c>
      <c r="N662" s="2" t="s">
        <v>105</v>
      </c>
      <c r="O662" s="2" t="s">
        <v>1586</v>
      </c>
      <c r="P662" s="2" t="s">
        <v>1587</v>
      </c>
    </row>
    <row r="663" spans="1:16" ht="15.6" x14ac:dyDescent="0.3">
      <c r="A663" s="4">
        <v>829805</v>
      </c>
      <c r="B663" s="4" t="s">
        <v>26</v>
      </c>
      <c r="C663" s="4" t="s">
        <v>56</v>
      </c>
      <c r="D663" s="4" t="str">
        <f t="shared" si="10"/>
        <v>IPL-2015</v>
      </c>
      <c r="E663" s="4">
        <f>YEAR('IPL Info'!$F663)</f>
        <v>2015</v>
      </c>
      <c r="F663" s="5">
        <v>42138</v>
      </c>
      <c r="G663" s="4" t="s">
        <v>56</v>
      </c>
      <c r="H663" s="4" t="s">
        <v>18</v>
      </c>
      <c r="I663" s="4" t="s">
        <v>19</v>
      </c>
      <c r="J663" s="4" t="s">
        <v>20</v>
      </c>
      <c r="K663" s="4" t="s">
        <v>26</v>
      </c>
      <c r="L663" s="4" t="s">
        <v>604</v>
      </c>
      <c r="M663" s="4" t="s">
        <v>1045</v>
      </c>
      <c r="N663" s="4" t="s">
        <v>74</v>
      </c>
      <c r="O663" s="4" t="s">
        <v>1576</v>
      </c>
      <c r="P663" s="4" t="s">
        <v>1588</v>
      </c>
    </row>
    <row r="664" spans="1:16" ht="15.6" x14ac:dyDescent="0.3">
      <c r="A664" s="2">
        <v>829803</v>
      </c>
      <c r="B664" s="2" t="s">
        <v>925</v>
      </c>
      <c r="C664" s="2" t="s">
        <v>445</v>
      </c>
      <c r="D664" s="2" t="str">
        <f t="shared" si="10"/>
        <v>IPL-2015</v>
      </c>
      <c r="E664" s="2">
        <f>YEAR('IPL Info'!$F664)</f>
        <v>2015</v>
      </c>
      <c r="F664" s="3">
        <v>42137</v>
      </c>
      <c r="G664" s="2" t="s">
        <v>445</v>
      </c>
      <c r="H664" s="2" t="s">
        <v>18</v>
      </c>
      <c r="I664" s="2" t="s">
        <v>19</v>
      </c>
      <c r="J664" s="2" t="s">
        <v>20</v>
      </c>
      <c r="K664" s="2" t="s">
        <v>925</v>
      </c>
      <c r="L664" s="2" t="s">
        <v>527</v>
      </c>
      <c r="M664" s="2" t="s">
        <v>1580</v>
      </c>
      <c r="N664" s="2" t="s">
        <v>502</v>
      </c>
      <c r="O664" s="2" t="s">
        <v>1589</v>
      </c>
      <c r="P664" s="2" t="s">
        <v>1590</v>
      </c>
    </row>
    <row r="665" spans="1:16" ht="15.6" x14ac:dyDescent="0.3">
      <c r="A665" s="4">
        <v>829801</v>
      </c>
      <c r="B665" s="4" t="s">
        <v>1182</v>
      </c>
      <c r="C665" s="4" t="s">
        <v>51</v>
      </c>
      <c r="D665" s="4" t="str">
        <f t="shared" si="10"/>
        <v>IPL-2015</v>
      </c>
      <c r="E665" s="4">
        <f>YEAR('IPL Info'!$F665)</f>
        <v>2015</v>
      </c>
      <c r="F665" s="5">
        <v>42136</v>
      </c>
      <c r="G665" s="4" t="s">
        <v>51</v>
      </c>
      <c r="H665" s="4" t="s">
        <v>31</v>
      </c>
      <c r="I665" s="4" t="s">
        <v>19</v>
      </c>
      <c r="J665" s="4" t="s">
        <v>20</v>
      </c>
      <c r="K665" s="4" t="s">
        <v>1182</v>
      </c>
      <c r="L665" s="4" t="s">
        <v>1591</v>
      </c>
      <c r="M665" s="4" t="s">
        <v>1448</v>
      </c>
      <c r="N665" s="4" t="s">
        <v>1449</v>
      </c>
      <c r="O665" s="4" t="s">
        <v>1592</v>
      </c>
      <c r="P665" s="4" t="s">
        <v>1593</v>
      </c>
    </row>
    <row r="666" spans="1:16" ht="15.6" x14ac:dyDescent="0.3">
      <c r="A666" s="2">
        <v>829799</v>
      </c>
      <c r="B666" s="2" t="s">
        <v>55</v>
      </c>
      <c r="C666" s="2" t="s">
        <v>925</v>
      </c>
      <c r="D666" s="2" t="str">
        <f t="shared" si="10"/>
        <v>IPL-2015</v>
      </c>
      <c r="E666" s="2">
        <f>YEAR('IPL Info'!$F666)</f>
        <v>2015</v>
      </c>
      <c r="F666" s="3">
        <v>42135</v>
      </c>
      <c r="G666" s="2" t="s">
        <v>55</v>
      </c>
      <c r="H666" s="2" t="s">
        <v>31</v>
      </c>
      <c r="I666" s="2" t="s">
        <v>19</v>
      </c>
      <c r="J666" s="2" t="s">
        <v>20</v>
      </c>
      <c r="K666" s="2" t="s">
        <v>55</v>
      </c>
      <c r="L666" s="2" t="s">
        <v>658</v>
      </c>
      <c r="M666" s="2" t="s">
        <v>1298</v>
      </c>
      <c r="N666" s="2" t="s">
        <v>105</v>
      </c>
      <c r="O666" s="2" t="s">
        <v>1594</v>
      </c>
      <c r="P666" s="2" t="s">
        <v>1595</v>
      </c>
    </row>
    <row r="667" spans="1:16" ht="15.6" x14ac:dyDescent="0.3">
      <c r="A667" s="4">
        <v>829795</v>
      </c>
      <c r="B667" s="4" t="s">
        <v>26</v>
      </c>
      <c r="C667" s="4" t="s">
        <v>445</v>
      </c>
      <c r="D667" s="4" t="str">
        <f t="shared" si="10"/>
        <v>IPL-2015</v>
      </c>
      <c r="E667" s="4">
        <f>YEAR('IPL Info'!$F667)</f>
        <v>2015</v>
      </c>
      <c r="F667" s="5">
        <v>42134</v>
      </c>
      <c r="G667" s="4" t="s">
        <v>445</v>
      </c>
      <c r="H667" s="4" t="s">
        <v>31</v>
      </c>
      <c r="I667" s="4" t="s">
        <v>19</v>
      </c>
      <c r="J667" s="4" t="s">
        <v>20</v>
      </c>
      <c r="K667" s="4" t="s">
        <v>445</v>
      </c>
      <c r="L667" s="4" t="s">
        <v>861</v>
      </c>
      <c r="M667" s="4" t="s">
        <v>1045</v>
      </c>
      <c r="N667" s="4" t="s">
        <v>74</v>
      </c>
      <c r="O667" s="4" t="s">
        <v>1596</v>
      </c>
      <c r="P667" s="4" t="s">
        <v>1597</v>
      </c>
    </row>
    <row r="668" spans="1:16" ht="15.6" x14ac:dyDescent="0.3">
      <c r="A668" s="2">
        <v>829797</v>
      </c>
      <c r="B668" s="2" t="s">
        <v>51</v>
      </c>
      <c r="C668" s="2" t="s">
        <v>77</v>
      </c>
      <c r="D668" s="2" t="str">
        <f t="shared" si="10"/>
        <v>IPL-2015</v>
      </c>
      <c r="E668" s="2">
        <f>YEAR('IPL Info'!$F668)</f>
        <v>2015</v>
      </c>
      <c r="F668" s="3">
        <v>42134</v>
      </c>
      <c r="G668" s="2" t="s">
        <v>51</v>
      </c>
      <c r="H668" s="2" t="s">
        <v>31</v>
      </c>
      <c r="I668" s="2" t="s">
        <v>19</v>
      </c>
      <c r="J668" s="2" t="s">
        <v>20</v>
      </c>
      <c r="K668" s="2" t="s">
        <v>51</v>
      </c>
      <c r="L668" s="2" t="s">
        <v>305</v>
      </c>
      <c r="M668" s="2" t="s">
        <v>1598</v>
      </c>
      <c r="N668" s="2" t="s">
        <v>126</v>
      </c>
      <c r="O668" s="2" t="s">
        <v>1599</v>
      </c>
      <c r="P668" s="2" t="s">
        <v>1600</v>
      </c>
    </row>
    <row r="669" spans="1:16" ht="15.6" x14ac:dyDescent="0.3">
      <c r="A669" s="4">
        <v>829793</v>
      </c>
      <c r="B669" s="4" t="s">
        <v>1182</v>
      </c>
      <c r="C669" s="4" t="s">
        <v>55</v>
      </c>
      <c r="D669" s="4" t="str">
        <f t="shared" si="10"/>
        <v>IPL-2015</v>
      </c>
      <c r="E669" s="4">
        <f>YEAR('IPL Info'!$F669)</f>
        <v>2015</v>
      </c>
      <c r="F669" s="5">
        <v>42133</v>
      </c>
      <c r="G669" s="4" t="s">
        <v>55</v>
      </c>
      <c r="H669" s="4" t="s">
        <v>31</v>
      </c>
      <c r="I669" s="4" t="s">
        <v>19</v>
      </c>
      <c r="J669" s="4" t="s">
        <v>20</v>
      </c>
      <c r="K669" s="4" t="s">
        <v>55</v>
      </c>
      <c r="L669" s="4" t="s">
        <v>1440</v>
      </c>
      <c r="M669" s="4" t="s">
        <v>1448</v>
      </c>
      <c r="N669" s="4" t="s">
        <v>1449</v>
      </c>
      <c r="O669" s="4" t="s">
        <v>1601</v>
      </c>
      <c r="P669" s="4" t="s">
        <v>1602</v>
      </c>
    </row>
    <row r="670" spans="1:16" ht="15.6" x14ac:dyDescent="0.3">
      <c r="A670" s="2">
        <v>829791</v>
      </c>
      <c r="B670" s="2" t="s">
        <v>56</v>
      </c>
      <c r="C670" s="2" t="s">
        <v>925</v>
      </c>
      <c r="D670" s="2" t="str">
        <f t="shared" si="10"/>
        <v>IPL-2015</v>
      </c>
      <c r="E670" s="2">
        <f>YEAR('IPL Info'!$F670)</f>
        <v>2015</v>
      </c>
      <c r="F670" s="3">
        <v>42133</v>
      </c>
      <c r="G670" s="2" t="s">
        <v>925</v>
      </c>
      <c r="H670" s="2" t="s">
        <v>31</v>
      </c>
      <c r="I670" s="2" t="s">
        <v>19</v>
      </c>
      <c r="J670" s="2" t="s">
        <v>20</v>
      </c>
      <c r="K670" s="2" t="s">
        <v>56</v>
      </c>
      <c r="L670" s="2" t="s">
        <v>111</v>
      </c>
      <c r="M670" s="2" t="s">
        <v>1064</v>
      </c>
      <c r="N670" s="2" t="s">
        <v>98</v>
      </c>
      <c r="O670" s="2" t="s">
        <v>1603</v>
      </c>
      <c r="P670" s="2" t="s">
        <v>1604</v>
      </c>
    </row>
    <row r="671" spans="1:16" ht="15.6" x14ac:dyDescent="0.3">
      <c r="A671" s="4">
        <v>829789</v>
      </c>
      <c r="B671" s="4" t="s">
        <v>51</v>
      </c>
      <c r="C671" s="4" t="s">
        <v>26</v>
      </c>
      <c r="D671" s="4" t="str">
        <f t="shared" si="10"/>
        <v>IPL-2015</v>
      </c>
      <c r="E671" s="4">
        <f>YEAR('IPL Info'!$F671)</f>
        <v>2015</v>
      </c>
      <c r="F671" s="5">
        <v>42132</v>
      </c>
      <c r="G671" s="4" t="s">
        <v>51</v>
      </c>
      <c r="H671" s="4" t="s">
        <v>31</v>
      </c>
      <c r="I671" s="4" t="s">
        <v>19</v>
      </c>
      <c r="J671" s="4" t="s">
        <v>20</v>
      </c>
      <c r="K671" s="4" t="s">
        <v>26</v>
      </c>
      <c r="L671" s="4" t="s">
        <v>604</v>
      </c>
      <c r="M671" s="4" t="s">
        <v>1598</v>
      </c>
      <c r="N671" s="4" t="s">
        <v>126</v>
      </c>
      <c r="O671" s="4" t="s">
        <v>1605</v>
      </c>
      <c r="P671" s="4" t="s">
        <v>1606</v>
      </c>
    </row>
    <row r="672" spans="1:16" ht="15.6" x14ac:dyDescent="0.3">
      <c r="A672" s="2">
        <v>829761</v>
      </c>
      <c r="B672" s="2" t="s">
        <v>56</v>
      </c>
      <c r="C672" s="2" t="s">
        <v>1182</v>
      </c>
      <c r="D672" s="2" t="str">
        <f t="shared" si="10"/>
        <v>IPL-2015</v>
      </c>
      <c r="E672" s="2">
        <f>YEAR('IPL Info'!$F672)</f>
        <v>2015</v>
      </c>
      <c r="F672" s="3">
        <v>42131</v>
      </c>
      <c r="G672" s="2" t="s">
        <v>56</v>
      </c>
      <c r="H672" s="2" t="s">
        <v>31</v>
      </c>
      <c r="I672" s="2" t="s">
        <v>19</v>
      </c>
      <c r="J672" s="2" t="s">
        <v>20</v>
      </c>
      <c r="K672" s="2" t="s">
        <v>56</v>
      </c>
      <c r="L672" s="2" t="s">
        <v>1607</v>
      </c>
      <c r="M672" s="2" t="s">
        <v>1064</v>
      </c>
      <c r="N672" s="2" t="s">
        <v>98</v>
      </c>
      <c r="O672" s="2" t="s">
        <v>1608</v>
      </c>
      <c r="P672" s="2" t="s">
        <v>1609</v>
      </c>
    </row>
    <row r="673" spans="1:16" ht="15.6" x14ac:dyDescent="0.3">
      <c r="A673" s="4">
        <v>829787</v>
      </c>
      <c r="B673" s="4" t="s">
        <v>77</v>
      </c>
      <c r="C673" s="4" t="s">
        <v>55</v>
      </c>
      <c r="D673" s="4" t="str">
        <f t="shared" si="10"/>
        <v>IPL-2015</v>
      </c>
      <c r="E673" s="4">
        <f>YEAR('IPL Info'!$F673)</f>
        <v>2015</v>
      </c>
      <c r="F673" s="5">
        <v>42131</v>
      </c>
      <c r="G673" s="4" t="s">
        <v>77</v>
      </c>
      <c r="H673" s="4" t="s">
        <v>18</v>
      </c>
      <c r="I673" s="4" t="s">
        <v>19</v>
      </c>
      <c r="J673" s="4" t="s">
        <v>20</v>
      </c>
      <c r="K673" s="4" t="s">
        <v>55</v>
      </c>
      <c r="L673" s="4" t="s">
        <v>864</v>
      </c>
      <c r="M673" s="4" t="s">
        <v>1583</v>
      </c>
      <c r="N673" s="4" t="s">
        <v>74</v>
      </c>
      <c r="O673" s="4" t="s">
        <v>1610</v>
      </c>
      <c r="P673" s="4" t="s">
        <v>1611</v>
      </c>
    </row>
    <row r="674" spans="1:16" ht="15.6" x14ac:dyDescent="0.3">
      <c r="A674" s="2">
        <v>829785</v>
      </c>
      <c r="B674" s="2" t="s">
        <v>445</v>
      </c>
      <c r="C674" s="2" t="s">
        <v>925</v>
      </c>
      <c r="D674" s="2" t="str">
        <f t="shared" si="10"/>
        <v>IPL-2015</v>
      </c>
      <c r="E674" s="2">
        <f>YEAR('IPL Info'!$F674)</f>
        <v>2015</v>
      </c>
      <c r="F674" s="3">
        <v>42130</v>
      </c>
      <c r="G674" s="2" t="s">
        <v>925</v>
      </c>
      <c r="H674" s="2" t="s">
        <v>18</v>
      </c>
      <c r="I674" s="2" t="s">
        <v>19</v>
      </c>
      <c r="J674" s="2" t="s">
        <v>20</v>
      </c>
      <c r="K674" s="2" t="s">
        <v>445</v>
      </c>
      <c r="L674" s="2" t="s">
        <v>941</v>
      </c>
      <c r="M674" s="2" t="s">
        <v>1301</v>
      </c>
      <c r="N674" s="2" t="s">
        <v>1302</v>
      </c>
      <c r="O674" s="2" t="s">
        <v>1597</v>
      </c>
      <c r="P674" s="2" t="s">
        <v>1612</v>
      </c>
    </row>
    <row r="675" spans="1:16" ht="15.6" x14ac:dyDescent="0.3">
      <c r="A675" s="4">
        <v>829783</v>
      </c>
      <c r="B675" s="4" t="s">
        <v>26</v>
      </c>
      <c r="C675" s="4" t="s">
        <v>1182</v>
      </c>
      <c r="D675" s="4" t="str">
        <f t="shared" si="10"/>
        <v>IPL-2015</v>
      </c>
      <c r="E675" s="4">
        <f>YEAR('IPL Info'!$F675)</f>
        <v>2015</v>
      </c>
      <c r="F675" s="5">
        <v>42129</v>
      </c>
      <c r="G675" s="4" t="s">
        <v>1182</v>
      </c>
      <c r="H675" s="4" t="s">
        <v>31</v>
      </c>
      <c r="I675" s="4" t="s">
        <v>19</v>
      </c>
      <c r="J675" s="4" t="s">
        <v>20</v>
      </c>
      <c r="K675" s="4" t="s">
        <v>26</v>
      </c>
      <c r="L675" s="4" t="s">
        <v>1129</v>
      </c>
      <c r="M675" s="4" t="s">
        <v>1045</v>
      </c>
      <c r="N675" s="4" t="s">
        <v>74</v>
      </c>
      <c r="O675" s="4" t="s">
        <v>1613</v>
      </c>
      <c r="P675" s="4" t="s">
        <v>1614</v>
      </c>
    </row>
    <row r="676" spans="1:16" ht="15.6" x14ac:dyDescent="0.3">
      <c r="A676" s="2">
        <v>829779</v>
      </c>
      <c r="B676" s="2" t="s">
        <v>51</v>
      </c>
      <c r="C676" s="2" t="s">
        <v>445</v>
      </c>
      <c r="D676" s="2" t="str">
        <f t="shared" si="10"/>
        <v>IPL-2015</v>
      </c>
      <c r="E676" s="2">
        <f>YEAR('IPL Info'!$F676)</f>
        <v>2015</v>
      </c>
      <c r="F676" s="3">
        <v>42128</v>
      </c>
      <c r="G676" s="2" t="s">
        <v>51</v>
      </c>
      <c r="H676" s="2" t="s">
        <v>31</v>
      </c>
      <c r="I676" s="2" t="s">
        <v>19</v>
      </c>
      <c r="J676" s="2" t="s">
        <v>20</v>
      </c>
      <c r="K676" s="2" t="s">
        <v>51</v>
      </c>
      <c r="L676" s="2" t="s">
        <v>1386</v>
      </c>
      <c r="M676" s="2" t="s">
        <v>1598</v>
      </c>
      <c r="N676" s="2" t="s">
        <v>126</v>
      </c>
      <c r="O676" s="2" t="s">
        <v>1615</v>
      </c>
      <c r="P676" s="2" t="s">
        <v>1616</v>
      </c>
    </row>
    <row r="677" spans="1:16" ht="15.6" x14ac:dyDescent="0.3">
      <c r="A677" s="4">
        <v>829781</v>
      </c>
      <c r="B677" s="4" t="s">
        <v>56</v>
      </c>
      <c r="C677" s="4" t="s">
        <v>55</v>
      </c>
      <c r="D677" s="4" t="str">
        <f t="shared" si="10"/>
        <v>IPL-2015</v>
      </c>
      <c r="E677" s="4">
        <f>YEAR('IPL Info'!$F677)</f>
        <v>2015</v>
      </c>
      <c r="F677" s="5">
        <v>42128</v>
      </c>
      <c r="G677" s="4" t="s">
        <v>55</v>
      </c>
      <c r="H677" s="4" t="s">
        <v>18</v>
      </c>
      <c r="I677" s="4" t="s">
        <v>19</v>
      </c>
      <c r="J677" s="4" t="s">
        <v>20</v>
      </c>
      <c r="K677" s="4" t="s">
        <v>56</v>
      </c>
      <c r="L677" s="4" t="s">
        <v>753</v>
      </c>
      <c r="M677" s="4" t="s">
        <v>1064</v>
      </c>
      <c r="N677" s="4" t="s">
        <v>98</v>
      </c>
      <c r="O677" s="4" t="s">
        <v>1617</v>
      </c>
      <c r="P677" s="4" t="s">
        <v>1618</v>
      </c>
    </row>
    <row r="678" spans="1:16" ht="15.6" x14ac:dyDescent="0.3">
      <c r="A678" s="2">
        <v>829777</v>
      </c>
      <c r="B678" s="2" t="s">
        <v>77</v>
      </c>
      <c r="C678" s="2" t="s">
        <v>1182</v>
      </c>
      <c r="D678" s="2" t="str">
        <f t="shared" si="10"/>
        <v>IPL-2015</v>
      </c>
      <c r="E678" s="2">
        <f>YEAR('IPL Info'!$F678)</f>
        <v>2015</v>
      </c>
      <c r="F678" s="3">
        <v>42127</v>
      </c>
      <c r="G678" s="2" t="s">
        <v>1182</v>
      </c>
      <c r="H678" s="2" t="s">
        <v>18</v>
      </c>
      <c r="I678" s="2" t="s">
        <v>19</v>
      </c>
      <c r="J678" s="2" t="s">
        <v>20</v>
      </c>
      <c r="K678" s="2" t="s">
        <v>77</v>
      </c>
      <c r="L678" s="2" t="s">
        <v>530</v>
      </c>
      <c r="M678" s="2" t="s">
        <v>1583</v>
      </c>
      <c r="N678" s="2" t="s">
        <v>74</v>
      </c>
      <c r="O678" s="2" t="s">
        <v>1619</v>
      </c>
      <c r="P678" s="2" t="s">
        <v>1620</v>
      </c>
    </row>
    <row r="679" spans="1:16" ht="15.6" x14ac:dyDescent="0.3">
      <c r="A679" s="4">
        <v>829775</v>
      </c>
      <c r="B679" s="4" t="s">
        <v>925</v>
      </c>
      <c r="C679" s="4" t="s">
        <v>26</v>
      </c>
      <c r="D679" s="4" t="str">
        <f t="shared" ref="D679:D742" si="11">_xlfn.SINGLE(_xlfn.CONCAT("IPL-",E679))</f>
        <v>IPL-2015</v>
      </c>
      <c r="E679" s="4">
        <f>YEAR('IPL Info'!$F679)</f>
        <v>2015</v>
      </c>
      <c r="F679" s="5">
        <v>42127</v>
      </c>
      <c r="G679" s="4" t="s">
        <v>26</v>
      </c>
      <c r="H679" s="4" t="s">
        <v>31</v>
      </c>
      <c r="I679" s="4" t="s">
        <v>19</v>
      </c>
      <c r="J679" s="4" t="s">
        <v>20</v>
      </c>
      <c r="K679" s="4" t="s">
        <v>26</v>
      </c>
      <c r="L679" s="4" t="s">
        <v>1339</v>
      </c>
      <c r="M679" s="4" t="s">
        <v>1580</v>
      </c>
      <c r="N679" s="4" t="s">
        <v>502</v>
      </c>
      <c r="O679" s="4" t="s">
        <v>1621</v>
      </c>
      <c r="P679" s="4" t="s">
        <v>1622</v>
      </c>
    </row>
    <row r="680" spans="1:16" ht="15.6" x14ac:dyDescent="0.3">
      <c r="A680" s="2">
        <v>829771</v>
      </c>
      <c r="B680" s="2" t="s">
        <v>445</v>
      </c>
      <c r="C680" s="2" t="s">
        <v>56</v>
      </c>
      <c r="D680" s="2" t="str">
        <f t="shared" si="11"/>
        <v>IPL-2015</v>
      </c>
      <c r="E680" s="2">
        <f>YEAR('IPL Info'!$F680)</f>
        <v>2015</v>
      </c>
      <c r="F680" s="3">
        <v>42126</v>
      </c>
      <c r="G680" s="2" t="s">
        <v>445</v>
      </c>
      <c r="H680" s="2" t="s">
        <v>18</v>
      </c>
      <c r="I680" s="2" t="s">
        <v>19</v>
      </c>
      <c r="J680" s="2" t="s">
        <v>20</v>
      </c>
      <c r="K680" s="2" t="s">
        <v>445</v>
      </c>
      <c r="L680" s="2" t="s">
        <v>1623</v>
      </c>
      <c r="M680" s="2" t="s">
        <v>1301</v>
      </c>
      <c r="N680" s="2" t="s">
        <v>1302</v>
      </c>
      <c r="O680" s="2" t="s">
        <v>1624</v>
      </c>
      <c r="P680" s="2" t="s">
        <v>1625</v>
      </c>
    </row>
    <row r="681" spans="1:16" ht="15.6" x14ac:dyDescent="0.3">
      <c r="A681" s="4">
        <v>829773</v>
      </c>
      <c r="B681" s="4" t="s">
        <v>55</v>
      </c>
      <c r="C681" s="4" t="s">
        <v>51</v>
      </c>
      <c r="D681" s="4" t="str">
        <f t="shared" si="11"/>
        <v>IPL-2015</v>
      </c>
      <c r="E681" s="4">
        <f>YEAR('IPL Info'!$F681)</f>
        <v>2015</v>
      </c>
      <c r="F681" s="5">
        <v>42126</v>
      </c>
      <c r="G681" s="4" t="s">
        <v>51</v>
      </c>
      <c r="H681" s="4" t="s">
        <v>18</v>
      </c>
      <c r="I681" s="4" t="s">
        <v>19</v>
      </c>
      <c r="J681" s="4" t="s">
        <v>20</v>
      </c>
      <c r="K681" s="4" t="s">
        <v>55</v>
      </c>
      <c r="L681" s="4" t="s">
        <v>658</v>
      </c>
      <c r="M681" s="4" t="s">
        <v>1298</v>
      </c>
      <c r="N681" s="4" t="s">
        <v>105</v>
      </c>
      <c r="O681" s="4" t="s">
        <v>1626</v>
      </c>
      <c r="P681" s="4" t="s">
        <v>1627</v>
      </c>
    </row>
    <row r="682" spans="1:16" ht="15.6" x14ac:dyDescent="0.3">
      <c r="A682" s="2">
        <v>829769</v>
      </c>
      <c r="B682" s="2" t="s">
        <v>26</v>
      </c>
      <c r="C682" s="2" t="s">
        <v>77</v>
      </c>
      <c r="D682" s="2" t="str">
        <f t="shared" si="11"/>
        <v>IPL-2015</v>
      </c>
      <c r="E682" s="2">
        <f>YEAR('IPL Info'!$F682)</f>
        <v>2015</v>
      </c>
      <c r="F682" s="3">
        <v>42125</v>
      </c>
      <c r="G682" s="2" t="s">
        <v>77</v>
      </c>
      <c r="H682" s="2" t="s">
        <v>18</v>
      </c>
      <c r="I682" s="2" t="s">
        <v>19</v>
      </c>
      <c r="J682" s="2" t="s">
        <v>20</v>
      </c>
      <c r="K682" s="2" t="s">
        <v>26</v>
      </c>
      <c r="L682" s="2" t="s">
        <v>1028</v>
      </c>
      <c r="M682" s="2" t="s">
        <v>1045</v>
      </c>
      <c r="N682" s="2" t="s">
        <v>74</v>
      </c>
      <c r="O682" s="2" t="s">
        <v>1628</v>
      </c>
      <c r="P682" s="2" t="s">
        <v>1629</v>
      </c>
    </row>
    <row r="683" spans="1:16" ht="15.6" x14ac:dyDescent="0.3">
      <c r="A683" s="4">
        <v>829767</v>
      </c>
      <c r="B683" s="4" t="s">
        <v>1182</v>
      </c>
      <c r="C683" s="4" t="s">
        <v>925</v>
      </c>
      <c r="D683" s="4" t="str">
        <f t="shared" si="11"/>
        <v>IPL-2015</v>
      </c>
      <c r="E683" s="4">
        <f>YEAR('IPL Info'!$F683)</f>
        <v>2015</v>
      </c>
      <c r="F683" s="5">
        <v>42125</v>
      </c>
      <c r="G683" s="4" t="s">
        <v>1182</v>
      </c>
      <c r="H683" s="4" t="s">
        <v>18</v>
      </c>
      <c r="I683" s="4" t="s">
        <v>19</v>
      </c>
      <c r="J683" s="4" t="s">
        <v>20</v>
      </c>
      <c r="K683" s="4" t="s">
        <v>1182</v>
      </c>
      <c r="L683" s="4" t="s">
        <v>798</v>
      </c>
      <c r="M683" s="4" t="s">
        <v>1310</v>
      </c>
      <c r="N683" s="4" t="s">
        <v>59</v>
      </c>
      <c r="O683" s="4" t="s">
        <v>1630</v>
      </c>
      <c r="P683" s="4" t="s">
        <v>1631</v>
      </c>
    </row>
    <row r="684" spans="1:16" ht="15.6" x14ac:dyDescent="0.3">
      <c r="A684" s="2">
        <v>829723</v>
      </c>
      <c r="B684" s="2" t="s">
        <v>56</v>
      </c>
      <c r="C684" s="2" t="s">
        <v>51</v>
      </c>
      <c r="D684" s="2" t="str">
        <f t="shared" si="11"/>
        <v>IPL-2015</v>
      </c>
      <c r="E684" s="2">
        <f>YEAR('IPL Info'!$F684)</f>
        <v>2015</v>
      </c>
      <c r="F684" s="3">
        <v>42124</v>
      </c>
      <c r="G684" s="2" t="s">
        <v>56</v>
      </c>
      <c r="H684" s="2" t="s">
        <v>18</v>
      </c>
      <c r="I684" s="2" t="s">
        <v>19</v>
      </c>
      <c r="J684" s="2" t="s">
        <v>20</v>
      </c>
      <c r="K684" s="2" t="s">
        <v>56</v>
      </c>
      <c r="L684" s="2" t="s">
        <v>111</v>
      </c>
      <c r="M684" s="2" t="s">
        <v>1064</v>
      </c>
      <c r="N684" s="2" t="s">
        <v>98</v>
      </c>
      <c r="O684" s="2" t="s">
        <v>1632</v>
      </c>
      <c r="P684" s="2" t="s">
        <v>1633</v>
      </c>
    </row>
    <row r="685" spans="1:16" ht="15.6" x14ac:dyDescent="0.3">
      <c r="A685" s="4">
        <v>829763</v>
      </c>
      <c r="B685" s="4" t="s">
        <v>445</v>
      </c>
      <c r="C685" s="4" t="s">
        <v>77</v>
      </c>
      <c r="D685" s="4" t="str">
        <f t="shared" si="11"/>
        <v>IPL-2015</v>
      </c>
      <c r="E685" s="4">
        <f>YEAR('IPL Info'!$F685)</f>
        <v>2015</v>
      </c>
      <c r="F685" s="5">
        <v>42123</v>
      </c>
      <c r="G685" s="4" t="s">
        <v>77</v>
      </c>
      <c r="H685" s="4" t="s">
        <v>18</v>
      </c>
      <c r="I685" s="4" t="s">
        <v>90</v>
      </c>
      <c r="J685" s="4" t="s">
        <v>20</v>
      </c>
      <c r="K685" s="4" t="s">
        <v>20</v>
      </c>
      <c r="L685" s="4" t="s">
        <v>91</v>
      </c>
      <c r="M685" s="4" t="s">
        <v>1301</v>
      </c>
      <c r="N685" s="4" t="s">
        <v>1302</v>
      </c>
      <c r="O685" s="4" t="s">
        <v>1634</v>
      </c>
      <c r="P685" s="4" t="s">
        <v>1635</v>
      </c>
    </row>
    <row r="686" spans="1:16" ht="15.6" x14ac:dyDescent="0.3">
      <c r="A686" s="2">
        <v>829765</v>
      </c>
      <c r="B686" s="2" t="s">
        <v>51</v>
      </c>
      <c r="C686" s="2" t="s">
        <v>56</v>
      </c>
      <c r="D686" s="2" t="str">
        <f t="shared" si="11"/>
        <v>IPL-2015</v>
      </c>
      <c r="E686" s="2">
        <f>YEAR('IPL Info'!$F686)</f>
        <v>2015</v>
      </c>
      <c r="F686" s="3">
        <v>42122</v>
      </c>
      <c r="G686" s="2" t="s">
        <v>56</v>
      </c>
      <c r="H686" s="2" t="s">
        <v>18</v>
      </c>
      <c r="I686" s="2" t="s">
        <v>19</v>
      </c>
      <c r="J686" s="2" t="s">
        <v>20</v>
      </c>
      <c r="K686" s="2" t="s">
        <v>51</v>
      </c>
      <c r="L686" s="2" t="s">
        <v>834</v>
      </c>
      <c r="M686" s="2" t="s">
        <v>1598</v>
      </c>
      <c r="N686" s="2" t="s">
        <v>126</v>
      </c>
      <c r="O686" s="2" t="s">
        <v>1636</v>
      </c>
      <c r="P686" s="2" t="s">
        <v>1637</v>
      </c>
    </row>
    <row r="687" spans="1:16" ht="15.6" x14ac:dyDescent="0.3">
      <c r="A687" s="4">
        <v>829759</v>
      </c>
      <c r="B687" s="4" t="s">
        <v>925</v>
      </c>
      <c r="C687" s="4" t="s">
        <v>55</v>
      </c>
      <c r="D687" s="4" t="str">
        <f t="shared" si="11"/>
        <v>IPL-2015</v>
      </c>
      <c r="E687" s="4">
        <f>YEAR('IPL Info'!$F687)</f>
        <v>2015</v>
      </c>
      <c r="F687" s="5">
        <v>42121</v>
      </c>
      <c r="G687" s="4" t="s">
        <v>925</v>
      </c>
      <c r="H687" s="4" t="s">
        <v>18</v>
      </c>
      <c r="I687" s="4" t="s">
        <v>19</v>
      </c>
      <c r="J687" s="4" t="s">
        <v>20</v>
      </c>
      <c r="K687" s="4" t="s">
        <v>55</v>
      </c>
      <c r="L687" s="4" t="s">
        <v>148</v>
      </c>
      <c r="M687" s="4" t="s">
        <v>1580</v>
      </c>
      <c r="N687" s="4" t="s">
        <v>502</v>
      </c>
      <c r="O687" s="4" t="s">
        <v>1638</v>
      </c>
      <c r="P687" s="4" t="s">
        <v>1639</v>
      </c>
    </row>
    <row r="688" spans="1:16" ht="15.6" x14ac:dyDescent="0.3">
      <c r="A688" s="2">
        <v>829757</v>
      </c>
      <c r="B688" s="2" t="s">
        <v>1182</v>
      </c>
      <c r="C688" s="2" t="s">
        <v>445</v>
      </c>
      <c r="D688" s="2" t="str">
        <f t="shared" si="11"/>
        <v>IPL-2015</v>
      </c>
      <c r="E688" s="2">
        <f>YEAR('IPL Info'!$F688)</f>
        <v>2015</v>
      </c>
      <c r="F688" s="3">
        <v>42120</v>
      </c>
      <c r="G688" s="2" t="s">
        <v>445</v>
      </c>
      <c r="H688" s="2" t="s">
        <v>18</v>
      </c>
      <c r="I688" s="2" t="s">
        <v>19</v>
      </c>
      <c r="J688" s="2" t="s">
        <v>20</v>
      </c>
      <c r="K688" s="2" t="s">
        <v>445</v>
      </c>
      <c r="L688" s="2" t="s">
        <v>1074</v>
      </c>
      <c r="M688" s="2" t="s">
        <v>1310</v>
      </c>
      <c r="N688" s="2" t="s">
        <v>59</v>
      </c>
      <c r="O688" s="2" t="s">
        <v>1640</v>
      </c>
      <c r="P688" s="2" t="s">
        <v>1641</v>
      </c>
    </row>
    <row r="689" spans="1:16" ht="15.6" x14ac:dyDescent="0.3">
      <c r="A689" s="4">
        <v>829753</v>
      </c>
      <c r="B689" s="4" t="s">
        <v>51</v>
      </c>
      <c r="C689" s="4" t="s">
        <v>925</v>
      </c>
      <c r="D689" s="4" t="str">
        <f t="shared" si="11"/>
        <v>IPL-2015</v>
      </c>
      <c r="E689" s="4">
        <f>YEAR('IPL Info'!$F689)</f>
        <v>2015</v>
      </c>
      <c r="F689" s="5">
        <v>42119</v>
      </c>
      <c r="G689" s="4" t="s">
        <v>51</v>
      </c>
      <c r="H689" s="4" t="s">
        <v>31</v>
      </c>
      <c r="I689" s="4" t="s">
        <v>19</v>
      </c>
      <c r="J689" s="4" t="s">
        <v>20</v>
      </c>
      <c r="K689" s="4" t="s">
        <v>51</v>
      </c>
      <c r="L689" s="4" t="s">
        <v>1642</v>
      </c>
      <c r="M689" s="4" t="s">
        <v>1598</v>
      </c>
      <c r="N689" s="4" t="s">
        <v>126</v>
      </c>
      <c r="O689" s="4" t="s">
        <v>1643</v>
      </c>
      <c r="P689" s="4" t="s">
        <v>1644</v>
      </c>
    </row>
    <row r="690" spans="1:16" ht="15.6" x14ac:dyDescent="0.3">
      <c r="A690" s="2">
        <v>829751</v>
      </c>
      <c r="B690" s="2" t="s">
        <v>26</v>
      </c>
      <c r="C690" s="2" t="s">
        <v>55</v>
      </c>
      <c r="D690" s="2" t="str">
        <f t="shared" si="11"/>
        <v>IPL-2015</v>
      </c>
      <c r="E690" s="2">
        <f>YEAR('IPL Info'!$F690)</f>
        <v>2015</v>
      </c>
      <c r="F690" s="3">
        <v>42119</v>
      </c>
      <c r="G690" s="2" t="s">
        <v>26</v>
      </c>
      <c r="H690" s="2" t="s">
        <v>31</v>
      </c>
      <c r="I690" s="2" t="s">
        <v>19</v>
      </c>
      <c r="J690" s="2" t="s">
        <v>20</v>
      </c>
      <c r="K690" s="2" t="s">
        <v>26</v>
      </c>
      <c r="L690" s="2" t="s">
        <v>1101</v>
      </c>
      <c r="M690" s="2" t="s">
        <v>1045</v>
      </c>
      <c r="N690" s="2" t="s">
        <v>74</v>
      </c>
      <c r="O690" s="2" t="s">
        <v>1645</v>
      </c>
      <c r="P690" s="2" t="s">
        <v>1646</v>
      </c>
    </row>
    <row r="691" spans="1:16" ht="15.6" x14ac:dyDescent="0.3">
      <c r="A691" s="4">
        <v>829749</v>
      </c>
      <c r="B691" s="4" t="s">
        <v>77</v>
      </c>
      <c r="C691" s="4" t="s">
        <v>445</v>
      </c>
      <c r="D691" s="4" t="str">
        <f t="shared" si="11"/>
        <v>IPL-2015</v>
      </c>
      <c r="E691" s="4">
        <f>YEAR('IPL Info'!$F691)</f>
        <v>2015</v>
      </c>
      <c r="F691" s="5">
        <v>42118</v>
      </c>
      <c r="G691" s="4" t="s">
        <v>445</v>
      </c>
      <c r="H691" s="4" t="s">
        <v>18</v>
      </c>
      <c r="I691" s="4" t="s">
        <v>19</v>
      </c>
      <c r="J691" s="4" t="s">
        <v>20</v>
      </c>
      <c r="K691" s="4" t="s">
        <v>445</v>
      </c>
      <c r="L691" s="4" t="s">
        <v>174</v>
      </c>
      <c r="M691" s="4" t="s">
        <v>1647</v>
      </c>
      <c r="N691" s="4" t="s">
        <v>23</v>
      </c>
      <c r="O691" s="4" t="s">
        <v>1648</v>
      </c>
      <c r="P691" s="4" t="s">
        <v>1649</v>
      </c>
    </row>
    <row r="692" spans="1:16" ht="15.6" x14ac:dyDescent="0.3">
      <c r="A692" s="2">
        <v>829747</v>
      </c>
      <c r="B692" s="2" t="s">
        <v>1182</v>
      </c>
      <c r="C692" s="2" t="s">
        <v>26</v>
      </c>
      <c r="D692" s="2" t="str">
        <f t="shared" si="11"/>
        <v>IPL-2015</v>
      </c>
      <c r="E692" s="2">
        <f>YEAR('IPL Info'!$F692)</f>
        <v>2015</v>
      </c>
      <c r="F692" s="3">
        <v>42117</v>
      </c>
      <c r="G692" s="2" t="s">
        <v>26</v>
      </c>
      <c r="H692" s="2" t="s">
        <v>18</v>
      </c>
      <c r="I692" s="2" t="s">
        <v>19</v>
      </c>
      <c r="J692" s="2" t="s">
        <v>20</v>
      </c>
      <c r="K692" s="2" t="s">
        <v>1182</v>
      </c>
      <c r="L692" s="2" t="s">
        <v>27</v>
      </c>
      <c r="M692" s="2" t="s">
        <v>1310</v>
      </c>
      <c r="N692" s="2" t="s">
        <v>59</v>
      </c>
      <c r="O692" s="2" t="s">
        <v>1650</v>
      </c>
      <c r="P692" s="2" t="s">
        <v>1651</v>
      </c>
    </row>
    <row r="693" spans="1:16" ht="15.6" x14ac:dyDescent="0.3">
      <c r="A693" s="4">
        <v>829745</v>
      </c>
      <c r="B693" s="4" t="s">
        <v>445</v>
      </c>
      <c r="C693" s="4" t="s">
        <v>51</v>
      </c>
      <c r="D693" s="4" t="str">
        <f t="shared" si="11"/>
        <v>IPL-2015</v>
      </c>
      <c r="E693" s="4">
        <f>YEAR('IPL Info'!$F693)</f>
        <v>2015</v>
      </c>
      <c r="F693" s="5">
        <v>42116</v>
      </c>
      <c r="G693" s="4" t="s">
        <v>445</v>
      </c>
      <c r="H693" s="4" t="s">
        <v>18</v>
      </c>
      <c r="I693" s="4" t="s">
        <v>19</v>
      </c>
      <c r="J693" s="4" t="s">
        <v>20</v>
      </c>
      <c r="K693" s="4" t="s">
        <v>51</v>
      </c>
      <c r="L693" s="4" t="s">
        <v>1386</v>
      </c>
      <c r="M693" s="4" t="s">
        <v>1301</v>
      </c>
      <c r="N693" s="4" t="s">
        <v>1302</v>
      </c>
      <c r="O693" s="4" t="s">
        <v>1652</v>
      </c>
      <c r="P693" s="4" t="s">
        <v>1653</v>
      </c>
    </row>
    <row r="694" spans="1:16" ht="15.6" x14ac:dyDescent="0.3">
      <c r="A694" s="2">
        <v>829743</v>
      </c>
      <c r="B694" s="2" t="s">
        <v>55</v>
      </c>
      <c r="C694" s="2" t="s">
        <v>56</v>
      </c>
      <c r="D694" s="2" t="str">
        <f t="shared" si="11"/>
        <v>IPL-2015</v>
      </c>
      <c r="E694" s="2">
        <f>YEAR('IPL Info'!$F694)</f>
        <v>2015</v>
      </c>
      <c r="F694" s="3">
        <v>42116</v>
      </c>
      <c r="G694" s="2" t="s">
        <v>56</v>
      </c>
      <c r="H694" s="2" t="s">
        <v>18</v>
      </c>
      <c r="I694" s="2" t="s">
        <v>19</v>
      </c>
      <c r="J694" s="2" t="s">
        <v>20</v>
      </c>
      <c r="K694" s="2" t="s">
        <v>55</v>
      </c>
      <c r="L694" s="2" t="s">
        <v>658</v>
      </c>
      <c r="M694" s="2" t="s">
        <v>1034</v>
      </c>
      <c r="N694" s="2" t="s">
        <v>232</v>
      </c>
      <c r="O694" s="2" t="s">
        <v>1654</v>
      </c>
      <c r="P694" s="2" t="s">
        <v>1655</v>
      </c>
    </row>
    <row r="695" spans="1:16" ht="15.6" x14ac:dyDescent="0.3">
      <c r="A695" s="4">
        <v>829741</v>
      </c>
      <c r="B695" s="4" t="s">
        <v>77</v>
      </c>
      <c r="C695" s="4" t="s">
        <v>925</v>
      </c>
      <c r="D695" s="4" t="str">
        <f t="shared" si="11"/>
        <v>IPL-2015</v>
      </c>
      <c r="E695" s="4">
        <f>YEAR('IPL Info'!$F695)</f>
        <v>2015</v>
      </c>
      <c r="F695" s="5">
        <v>42115</v>
      </c>
      <c r="G695" s="4" t="s">
        <v>925</v>
      </c>
      <c r="H695" s="4" t="s">
        <v>18</v>
      </c>
      <c r="I695" s="4" t="s">
        <v>173</v>
      </c>
      <c r="J695" s="4" t="s">
        <v>925</v>
      </c>
      <c r="K695" s="4" t="s">
        <v>20</v>
      </c>
      <c r="L695" s="4" t="s">
        <v>1656</v>
      </c>
      <c r="M695" s="4" t="s">
        <v>1647</v>
      </c>
      <c r="N695" s="4" t="s">
        <v>23</v>
      </c>
      <c r="O695" s="4" t="s">
        <v>1657</v>
      </c>
      <c r="P695" s="4" t="s">
        <v>1658</v>
      </c>
    </row>
    <row r="696" spans="1:16" ht="15.6" x14ac:dyDescent="0.3">
      <c r="A696" s="2">
        <v>829739</v>
      </c>
      <c r="B696" s="2" t="s">
        <v>1182</v>
      </c>
      <c r="C696" s="2" t="s">
        <v>56</v>
      </c>
      <c r="D696" s="2" t="str">
        <f t="shared" si="11"/>
        <v>IPL-2015</v>
      </c>
      <c r="E696" s="2">
        <f>YEAR('IPL Info'!$F696)</f>
        <v>2015</v>
      </c>
      <c r="F696" s="3">
        <v>42114</v>
      </c>
      <c r="G696" s="2" t="s">
        <v>56</v>
      </c>
      <c r="H696" s="2" t="s">
        <v>18</v>
      </c>
      <c r="I696" s="2" t="s">
        <v>19</v>
      </c>
      <c r="J696" s="2" t="s">
        <v>20</v>
      </c>
      <c r="K696" s="2" t="s">
        <v>56</v>
      </c>
      <c r="L696" s="2" t="s">
        <v>753</v>
      </c>
      <c r="M696" s="2" t="s">
        <v>1310</v>
      </c>
      <c r="N696" s="2" t="s">
        <v>59</v>
      </c>
      <c r="O696" s="2" t="s">
        <v>1659</v>
      </c>
      <c r="P696" s="2" t="s">
        <v>1660</v>
      </c>
    </row>
    <row r="697" spans="1:16" ht="15.6" x14ac:dyDescent="0.3">
      <c r="A697" s="4">
        <v>829735</v>
      </c>
      <c r="B697" s="4" t="s">
        <v>77</v>
      </c>
      <c r="C697" s="4" t="s">
        <v>51</v>
      </c>
      <c r="D697" s="4" t="str">
        <f t="shared" si="11"/>
        <v>IPL-2015</v>
      </c>
      <c r="E697" s="4">
        <f>YEAR('IPL Info'!$F697)</f>
        <v>2015</v>
      </c>
      <c r="F697" s="5">
        <v>42113</v>
      </c>
      <c r="G697" s="4" t="s">
        <v>51</v>
      </c>
      <c r="H697" s="4" t="s">
        <v>31</v>
      </c>
      <c r="I697" s="4" t="s">
        <v>19</v>
      </c>
      <c r="J697" s="4" t="s">
        <v>20</v>
      </c>
      <c r="K697" s="4" t="s">
        <v>77</v>
      </c>
      <c r="L697" s="4" t="s">
        <v>530</v>
      </c>
      <c r="M697" s="4" t="s">
        <v>1647</v>
      </c>
      <c r="N697" s="4" t="s">
        <v>23</v>
      </c>
      <c r="O697" s="4" t="s">
        <v>1661</v>
      </c>
      <c r="P697" s="4" t="s">
        <v>1662</v>
      </c>
    </row>
    <row r="698" spans="1:16" ht="15.6" x14ac:dyDescent="0.3">
      <c r="A698" s="2">
        <v>829737</v>
      </c>
      <c r="B698" s="2" t="s">
        <v>445</v>
      </c>
      <c r="C698" s="2" t="s">
        <v>26</v>
      </c>
      <c r="D698" s="2" t="str">
        <f t="shared" si="11"/>
        <v>IPL-2015</v>
      </c>
      <c r="E698" s="2">
        <f>YEAR('IPL Info'!$F698)</f>
        <v>2015</v>
      </c>
      <c r="F698" s="3">
        <v>42113</v>
      </c>
      <c r="G698" s="2" t="s">
        <v>445</v>
      </c>
      <c r="H698" s="2" t="s">
        <v>18</v>
      </c>
      <c r="I698" s="2" t="s">
        <v>19</v>
      </c>
      <c r="J698" s="2" t="s">
        <v>20</v>
      </c>
      <c r="K698" s="2" t="s">
        <v>26</v>
      </c>
      <c r="L698" s="2" t="s">
        <v>1129</v>
      </c>
      <c r="M698" s="2" t="s">
        <v>1301</v>
      </c>
      <c r="N698" s="2" t="s">
        <v>1302</v>
      </c>
      <c r="O698" s="2" t="s">
        <v>1663</v>
      </c>
      <c r="P698" s="2" t="s">
        <v>1664</v>
      </c>
    </row>
    <row r="699" spans="1:16" ht="15.6" x14ac:dyDescent="0.3">
      <c r="A699" s="4">
        <v>829731</v>
      </c>
      <c r="B699" s="4" t="s">
        <v>55</v>
      </c>
      <c r="C699" s="4" t="s">
        <v>1182</v>
      </c>
      <c r="D699" s="4" t="str">
        <f t="shared" si="11"/>
        <v>IPL-2015</v>
      </c>
      <c r="E699" s="4">
        <f>YEAR('IPL Info'!$F699)</f>
        <v>2015</v>
      </c>
      <c r="F699" s="5">
        <v>42112</v>
      </c>
      <c r="G699" s="4" t="s">
        <v>1182</v>
      </c>
      <c r="H699" s="4" t="s">
        <v>31</v>
      </c>
      <c r="I699" s="4" t="s">
        <v>19</v>
      </c>
      <c r="J699" s="4" t="s">
        <v>20</v>
      </c>
      <c r="K699" s="4" t="s">
        <v>1182</v>
      </c>
      <c r="L699" s="4" t="s">
        <v>1665</v>
      </c>
      <c r="M699" s="4" t="s">
        <v>1034</v>
      </c>
      <c r="N699" s="4" t="s">
        <v>232</v>
      </c>
      <c r="O699" s="4" t="s">
        <v>1666</v>
      </c>
      <c r="P699" s="4" t="s">
        <v>1667</v>
      </c>
    </row>
    <row r="700" spans="1:16" ht="15.6" x14ac:dyDescent="0.3">
      <c r="A700" s="2">
        <v>829733</v>
      </c>
      <c r="B700" s="2" t="s">
        <v>925</v>
      </c>
      <c r="C700" s="2" t="s">
        <v>56</v>
      </c>
      <c r="D700" s="2" t="str">
        <f t="shared" si="11"/>
        <v>IPL-2015</v>
      </c>
      <c r="E700" s="2">
        <f>YEAR('IPL Info'!$F700)</f>
        <v>2015</v>
      </c>
      <c r="F700" s="3">
        <v>42112</v>
      </c>
      <c r="G700" s="2" t="s">
        <v>56</v>
      </c>
      <c r="H700" s="2" t="s">
        <v>18</v>
      </c>
      <c r="I700" s="2" t="s">
        <v>19</v>
      </c>
      <c r="J700" s="2" t="s">
        <v>20</v>
      </c>
      <c r="K700" s="2" t="s">
        <v>56</v>
      </c>
      <c r="L700" s="2" t="s">
        <v>111</v>
      </c>
      <c r="M700" s="2" t="s">
        <v>1179</v>
      </c>
      <c r="N700" s="2" t="s">
        <v>635</v>
      </c>
      <c r="O700" s="2" t="s">
        <v>1668</v>
      </c>
      <c r="P700" s="2" t="s">
        <v>1660</v>
      </c>
    </row>
    <row r="701" spans="1:16" ht="15.6" x14ac:dyDescent="0.3">
      <c r="A701" s="4">
        <v>829729</v>
      </c>
      <c r="B701" s="4" t="s">
        <v>26</v>
      </c>
      <c r="C701" s="4" t="s">
        <v>51</v>
      </c>
      <c r="D701" s="4" t="str">
        <f t="shared" si="11"/>
        <v>IPL-2015</v>
      </c>
      <c r="E701" s="4">
        <f>YEAR('IPL Info'!$F701)</f>
        <v>2015</v>
      </c>
      <c r="F701" s="5">
        <v>42111</v>
      </c>
      <c r="G701" s="4" t="s">
        <v>26</v>
      </c>
      <c r="H701" s="4" t="s">
        <v>31</v>
      </c>
      <c r="I701" s="4" t="s">
        <v>19</v>
      </c>
      <c r="J701" s="4" t="s">
        <v>20</v>
      </c>
      <c r="K701" s="4" t="s">
        <v>51</v>
      </c>
      <c r="L701" s="4" t="s">
        <v>1486</v>
      </c>
      <c r="M701" s="4" t="s">
        <v>1045</v>
      </c>
      <c r="N701" s="4" t="s">
        <v>74</v>
      </c>
      <c r="O701" s="4" t="s">
        <v>1669</v>
      </c>
      <c r="P701" s="4" t="s">
        <v>1636</v>
      </c>
    </row>
    <row r="702" spans="1:16" ht="15.6" x14ac:dyDescent="0.3">
      <c r="A702" s="2">
        <v>829727</v>
      </c>
      <c r="B702" s="2" t="s">
        <v>55</v>
      </c>
      <c r="C702" s="2" t="s">
        <v>77</v>
      </c>
      <c r="D702" s="2" t="str">
        <f t="shared" si="11"/>
        <v>IPL-2015</v>
      </c>
      <c r="E702" s="2">
        <f>YEAR('IPL Info'!$F702)</f>
        <v>2015</v>
      </c>
      <c r="F702" s="3">
        <v>42110</v>
      </c>
      <c r="G702" s="2" t="s">
        <v>77</v>
      </c>
      <c r="H702" s="2" t="s">
        <v>18</v>
      </c>
      <c r="I702" s="2" t="s">
        <v>19</v>
      </c>
      <c r="J702" s="2" t="s">
        <v>20</v>
      </c>
      <c r="K702" s="2" t="s">
        <v>77</v>
      </c>
      <c r="L702" s="2" t="s">
        <v>530</v>
      </c>
      <c r="M702" s="2" t="s">
        <v>1034</v>
      </c>
      <c r="N702" s="2" t="s">
        <v>232</v>
      </c>
      <c r="O702" s="2" t="s">
        <v>1670</v>
      </c>
      <c r="P702" s="2" t="s">
        <v>1671</v>
      </c>
    </row>
    <row r="703" spans="1:16" ht="15.6" x14ac:dyDescent="0.3">
      <c r="A703" s="4">
        <v>829725</v>
      </c>
      <c r="B703" s="4" t="s">
        <v>925</v>
      </c>
      <c r="C703" s="4" t="s">
        <v>1182</v>
      </c>
      <c r="D703" s="4" t="str">
        <f t="shared" si="11"/>
        <v>IPL-2015</v>
      </c>
      <c r="E703" s="4">
        <f>YEAR('IPL Info'!$F703)</f>
        <v>2015</v>
      </c>
      <c r="F703" s="5">
        <v>42109</v>
      </c>
      <c r="G703" s="4" t="s">
        <v>925</v>
      </c>
      <c r="H703" s="4" t="s">
        <v>31</v>
      </c>
      <c r="I703" s="4" t="s">
        <v>19</v>
      </c>
      <c r="J703" s="4" t="s">
        <v>20</v>
      </c>
      <c r="K703" s="4" t="s">
        <v>1182</v>
      </c>
      <c r="L703" s="4" t="s">
        <v>718</v>
      </c>
      <c r="M703" s="4" t="s">
        <v>1179</v>
      </c>
      <c r="N703" s="4" t="s">
        <v>635</v>
      </c>
      <c r="O703" s="4" t="s">
        <v>1672</v>
      </c>
      <c r="P703" s="4" t="s">
        <v>1667</v>
      </c>
    </row>
    <row r="704" spans="1:16" ht="15.6" x14ac:dyDescent="0.3">
      <c r="A704" s="2">
        <v>829721</v>
      </c>
      <c r="B704" s="2" t="s">
        <v>77</v>
      </c>
      <c r="C704" s="2" t="s">
        <v>26</v>
      </c>
      <c r="D704" s="2" t="str">
        <f t="shared" si="11"/>
        <v>IPL-2015</v>
      </c>
      <c r="E704" s="2">
        <f>YEAR('IPL Info'!$F704)</f>
        <v>2015</v>
      </c>
      <c r="F704" s="3">
        <v>42108</v>
      </c>
      <c r="G704" s="2" t="s">
        <v>26</v>
      </c>
      <c r="H704" s="2" t="s">
        <v>31</v>
      </c>
      <c r="I704" s="2" t="s">
        <v>19</v>
      </c>
      <c r="J704" s="2" t="s">
        <v>20</v>
      </c>
      <c r="K704" s="2" t="s">
        <v>77</v>
      </c>
      <c r="L704" s="2" t="s">
        <v>1090</v>
      </c>
      <c r="M704" s="2" t="s">
        <v>1647</v>
      </c>
      <c r="N704" s="2" t="s">
        <v>23</v>
      </c>
      <c r="O704" s="2" t="s">
        <v>1673</v>
      </c>
      <c r="P704" s="2" t="s">
        <v>1674</v>
      </c>
    </row>
    <row r="705" spans="1:16" ht="15.6" x14ac:dyDescent="0.3">
      <c r="A705" s="4">
        <v>829719</v>
      </c>
      <c r="B705" s="4" t="s">
        <v>445</v>
      </c>
      <c r="C705" s="4" t="s">
        <v>55</v>
      </c>
      <c r="D705" s="4" t="str">
        <f t="shared" si="11"/>
        <v>IPL-2015</v>
      </c>
      <c r="E705" s="4">
        <f>YEAR('IPL Info'!$F705)</f>
        <v>2015</v>
      </c>
      <c r="F705" s="5">
        <v>42107</v>
      </c>
      <c r="G705" s="4" t="s">
        <v>55</v>
      </c>
      <c r="H705" s="4" t="s">
        <v>18</v>
      </c>
      <c r="I705" s="4" t="s">
        <v>19</v>
      </c>
      <c r="J705" s="4" t="s">
        <v>20</v>
      </c>
      <c r="K705" s="4" t="s">
        <v>55</v>
      </c>
      <c r="L705" s="4" t="s">
        <v>658</v>
      </c>
      <c r="M705" s="4" t="s">
        <v>1301</v>
      </c>
      <c r="N705" s="4" t="s">
        <v>1302</v>
      </c>
      <c r="O705" s="4" t="s">
        <v>1675</v>
      </c>
      <c r="P705" s="4" t="s">
        <v>1676</v>
      </c>
    </row>
    <row r="706" spans="1:16" ht="15.6" x14ac:dyDescent="0.3">
      <c r="A706" s="2">
        <v>829717</v>
      </c>
      <c r="B706" s="2" t="s">
        <v>26</v>
      </c>
      <c r="C706" s="2" t="s">
        <v>925</v>
      </c>
      <c r="D706" s="2" t="str">
        <f t="shared" si="11"/>
        <v>IPL-2015</v>
      </c>
      <c r="E706" s="2">
        <f>YEAR('IPL Info'!$F706)</f>
        <v>2015</v>
      </c>
      <c r="F706" s="3">
        <v>42106</v>
      </c>
      <c r="G706" s="2" t="s">
        <v>26</v>
      </c>
      <c r="H706" s="2" t="s">
        <v>18</v>
      </c>
      <c r="I706" s="2" t="s">
        <v>19</v>
      </c>
      <c r="J706" s="2" t="s">
        <v>20</v>
      </c>
      <c r="K706" s="2" t="s">
        <v>925</v>
      </c>
      <c r="L706" s="2" t="s">
        <v>1677</v>
      </c>
      <c r="M706" s="2" t="s">
        <v>1045</v>
      </c>
      <c r="N706" s="2" t="s">
        <v>74</v>
      </c>
      <c r="O706" s="2" t="s">
        <v>1678</v>
      </c>
      <c r="P706" s="2" t="s">
        <v>1679</v>
      </c>
    </row>
    <row r="707" spans="1:16" ht="15.6" x14ac:dyDescent="0.3">
      <c r="A707" s="4">
        <v>829715</v>
      </c>
      <c r="B707" s="4" t="s">
        <v>1182</v>
      </c>
      <c r="C707" s="4" t="s">
        <v>77</v>
      </c>
      <c r="D707" s="4" t="str">
        <f t="shared" si="11"/>
        <v>IPL-2015</v>
      </c>
      <c r="E707" s="4">
        <f>YEAR('IPL Info'!$F707)</f>
        <v>2015</v>
      </c>
      <c r="F707" s="5">
        <v>42106</v>
      </c>
      <c r="G707" s="4" t="s">
        <v>77</v>
      </c>
      <c r="H707" s="4" t="s">
        <v>18</v>
      </c>
      <c r="I707" s="4" t="s">
        <v>19</v>
      </c>
      <c r="J707" s="4" t="s">
        <v>20</v>
      </c>
      <c r="K707" s="4" t="s">
        <v>77</v>
      </c>
      <c r="L707" s="4" t="s">
        <v>1680</v>
      </c>
      <c r="M707" s="4" t="s">
        <v>1310</v>
      </c>
      <c r="N707" s="4" t="s">
        <v>59</v>
      </c>
      <c r="O707" s="4" t="s">
        <v>1681</v>
      </c>
      <c r="P707" s="4" t="s">
        <v>1682</v>
      </c>
    </row>
    <row r="708" spans="1:16" ht="15.6" x14ac:dyDescent="0.3">
      <c r="A708" s="2">
        <v>829711</v>
      </c>
      <c r="B708" s="2" t="s">
        <v>51</v>
      </c>
      <c r="C708" s="2" t="s">
        <v>55</v>
      </c>
      <c r="D708" s="2" t="str">
        <f t="shared" si="11"/>
        <v>IPL-2015</v>
      </c>
      <c r="E708" s="2">
        <f>YEAR('IPL Info'!$F708)</f>
        <v>2015</v>
      </c>
      <c r="F708" s="3">
        <v>42105</v>
      </c>
      <c r="G708" s="2" t="s">
        <v>51</v>
      </c>
      <c r="H708" s="2" t="s">
        <v>31</v>
      </c>
      <c r="I708" s="2" t="s">
        <v>19</v>
      </c>
      <c r="J708" s="2" t="s">
        <v>20</v>
      </c>
      <c r="K708" s="2" t="s">
        <v>51</v>
      </c>
      <c r="L708" s="2" t="s">
        <v>1642</v>
      </c>
      <c r="M708" s="2" t="s">
        <v>1598</v>
      </c>
      <c r="N708" s="2" t="s">
        <v>126</v>
      </c>
      <c r="O708" s="2" t="s">
        <v>1683</v>
      </c>
      <c r="P708" s="2" t="s">
        <v>1684</v>
      </c>
    </row>
    <row r="709" spans="1:16" ht="15.6" x14ac:dyDescent="0.3">
      <c r="A709" s="4">
        <v>829713</v>
      </c>
      <c r="B709" s="4" t="s">
        <v>56</v>
      </c>
      <c r="C709" s="4" t="s">
        <v>445</v>
      </c>
      <c r="D709" s="4" t="str">
        <f t="shared" si="11"/>
        <v>IPL-2015</v>
      </c>
      <c r="E709" s="4">
        <f>YEAR('IPL Info'!$F709)</f>
        <v>2015</v>
      </c>
      <c r="F709" s="5">
        <v>42105</v>
      </c>
      <c r="G709" s="4" t="s">
        <v>445</v>
      </c>
      <c r="H709" s="4" t="s">
        <v>18</v>
      </c>
      <c r="I709" s="4" t="s">
        <v>19</v>
      </c>
      <c r="J709" s="4" t="s">
        <v>20</v>
      </c>
      <c r="K709" s="4" t="s">
        <v>445</v>
      </c>
      <c r="L709" s="4" t="s">
        <v>941</v>
      </c>
      <c r="M709" s="4" t="s">
        <v>1064</v>
      </c>
      <c r="N709" s="4" t="s">
        <v>98</v>
      </c>
      <c r="O709" s="4" t="s">
        <v>1685</v>
      </c>
      <c r="P709" s="4" t="s">
        <v>1686</v>
      </c>
    </row>
    <row r="710" spans="1:16" ht="15.6" x14ac:dyDescent="0.3">
      <c r="A710" s="2">
        <v>829709</v>
      </c>
      <c r="B710" s="2" t="s">
        <v>925</v>
      </c>
      <c r="C710" s="2" t="s">
        <v>77</v>
      </c>
      <c r="D710" s="2" t="str">
        <f t="shared" si="11"/>
        <v>IPL-2015</v>
      </c>
      <c r="E710" s="2">
        <f>YEAR('IPL Info'!$F710)</f>
        <v>2015</v>
      </c>
      <c r="F710" s="3">
        <v>42104</v>
      </c>
      <c r="G710" s="2" t="s">
        <v>925</v>
      </c>
      <c r="H710" s="2" t="s">
        <v>18</v>
      </c>
      <c r="I710" s="2" t="s">
        <v>19</v>
      </c>
      <c r="J710" s="2" t="s">
        <v>20</v>
      </c>
      <c r="K710" s="2" t="s">
        <v>77</v>
      </c>
      <c r="L710" s="2" t="s">
        <v>1687</v>
      </c>
      <c r="M710" s="2" t="s">
        <v>1179</v>
      </c>
      <c r="N710" s="2" t="s">
        <v>635</v>
      </c>
      <c r="O710" s="2" t="s">
        <v>1688</v>
      </c>
      <c r="P710" s="2" t="s">
        <v>1682</v>
      </c>
    </row>
    <row r="711" spans="1:16" ht="15.6" x14ac:dyDescent="0.3">
      <c r="A711" s="4">
        <v>829707</v>
      </c>
      <c r="B711" s="4" t="s">
        <v>51</v>
      </c>
      <c r="C711" s="4" t="s">
        <v>1182</v>
      </c>
      <c r="D711" s="4" t="str">
        <f t="shared" si="11"/>
        <v>IPL-2015</v>
      </c>
      <c r="E711" s="4">
        <f>YEAR('IPL Info'!$F711)</f>
        <v>2015</v>
      </c>
      <c r="F711" s="5">
        <v>42103</v>
      </c>
      <c r="G711" s="4" t="s">
        <v>1182</v>
      </c>
      <c r="H711" s="4" t="s">
        <v>18</v>
      </c>
      <c r="I711" s="4" t="s">
        <v>19</v>
      </c>
      <c r="J711" s="4" t="s">
        <v>20</v>
      </c>
      <c r="K711" s="4" t="s">
        <v>51</v>
      </c>
      <c r="L711" s="4" t="s">
        <v>1486</v>
      </c>
      <c r="M711" s="4" t="s">
        <v>1598</v>
      </c>
      <c r="N711" s="4" t="s">
        <v>126</v>
      </c>
      <c r="O711" s="4" t="s">
        <v>1689</v>
      </c>
      <c r="P711" s="4" t="s">
        <v>1690</v>
      </c>
    </row>
    <row r="712" spans="1:16" ht="15.6" x14ac:dyDescent="0.3">
      <c r="A712" s="2">
        <v>829705</v>
      </c>
      <c r="B712" s="2" t="s">
        <v>56</v>
      </c>
      <c r="C712" s="2" t="s">
        <v>26</v>
      </c>
      <c r="D712" s="2" t="str">
        <f t="shared" si="11"/>
        <v>IPL-2015</v>
      </c>
      <c r="E712" s="2">
        <f>YEAR('IPL Info'!$F712)</f>
        <v>2015</v>
      </c>
      <c r="F712" s="3">
        <v>42102</v>
      </c>
      <c r="G712" s="2" t="s">
        <v>56</v>
      </c>
      <c r="H712" s="2" t="s">
        <v>18</v>
      </c>
      <c r="I712" s="2" t="s">
        <v>19</v>
      </c>
      <c r="J712" s="2" t="s">
        <v>20</v>
      </c>
      <c r="K712" s="2" t="s">
        <v>56</v>
      </c>
      <c r="L712" s="2" t="s">
        <v>1691</v>
      </c>
      <c r="M712" s="2" t="s">
        <v>1064</v>
      </c>
      <c r="N712" s="2" t="s">
        <v>98</v>
      </c>
      <c r="O712" s="2" t="s">
        <v>1692</v>
      </c>
      <c r="P712" s="2" t="s">
        <v>1693</v>
      </c>
    </row>
    <row r="713" spans="1:16" ht="15.6" x14ac:dyDescent="0.3">
      <c r="A713" s="4">
        <v>734049</v>
      </c>
      <c r="B713" s="4" t="s">
        <v>56</v>
      </c>
      <c r="C713" s="4" t="s">
        <v>925</v>
      </c>
      <c r="D713" s="4" t="str">
        <f t="shared" si="11"/>
        <v>IPL-2014</v>
      </c>
      <c r="E713" s="4">
        <f>YEAR('IPL Info'!$F713)</f>
        <v>2014</v>
      </c>
      <c r="F713" s="5">
        <v>41791</v>
      </c>
      <c r="G713" s="4" t="s">
        <v>56</v>
      </c>
      <c r="H713" s="4" t="s">
        <v>18</v>
      </c>
      <c r="I713" s="4" t="s">
        <v>19</v>
      </c>
      <c r="J713" s="4" t="s">
        <v>20</v>
      </c>
      <c r="K713" s="4" t="s">
        <v>56</v>
      </c>
      <c r="L713" s="4" t="s">
        <v>953</v>
      </c>
      <c r="M713" s="4" t="s">
        <v>1301</v>
      </c>
      <c r="N713" s="4" t="s">
        <v>1302</v>
      </c>
      <c r="O713" s="4" t="s">
        <v>1694</v>
      </c>
      <c r="P713" s="4" t="s">
        <v>1695</v>
      </c>
    </row>
    <row r="714" spans="1:16" ht="15.6" x14ac:dyDescent="0.3">
      <c r="A714" s="2">
        <v>734047</v>
      </c>
      <c r="B714" s="2" t="s">
        <v>51</v>
      </c>
      <c r="C714" s="2" t="s">
        <v>925</v>
      </c>
      <c r="D714" s="2" t="str">
        <f t="shared" si="11"/>
        <v>IPL-2014</v>
      </c>
      <c r="E714" s="2">
        <f>YEAR('IPL Info'!$F714)</f>
        <v>2014</v>
      </c>
      <c r="F714" s="3">
        <v>41789</v>
      </c>
      <c r="G714" s="2" t="s">
        <v>51</v>
      </c>
      <c r="H714" s="2" t="s">
        <v>18</v>
      </c>
      <c r="I714" s="2" t="s">
        <v>19</v>
      </c>
      <c r="J714" s="2" t="s">
        <v>20</v>
      </c>
      <c r="K714" s="2" t="s">
        <v>925</v>
      </c>
      <c r="L714" s="2" t="s">
        <v>1696</v>
      </c>
      <c r="M714" s="2" t="s">
        <v>1045</v>
      </c>
      <c r="N714" s="2" t="s">
        <v>74</v>
      </c>
      <c r="O714" s="2" t="s">
        <v>1697</v>
      </c>
      <c r="P714" s="2" t="s">
        <v>1698</v>
      </c>
    </row>
    <row r="715" spans="1:16" ht="15.6" x14ac:dyDescent="0.3">
      <c r="A715" s="4">
        <v>734045</v>
      </c>
      <c r="B715" s="4" t="s">
        <v>51</v>
      </c>
      <c r="C715" s="4" t="s">
        <v>26</v>
      </c>
      <c r="D715" s="4" t="str">
        <f t="shared" si="11"/>
        <v>IPL-2014</v>
      </c>
      <c r="E715" s="4">
        <f>YEAR('IPL Info'!$F715)</f>
        <v>2014</v>
      </c>
      <c r="F715" s="5">
        <v>41787</v>
      </c>
      <c r="G715" s="4" t="s">
        <v>51</v>
      </c>
      <c r="H715" s="4" t="s">
        <v>18</v>
      </c>
      <c r="I715" s="4" t="s">
        <v>19</v>
      </c>
      <c r="J715" s="4" t="s">
        <v>20</v>
      </c>
      <c r="K715" s="4" t="s">
        <v>51</v>
      </c>
      <c r="L715" s="4" t="s">
        <v>1386</v>
      </c>
      <c r="M715" s="4" t="s">
        <v>1583</v>
      </c>
      <c r="N715" s="4" t="s">
        <v>74</v>
      </c>
      <c r="O715" s="4" t="s">
        <v>1699</v>
      </c>
      <c r="P715" s="4" t="s">
        <v>1700</v>
      </c>
    </row>
    <row r="716" spans="1:16" ht="15.6" x14ac:dyDescent="0.3">
      <c r="A716" s="2">
        <v>734043</v>
      </c>
      <c r="B716" s="2" t="s">
        <v>925</v>
      </c>
      <c r="C716" s="2" t="s">
        <v>56</v>
      </c>
      <c r="D716" s="2" t="str">
        <f t="shared" si="11"/>
        <v>IPL-2014</v>
      </c>
      <c r="E716" s="2">
        <f>YEAR('IPL Info'!$F716)</f>
        <v>2014</v>
      </c>
      <c r="F716" s="3">
        <v>41786</v>
      </c>
      <c r="G716" s="2" t="s">
        <v>925</v>
      </c>
      <c r="H716" s="2" t="s">
        <v>18</v>
      </c>
      <c r="I716" s="2" t="s">
        <v>19</v>
      </c>
      <c r="J716" s="2" t="s">
        <v>20</v>
      </c>
      <c r="K716" s="2" t="s">
        <v>56</v>
      </c>
      <c r="L716" s="2" t="s">
        <v>753</v>
      </c>
      <c r="M716" s="2" t="s">
        <v>1064</v>
      </c>
      <c r="N716" s="2" t="s">
        <v>98</v>
      </c>
      <c r="O716" s="2" t="s">
        <v>1701</v>
      </c>
      <c r="P716" s="2" t="s">
        <v>1702</v>
      </c>
    </row>
    <row r="717" spans="1:16" ht="15.6" x14ac:dyDescent="0.3">
      <c r="A717" s="4">
        <v>734041</v>
      </c>
      <c r="B717" s="4" t="s">
        <v>26</v>
      </c>
      <c r="C717" s="4" t="s">
        <v>77</v>
      </c>
      <c r="D717" s="4" t="str">
        <f t="shared" si="11"/>
        <v>IPL-2014</v>
      </c>
      <c r="E717" s="4">
        <f>YEAR('IPL Info'!$F717)</f>
        <v>2014</v>
      </c>
      <c r="F717" s="5">
        <v>41784</v>
      </c>
      <c r="G717" s="4" t="s">
        <v>26</v>
      </c>
      <c r="H717" s="4" t="s">
        <v>18</v>
      </c>
      <c r="I717" s="4" t="s">
        <v>19</v>
      </c>
      <c r="J717" s="4" t="s">
        <v>20</v>
      </c>
      <c r="K717" s="4" t="s">
        <v>26</v>
      </c>
      <c r="L717" s="4" t="s">
        <v>1403</v>
      </c>
      <c r="M717" s="4" t="s">
        <v>1045</v>
      </c>
      <c r="N717" s="4" t="s">
        <v>74</v>
      </c>
      <c r="O717" s="4" t="s">
        <v>1703</v>
      </c>
      <c r="P717" s="4" t="s">
        <v>1704</v>
      </c>
    </row>
    <row r="718" spans="1:16" ht="15.6" x14ac:dyDescent="0.3">
      <c r="A718" s="2">
        <v>734039</v>
      </c>
      <c r="B718" s="2" t="s">
        <v>925</v>
      </c>
      <c r="C718" s="2" t="s">
        <v>1182</v>
      </c>
      <c r="D718" s="2" t="str">
        <f t="shared" si="11"/>
        <v>IPL-2014</v>
      </c>
      <c r="E718" s="2">
        <f>YEAR('IPL Info'!$F718)</f>
        <v>2014</v>
      </c>
      <c r="F718" s="3">
        <v>41784</v>
      </c>
      <c r="G718" s="2" t="s">
        <v>925</v>
      </c>
      <c r="H718" s="2" t="s">
        <v>18</v>
      </c>
      <c r="I718" s="2" t="s">
        <v>19</v>
      </c>
      <c r="J718" s="2" t="s">
        <v>20</v>
      </c>
      <c r="K718" s="2" t="s">
        <v>925</v>
      </c>
      <c r="L718" s="2" t="s">
        <v>1543</v>
      </c>
      <c r="M718" s="2" t="s">
        <v>1580</v>
      </c>
      <c r="N718" s="2" t="s">
        <v>502</v>
      </c>
      <c r="O718" s="2" t="s">
        <v>1705</v>
      </c>
      <c r="P718" s="2" t="s">
        <v>1706</v>
      </c>
    </row>
    <row r="719" spans="1:16" ht="15.6" x14ac:dyDescent="0.3">
      <c r="A719" s="4">
        <v>734037</v>
      </c>
      <c r="B719" s="4" t="s">
        <v>56</v>
      </c>
      <c r="C719" s="4" t="s">
        <v>55</v>
      </c>
      <c r="D719" s="4" t="str">
        <f t="shared" si="11"/>
        <v>IPL-2014</v>
      </c>
      <c r="E719" s="4">
        <f>YEAR('IPL Info'!$F719)</f>
        <v>2014</v>
      </c>
      <c r="F719" s="5">
        <v>41783</v>
      </c>
      <c r="G719" s="4" t="s">
        <v>56</v>
      </c>
      <c r="H719" s="4" t="s">
        <v>18</v>
      </c>
      <c r="I719" s="4" t="s">
        <v>19</v>
      </c>
      <c r="J719" s="4" t="s">
        <v>20</v>
      </c>
      <c r="K719" s="4" t="s">
        <v>56</v>
      </c>
      <c r="L719" s="4" t="s">
        <v>1445</v>
      </c>
      <c r="M719" s="4" t="s">
        <v>1064</v>
      </c>
      <c r="N719" s="4" t="s">
        <v>98</v>
      </c>
      <c r="O719" s="4" t="s">
        <v>1707</v>
      </c>
      <c r="P719" s="4" t="s">
        <v>1708</v>
      </c>
    </row>
    <row r="720" spans="1:16" ht="15.6" x14ac:dyDescent="0.3">
      <c r="A720" s="2">
        <v>734035</v>
      </c>
      <c r="B720" s="2" t="s">
        <v>445</v>
      </c>
      <c r="C720" s="2" t="s">
        <v>51</v>
      </c>
      <c r="D720" s="2" t="str">
        <f t="shared" si="11"/>
        <v>IPL-2014</v>
      </c>
      <c r="E720" s="2">
        <f>YEAR('IPL Info'!$F720)</f>
        <v>2014</v>
      </c>
      <c r="F720" s="3">
        <v>41783</v>
      </c>
      <c r="G720" s="2" t="s">
        <v>51</v>
      </c>
      <c r="H720" s="2" t="s">
        <v>18</v>
      </c>
      <c r="I720" s="2" t="s">
        <v>19</v>
      </c>
      <c r="J720" s="2" t="s">
        <v>20</v>
      </c>
      <c r="K720" s="2" t="s">
        <v>51</v>
      </c>
      <c r="L720" s="2" t="s">
        <v>180</v>
      </c>
      <c r="M720" s="2" t="s">
        <v>1301</v>
      </c>
      <c r="N720" s="2" t="s">
        <v>1302</v>
      </c>
      <c r="O720" s="2" t="s">
        <v>1709</v>
      </c>
      <c r="P720" s="2" t="s">
        <v>1710</v>
      </c>
    </row>
    <row r="721" spans="1:16" ht="15.6" x14ac:dyDescent="0.3">
      <c r="A721" s="4">
        <v>734031</v>
      </c>
      <c r="B721" s="4" t="s">
        <v>26</v>
      </c>
      <c r="C721" s="4" t="s">
        <v>1182</v>
      </c>
      <c r="D721" s="4" t="str">
        <f t="shared" si="11"/>
        <v>IPL-2014</v>
      </c>
      <c r="E721" s="4">
        <f>YEAR('IPL Info'!$F721)</f>
        <v>2014</v>
      </c>
      <c r="F721" s="5">
        <v>41782</v>
      </c>
      <c r="G721" s="4" t="s">
        <v>1182</v>
      </c>
      <c r="H721" s="4" t="s">
        <v>18</v>
      </c>
      <c r="I721" s="4" t="s">
        <v>19</v>
      </c>
      <c r="J721" s="4" t="s">
        <v>20</v>
      </c>
      <c r="K721" s="4" t="s">
        <v>26</v>
      </c>
      <c r="L721" s="4" t="s">
        <v>1711</v>
      </c>
      <c r="M721" s="4" t="s">
        <v>1045</v>
      </c>
      <c r="N721" s="4" t="s">
        <v>74</v>
      </c>
      <c r="O721" s="4" t="s">
        <v>1712</v>
      </c>
      <c r="P721" s="4" t="s">
        <v>1713</v>
      </c>
    </row>
    <row r="722" spans="1:16" ht="15.6" x14ac:dyDescent="0.3">
      <c r="A722" s="2">
        <v>734033</v>
      </c>
      <c r="B722" s="2" t="s">
        <v>925</v>
      </c>
      <c r="C722" s="2" t="s">
        <v>77</v>
      </c>
      <c r="D722" s="2" t="str">
        <f t="shared" si="11"/>
        <v>IPL-2014</v>
      </c>
      <c r="E722" s="2">
        <f>YEAR('IPL Info'!$F722)</f>
        <v>2014</v>
      </c>
      <c r="F722" s="3">
        <v>41782</v>
      </c>
      <c r="G722" s="2" t="s">
        <v>77</v>
      </c>
      <c r="H722" s="2" t="s">
        <v>18</v>
      </c>
      <c r="I722" s="2" t="s">
        <v>19</v>
      </c>
      <c r="J722" s="2" t="s">
        <v>20</v>
      </c>
      <c r="K722" s="2" t="s">
        <v>925</v>
      </c>
      <c r="L722" s="2" t="s">
        <v>1656</v>
      </c>
      <c r="M722" s="2" t="s">
        <v>1580</v>
      </c>
      <c r="N722" s="2" t="s">
        <v>502</v>
      </c>
      <c r="O722" s="2" t="s">
        <v>1714</v>
      </c>
      <c r="P722" s="2" t="s">
        <v>1715</v>
      </c>
    </row>
    <row r="723" spans="1:16" ht="15.6" x14ac:dyDescent="0.3">
      <c r="A723" s="4">
        <v>734027</v>
      </c>
      <c r="B723" s="4" t="s">
        <v>56</v>
      </c>
      <c r="C723" s="4" t="s">
        <v>445</v>
      </c>
      <c r="D723" s="4" t="str">
        <f t="shared" si="11"/>
        <v>IPL-2014</v>
      </c>
      <c r="E723" s="4">
        <f>YEAR('IPL Info'!$F723)</f>
        <v>2014</v>
      </c>
      <c r="F723" s="5">
        <v>41781</v>
      </c>
      <c r="G723" s="4" t="s">
        <v>445</v>
      </c>
      <c r="H723" s="4" t="s">
        <v>18</v>
      </c>
      <c r="I723" s="4" t="s">
        <v>19</v>
      </c>
      <c r="J723" s="4" t="s">
        <v>20</v>
      </c>
      <c r="K723" s="4" t="s">
        <v>56</v>
      </c>
      <c r="L723" s="4" t="s">
        <v>1372</v>
      </c>
      <c r="M723" s="4" t="s">
        <v>1064</v>
      </c>
      <c r="N723" s="4" t="s">
        <v>98</v>
      </c>
      <c r="O723" s="4" t="s">
        <v>1716</v>
      </c>
      <c r="P723" s="4" t="s">
        <v>1717</v>
      </c>
    </row>
    <row r="724" spans="1:16" ht="15.6" x14ac:dyDescent="0.3">
      <c r="A724" s="2">
        <v>734029</v>
      </c>
      <c r="B724" s="2" t="s">
        <v>51</v>
      </c>
      <c r="C724" s="2" t="s">
        <v>55</v>
      </c>
      <c r="D724" s="2" t="str">
        <f t="shared" si="11"/>
        <v>IPL-2014</v>
      </c>
      <c r="E724" s="2">
        <f>YEAR('IPL Info'!$F724)</f>
        <v>2014</v>
      </c>
      <c r="F724" s="3">
        <v>41781</v>
      </c>
      <c r="G724" s="2" t="s">
        <v>55</v>
      </c>
      <c r="H724" s="2" t="s">
        <v>18</v>
      </c>
      <c r="I724" s="2" t="s">
        <v>19</v>
      </c>
      <c r="J724" s="2" t="s">
        <v>20</v>
      </c>
      <c r="K724" s="2" t="s">
        <v>55</v>
      </c>
      <c r="L724" s="2" t="s">
        <v>658</v>
      </c>
      <c r="M724" s="2" t="s">
        <v>1567</v>
      </c>
      <c r="N724" s="2" t="s">
        <v>1568</v>
      </c>
      <c r="O724" s="2" t="s">
        <v>1718</v>
      </c>
      <c r="P724" s="2" t="s">
        <v>1719</v>
      </c>
    </row>
    <row r="725" spans="1:16" ht="15.6" x14ac:dyDescent="0.3">
      <c r="A725" s="4">
        <v>734025</v>
      </c>
      <c r="B725" s="4" t="s">
        <v>925</v>
      </c>
      <c r="C725" s="4" t="s">
        <v>26</v>
      </c>
      <c r="D725" s="4" t="str">
        <f t="shared" si="11"/>
        <v>IPL-2014</v>
      </c>
      <c r="E725" s="4">
        <f>YEAR('IPL Info'!$F725)</f>
        <v>2014</v>
      </c>
      <c r="F725" s="5">
        <v>41780</v>
      </c>
      <c r="G725" s="4" t="s">
        <v>26</v>
      </c>
      <c r="H725" s="4" t="s">
        <v>18</v>
      </c>
      <c r="I725" s="4" t="s">
        <v>19</v>
      </c>
      <c r="J725" s="4" t="s">
        <v>20</v>
      </c>
      <c r="K725" s="4" t="s">
        <v>26</v>
      </c>
      <c r="L725" s="4" t="s">
        <v>1339</v>
      </c>
      <c r="M725" s="4" t="s">
        <v>1580</v>
      </c>
      <c r="N725" s="4" t="s">
        <v>502</v>
      </c>
      <c r="O725" s="4" t="s">
        <v>1720</v>
      </c>
      <c r="P725" s="4" t="s">
        <v>1721</v>
      </c>
    </row>
    <row r="726" spans="1:16" ht="15.6" x14ac:dyDescent="0.3">
      <c r="A726" s="2">
        <v>734023</v>
      </c>
      <c r="B726" s="2" t="s">
        <v>56</v>
      </c>
      <c r="C726" s="2" t="s">
        <v>51</v>
      </c>
      <c r="D726" s="2" t="str">
        <f t="shared" si="11"/>
        <v>IPL-2014</v>
      </c>
      <c r="E726" s="2">
        <f>YEAR('IPL Info'!$F726)</f>
        <v>2014</v>
      </c>
      <c r="F726" s="3">
        <v>41779</v>
      </c>
      <c r="G726" s="2" t="s">
        <v>56</v>
      </c>
      <c r="H726" s="2" t="s">
        <v>18</v>
      </c>
      <c r="I726" s="2" t="s">
        <v>19</v>
      </c>
      <c r="J726" s="2" t="s">
        <v>20</v>
      </c>
      <c r="K726" s="2" t="s">
        <v>56</v>
      </c>
      <c r="L726" s="2" t="s">
        <v>1372</v>
      </c>
      <c r="M726" s="2" t="s">
        <v>1064</v>
      </c>
      <c r="N726" s="2" t="s">
        <v>98</v>
      </c>
      <c r="O726" s="2" t="s">
        <v>1722</v>
      </c>
      <c r="P726" s="2" t="s">
        <v>1723</v>
      </c>
    </row>
    <row r="727" spans="1:16" ht="15.6" x14ac:dyDescent="0.3">
      <c r="A727" s="4">
        <v>734021</v>
      </c>
      <c r="B727" s="4" t="s">
        <v>55</v>
      </c>
      <c r="C727" s="4" t="s">
        <v>445</v>
      </c>
      <c r="D727" s="4" t="str">
        <f t="shared" si="11"/>
        <v>IPL-2014</v>
      </c>
      <c r="E727" s="4">
        <f>YEAR('IPL Info'!$F727)</f>
        <v>2014</v>
      </c>
      <c r="F727" s="5">
        <v>41779</v>
      </c>
      <c r="G727" s="4" t="s">
        <v>445</v>
      </c>
      <c r="H727" s="4" t="s">
        <v>31</v>
      </c>
      <c r="I727" s="4" t="s">
        <v>19</v>
      </c>
      <c r="J727" s="4" t="s">
        <v>20</v>
      </c>
      <c r="K727" s="4" t="s">
        <v>55</v>
      </c>
      <c r="L727" s="4" t="s">
        <v>658</v>
      </c>
      <c r="M727" s="4" t="s">
        <v>1298</v>
      </c>
      <c r="N727" s="4" t="s">
        <v>105</v>
      </c>
      <c r="O727" s="4" t="s">
        <v>1724</v>
      </c>
      <c r="P727" s="4" t="s">
        <v>1725</v>
      </c>
    </row>
    <row r="728" spans="1:16" ht="15.6" x14ac:dyDescent="0.3">
      <c r="A728" s="2">
        <v>734017</v>
      </c>
      <c r="B728" s="2" t="s">
        <v>77</v>
      </c>
      <c r="C728" s="2" t="s">
        <v>26</v>
      </c>
      <c r="D728" s="2" t="str">
        <f t="shared" si="11"/>
        <v>IPL-2014</v>
      </c>
      <c r="E728" s="2">
        <f>YEAR('IPL Info'!$F728)</f>
        <v>2014</v>
      </c>
      <c r="F728" s="3">
        <v>41778</v>
      </c>
      <c r="G728" s="2" t="s">
        <v>26</v>
      </c>
      <c r="H728" s="2" t="s">
        <v>31</v>
      </c>
      <c r="I728" s="2" t="s">
        <v>19</v>
      </c>
      <c r="J728" s="2" t="s">
        <v>20</v>
      </c>
      <c r="K728" s="2" t="s">
        <v>26</v>
      </c>
      <c r="L728" s="2" t="s">
        <v>1711</v>
      </c>
      <c r="M728" s="2" t="s">
        <v>1647</v>
      </c>
      <c r="N728" s="2" t="s">
        <v>23</v>
      </c>
      <c r="O728" s="2" t="s">
        <v>1726</v>
      </c>
      <c r="P728" s="2" t="s">
        <v>1727</v>
      </c>
    </row>
    <row r="729" spans="1:16" ht="15.6" x14ac:dyDescent="0.3">
      <c r="A729" s="4">
        <v>734019</v>
      </c>
      <c r="B729" s="4" t="s">
        <v>1182</v>
      </c>
      <c r="C729" s="4" t="s">
        <v>925</v>
      </c>
      <c r="D729" s="4" t="str">
        <f t="shared" si="11"/>
        <v>IPL-2014</v>
      </c>
      <c r="E729" s="4">
        <f>YEAR('IPL Info'!$F729)</f>
        <v>2014</v>
      </c>
      <c r="F729" s="5">
        <v>41778</v>
      </c>
      <c r="G729" s="4" t="s">
        <v>925</v>
      </c>
      <c r="H729" s="4" t="s">
        <v>18</v>
      </c>
      <c r="I729" s="4" t="s">
        <v>19</v>
      </c>
      <c r="J729" s="4" t="s">
        <v>20</v>
      </c>
      <c r="K729" s="4" t="s">
        <v>925</v>
      </c>
      <c r="L729" s="4" t="s">
        <v>527</v>
      </c>
      <c r="M729" s="4" t="s">
        <v>1310</v>
      </c>
      <c r="N729" s="4" t="s">
        <v>59</v>
      </c>
      <c r="O729" s="4" t="s">
        <v>1728</v>
      </c>
      <c r="P729" s="4" t="s">
        <v>1729</v>
      </c>
    </row>
    <row r="730" spans="1:16" ht="15.6" x14ac:dyDescent="0.3">
      <c r="A730" s="2">
        <v>734013</v>
      </c>
      <c r="B730" s="2" t="s">
        <v>51</v>
      </c>
      <c r="C730" s="2" t="s">
        <v>445</v>
      </c>
      <c r="D730" s="2" t="str">
        <f t="shared" si="11"/>
        <v>IPL-2014</v>
      </c>
      <c r="E730" s="2">
        <f>YEAR('IPL Info'!$F730)</f>
        <v>2014</v>
      </c>
      <c r="F730" s="3">
        <v>41777</v>
      </c>
      <c r="G730" s="2" t="s">
        <v>51</v>
      </c>
      <c r="H730" s="2" t="s">
        <v>31</v>
      </c>
      <c r="I730" s="2" t="s">
        <v>19</v>
      </c>
      <c r="J730" s="2" t="s">
        <v>20</v>
      </c>
      <c r="K730" s="2" t="s">
        <v>445</v>
      </c>
      <c r="L730" s="2" t="s">
        <v>861</v>
      </c>
      <c r="M730" s="2" t="s">
        <v>1567</v>
      </c>
      <c r="N730" s="2" t="s">
        <v>1568</v>
      </c>
      <c r="O730" s="2" t="s">
        <v>1730</v>
      </c>
      <c r="P730" s="2" t="s">
        <v>1731</v>
      </c>
    </row>
    <row r="731" spans="1:16" ht="15.6" x14ac:dyDescent="0.3">
      <c r="A731" s="4">
        <v>734015</v>
      </c>
      <c r="B731" s="4" t="s">
        <v>55</v>
      </c>
      <c r="C731" s="4" t="s">
        <v>56</v>
      </c>
      <c r="D731" s="4" t="str">
        <f t="shared" si="11"/>
        <v>IPL-2014</v>
      </c>
      <c r="E731" s="4">
        <f>YEAR('IPL Info'!$F731)</f>
        <v>2014</v>
      </c>
      <c r="F731" s="5">
        <v>41777</v>
      </c>
      <c r="G731" s="4" t="s">
        <v>55</v>
      </c>
      <c r="H731" s="4" t="s">
        <v>31</v>
      </c>
      <c r="I731" s="4" t="s">
        <v>19</v>
      </c>
      <c r="J731" s="4" t="s">
        <v>20</v>
      </c>
      <c r="K731" s="4" t="s">
        <v>56</v>
      </c>
      <c r="L731" s="4" t="s">
        <v>753</v>
      </c>
      <c r="M731" s="4" t="s">
        <v>1298</v>
      </c>
      <c r="N731" s="4" t="s">
        <v>105</v>
      </c>
      <c r="O731" s="4" t="s">
        <v>1732</v>
      </c>
      <c r="P731" s="4" t="s">
        <v>1733</v>
      </c>
    </row>
    <row r="732" spans="1:16" ht="15.6" x14ac:dyDescent="0.3">
      <c r="A732" s="2">
        <v>734011</v>
      </c>
      <c r="B732" s="2" t="s">
        <v>77</v>
      </c>
      <c r="C732" s="2" t="s">
        <v>1182</v>
      </c>
      <c r="D732" s="2" t="str">
        <f t="shared" si="11"/>
        <v>IPL-2014</v>
      </c>
      <c r="E732" s="2">
        <f>YEAR('IPL Info'!$F732)</f>
        <v>2014</v>
      </c>
      <c r="F732" s="3">
        <v>41774</v>
      </c>
      <c r="G732" s="2" t="s">
        <v>1182</v>
      </c>
      <c r="H732" s="2" t="s">
        <v>18</v>
      </c>
      <c r="I732" s="2" t="s">
        <v>19</v>
      </c>
      <c r="J732" s="2" t="s">
        <v>20</v>
      </c>
      <c r="K732" s="2" t="s">
        <v>77</v>
      </c>
      <c r="L732" s="2" t="s">
        <v>530</v>
      </c>
      <c r="M732" s="2" t="s">
        <v>1647</v>
      </c>
      <c r="N732" s="2" t="s">
        <v>23</v>
      </c>
      <c r="O732" s="2" t="s">
        <v>1734</v>
      </c>
      <c r="P732" s="2" t="s">
        <v>1735</v>
      </c>
    </row>
    <row r="733" spans="1:16" ht="15.6" x14ac:dyDescent="0.3">
      <c r="A733" s="4">
        <v>734009</v>
      </c>
      <c r="B733" s="4" t="s">
        <v>56</v>
      </c>
      <c r="C733" s="4" t="s">
        <v>26</v>
      </c>
      <c r="D733" s="4" t="str">
        <f t="shared" si="11"/>
        <v>IPL-2014</v>
      </c>
      <c r="E733" s="4">
        <f>YEAR('IPL Info'!$F733)</f>
        <v>2014</v>
      </c>
      <c r="F733" s="5">
        <v>41773</v>
      </c>
      <c r="G733" s="4" t="s">
        <v>56</v>
      </c>
      <c r="H733" s="4" t="s">
        <v>18</v>
      </c>
      <c r="I733" s="4" t="s">
        <v>19</v>
      </c>
      <c r="J733" s="4" t="s">
        <v>20</v>
      </c>
      <c r="K733" s="4" t="s">
        <v>56</v>
      </c>
      <c r="L733" s="4" t="s">
        <v>1372</v>
      </c>
      <c r="M733" s="4" t="s">
        <v>1736</v>
      </c>
      <c r="N733" s="4" t="s">
        <v>1737</v>
      </c>
      <c r="O733" s="4" t="s">
        <v>1738</v>
      </c>
      <c r="P733" s="4" t="s">
        <v>1739</v>
      </c>
    </row>
    <row r="734" spans="1:16" ht="15.6" x14ac:dyDescent="0.3">
      <c r="A734" s="2">
        <v>734007</v>
      </c>
      <c r="B734" s="2" t="s">
        <v>55</v>
      </c>
      <c r="C734" s="2" t="s">
        <v>925</v>
      </c>
      <c r="D734" s="2" t="str">
        <f t="shared" si="11"/>
        <v>IPL-2014</v>
      </c>
      <c r="E734" s="2">
        <f>YEAR('IPL Info'!$F734)</f>
        <v>2014</v>
      </c>
      <c r="F734" s="3">
        <v>41773</v>
      </c>
      <c r="G734" s="2" t="s">
        <v>925</v>
      </c>
      <c r="H734" s="2" t="s">
        <v>18</v>
      </c>
      <c r="I734" s="2" t="s">
        <v>19</v>
      </c>
      <c r="J734" s="2" t="s">
        <v>20</v>
      </c>
      <c r="K734" s="2" t="s">
        <v>925</v>
      </c>
      <c r="L734" s="2" t="s">
        <v>632</v>
      </c>
      <c r="M734" s="2" t="s">
        <v>1298</v>
      </c>
      <c r="N734" s="2" t="s">
        <v>105</v>
      </c>
      <c r="O734" s="2" t="s">
        <v>1740</v>
      </c>
      <c r="P734" s="2" t="s">
        <v>1741</v>
      </c>
    </row>
    <row r="735" spans="1:16" ht="15.6" x14ac:dyDescent="0.3">
      <c r="A735" s="4">
        <v>734003</v>
      </c>
      <c r="B735" s="4" t="s">
        <v>51</v>
      </c>
      <c r="C735" s="4" t="s">
        <v>77</v>
      </c>
      <c r="D735" s="4" t="str">
        <f t="shared" si="11"/>
        <v>IPL-2014</v>
      </c>
      <c r="E735" s="4">
        <f>YEAR('IPL Info'!$F735)</f>
        <v>2014</v>
      </c>
      <c r="F735" s="5">
        <v>41772</v>
      </c>
      <c r="G735" s="4" t="s">
        <v>77</v>
      </c>
      <c r="H735" s="4" t="s">
        <v>31</v>
      </c>
      <c r="I735" s="4" t="s">
        <v>19</v>
      </c>
      <c r="J735" s="4" t="s">
        <v>20</v>
      </c>
      <c r="K735" s="4" t="s">
        <v>51</v>
      </c>
      <c r="L735" s="4" t="s">
        <v>305</v>
      </c>
      <c r="M735" s="4" t="s">
        <v>1567</v>
      </c>
      <c r="N735" s="4" t="s">
        <v>1568</v>
      </c>
      <c r="O735" s="4" t="s">
        <v>1742</v>
      </c>
      <c r="P735" s="4" t="s">
        <v>1743</v>
      </c>
    </row>
    <row r="736" spans="1:16" ht="15.6" x14ac:dyDescent="0.3">
      <c r="A736" s="2">
        <v>734005</v>
      </c>
      <c r="B736" s="2" t="s">
        <v>445</v>
      </c>
      <c r="C736" s="2" t="s">
        <v>1182</v>
      </c>
      <c r="D736" s="2" t="str">
        <f t="shared" si="11"/>
        <v>IPL-2014</v>
      </c>
      <c r="E736" s="2">
        <f>YEAR('IPL Info'!$F736)</f>
        <v>2014</v>
      </c>
      <c r="F736" s="3">
        <v>41772</v>
      </c>
      <c r="G736" s="2" t="s">
        <v>1182</v>
      </c>
      <c r="H736" s="2" t="s">
        <v>18</v>
      </c>
      <c r="I736" s="2" t="s">
        <v>19</v>
      </c>
      <c r="J736" s="2" t="s">
        <v>20</v>
      </c>
      <c r="K736" s="2" t="s">
        <v>445</v>
      </c>
      <c r="L736" s="2" t="s">
        <v>1433</v>
      </c>
      <c r="M736" s="2" t="s">
        <v>1301</v>
      </c>
      <c r="N736" s="2" t="s">
        <v>1302</v>
      </c>
      <c r="O736" s="2" t="s">
        <v>1744</v>
      </c>
      <c r="P736" s="2" t="s">
        <v>1745</v>
      </c>
    </row>
    <row r="737" spans="1:16" ht="15.6" x14ac:dyDescent="0.3">
      <c r="A737" s="4">
        <v>734001</v>
      </c>
      <c r="B737" s="4" t="s">
        <v>55</v>
      </c>
      <c r="C737" s="4" t="s">
        <v>26</v>
      </c>
      <c r="D737" s="4" t="str">
        <f t="shared" si="11"/>
        <v>IPL-2014</v>
      </c>
      <c r="E737" s="4">
        <f>YEAR('IPL Info'!$F737)</f>
        <v>2014</v>
      </c>
      <c r="F737" s="5">
        <v>41771</v>
      </c>
      <c r="G737" s="4" t="s">
        <v>55</v>
      </c>
      <c r="H737" s="4" t="s">
        <v>31</v>
      </c>
      <c r="I737" s="4" t="s">
        <v>19</v>
      </c>
      <c r="J737" s="4" t="s">
        <v>20</v>
      </c>
      <c r="K737" s="4" t="s">
        <v>26</v>
      </c>
      <c r="L737" s="4" t="s">
        <v>1028</v>
      </c>
      <c r="M737" s="4" t="s">
        <v>1298</v>
      </c>
      <c r="N737" s="4" t="s">
        <v>105</v>
      </c>
      <c r="O737" s="4" t="s">
        <v>1746</v>
      </c>
      <c r="P737" s="4" t="s">
        <v>1747</v>
      </c>
    </row>
    <row r="738" spans="1:16" ht="15.6" x14ac:dyDescent="0.3">
      <c r="A738" s="2">
        <v>733997</v>
      </c>
      <c r="B738" s="2" t="s">
        <v>925</v>
      </c>
      <c r="C738" s="2" t="s">
        <v>56</v>
      </c>
      <c r="D738" s="2" t="str">
        <f t="shared" si="11"/>
        <v>IPL-2014</v>
      </c>
      <c r="E738" s="2">
        <f>YEAR('IPL Info'!$F738)</f>
        <v>2014</v>
      </c>
      <c r="F738" s="3">
        <v>41770</v>
      </c>
      <c r="G738" s="2" t="s">
        <v>56</v>
      </c>
      <c r="H738" s="2" t="s">
        <v>18</v>
      </c>
      <c r="I738" s="2" t="s">
        <v>19</v>
      </c>
      <c r="J738" s="2" t="s">
        <v>20</v>
      </c>
      <c r="K738" s="2" t="s">
        <v>56</v>
      </c>
      <c r="L738" s="2" t="s">
        <v>1364</v>
      </c>
      <c r="M738" s="2" t="s">
        <v>1736</v>
      </c>
      <c r="N738" s="2" t="s">
        <v>1737</v>
      </c>
      <c r="O738" s="2" t="s">
        <v>1748</v>
      </c>
      <c r="P738" s="2" t="s">
        <v>1749</v>
      </c>
    </row>
    <row r="739" spans="1:16" ht="15.6" x14ac:dyDescent="0.3">
      <c r="A739" s="4">
        <v>733999</v>
      </c>
      <c r="B739" s="4" t="s">
        <v>445</v>
      </c>
      <c r="C739" s="4" t="s">
        <v>77</v>
      </c>
      <c r="D739" s="4" t="str">
        <f t="shared" si="11"/>
        <v>IPL-2014</v>
      </c>
      <c r="E739" s="4">
        <f>YEAR('IPL Info'!$F739)</f>
        <v>2014</v>
      </c>
      <c r="F739" s="5">
        <v>41770</v>
      </c>
      <c r="G739" s="4" t="s">
        <v>445</v>
      </c>
      <c r="H739" s="4" t="s">
        <v>31</v>
      </c>
      <c r="I739" s="4" t="s">
        <v>19</v>
      </c>
      <c r="J739" s="4" t="s">
        <v>20</v>
      </c>
      <c r="K739" s="4" t="s">
        <v>77</v>
      </c>
      <c r="L739" s="4" t="s">
        <v>1687</v>
      </c>
      <c r="M739" s="4" t="s">
        <v>1301</v>
      </c>
      <c r="N739" s="4" t="s">
        <v>1302</v>
      </c>
      <c r="O739" s="4" t="s">
        <v>1750</v>
      </c>
      <c r="P739" s="4" t="s">
        <v>1751</v>
      </c>
    </row>
    <row r="740" spans="1:16" ht="15.6" x14ac:dyDescent="0.3">
      <c r="A740" s="2">
        <v>733995</v>
      </c>
      <c r="B740" s="2" t="s">
        <v>26</v>
      </c>
      <c r="C740" s="2" t="s">
        <v>51</v>
      </c>
      <c r="D740" s="2" t="str">
        <f t="shared" si="11"/>
        <v>IPL-2014</v>
      </c>
      <c r="E740" s="2">
        <f>YEAR('IPL Info'!$F740)</f>
        <v>2014</v>
      </c>
      <c r="F740" s="3">
        <v>41769</v>
      </c>
      <c r="G740" s="2" t="s">
        <v>51</v>
      </c>
      <c r="H740" s="2" t="s">
        <v>18</v>
      </c>
      <c r="I740" s="2" t="s">
        <v>19</v>
      </c>
      <c r="J740" s="2" t="s">
        <v>20</v>
      </c>
      <c r="K740" s="2" t="s">
        <v>51</v>
      </c>
      <c r="L740" s="2" t="s">
        <v>1333</v>
      </c>
      <c r="M740" s="2" t="s">
        <v>1045</v>
      </c>
      <c r="N740" s="2" t="s">
        <v>74</v>
      </c>
      <c r="O740" s="2" t="s">
        <v>1752</v>
      </c>
      <c r="P740" s="2" t="s">
        <v>1753</v>
      </c>
    </row>
    <row r="741" spans="1:16" ht="15.6" x14ac:dyDescent="0.3">
      <c r="A741" s="4">
        <v>733993</v>
      </c>
      <c r="B741" s="4" t="s">
        <v>1182</v>
      </c>
      <c r="C741" s="4" t="s">
        <v>55</v>
      </c>
      <c r="D741" s="4" t="str">
        <f t="shared" si="11"/>
        <v>IPL-2014</v>
      </c>
      <c r="E741" s="4">
        <f>YEAR('IPL Info'!$F741)</f>
        <v>2014</v>
      </c>
      <c r="F741" s="5">
        <v>41769</v>
      </c>
      <c r="G741" s="4" t="s">
        <v>55</v>
      </c>
      <c r="H741" s="4" t="s">
        <v>18</v>
      </c>
      <c r="I741" s="4" t="s">
        <v>19</v>
      </c>
      <c r="J741" s="4" t="s">
        <v>20</v>
      </c>
      <c r="K741" s="4" t="s">
        <v>55</v>
      </c>
      <c r="L741" s="4" t="s">
        <v>1754</v>
      </c>
      <c r="M741" s="4" t="s">
        <v>1310</v>
      </c>
      <c r="N741" s="4" t="s">
        <v>59</v>
      </c>
      <c r="O741" s="4" t="s">
        <v>1755</v>
      </c>
      <c r="P741" s="4" t="s">
        <v>1756</v>
      </c>
    </row>
    <row r="742" spans="1:16" ht="15.6" x14ac:dyDescent="0.3">
      <c r="A742" s="2">
        <v>733991</v>
      </c>
      <c r="B742" s="2" t="s">
        <v>445</v>
      </c>
      <c r="C742" s="2" t="s">
        <v>925</v>
      </c>
      <c r="D742" s="2" t="str">
        <f t="shared" si="11"/>
        <v>IPL-2014</v>
      </c>
      <c r="E742" s="2">
        <f>YEAR('IPL Info'!$F742)</f>
        <v>2014</v>
      </c>
      <c r="F742" s="3">
        <v>41768</v>
      </c>
      <c r="G742" s="2" t="s">
        <v>445</v>
      </c>
      <c r="H742" s="2" t="s">
        <v>18</v>
      </c>
      <c r="I742" s="2" t="s">
        <v>19</v>
      </c>
      <c r="J742" s="2" t="s">
        <v>20</v>
      </c>
      <c r="K742" s="2" t="s">
        <v>925</v>
      </c>
      <c r="L742" s="2" t="s">
        <v>344</v>
      </c>
      <c r="M742" s="2" t="s">
        <v>1301</v>
      </c>
      <c r="N742" s="2" t="s">
        <v>1302</v>
      </c>
      <c r="O742" s="2" t="s">
        <v>1757</v>
      </c>
      <c r="P742" s="2" t="s">
        <v>1758</v>
      </c>
    </row>
    <row r="743" spans="1:16" ht="15.6" x14ac:dyDescent="0.3">
      <c r="A743" s="4">
        <v>733989</v>
      </c>
      <c r="B743" s="4" t="s">
        <v>77</v>
      </c>
      <c r="C743" s="4" t="s">
        <v>55</v>
      </c>
      <c r="D743" s="4" t="str">
        <f t="shared" ref="D743:D806" si="12">_xlfn.SINGLE(_xlfn.CONCAT("IPL-",E743))</f>
        <v>IPL-2014</v>
      </c>
      <c r="E743" s="4">
        <f>YEAR('IPL Info'!$F743)</f>
        <v>2014</v>
      </c>
      <c r="F743" s="5">
        <v>41767</v>
      </c>
      <c r="G743" s="4" t="s">
        <v>77</v>
      </c>
      <c r="H743" s="4" t="s">
        <v>18</v>
      </c>
      <c r="I743" s="4" t="s">
        <v>19</v>
      </c>
      <c r="J743" s="4" t="s">
        <v>20</v>
      </c>
      <c r="K743" s="4" t="s">
        <v>55</v>
      </c>
      <c r="L743" s="4" t="s">
        <v>313</v>
      </c>
      <c r="M743" s="4" t="s">
        <v>1647</v>
      </c>
      <c r="N743" s="4" t="s">
        <v>23</v>
      </c>
      <c r="O743" s="4" t="s">
        <v>1759</v>
      </c>
      <c r="P743" s="4" t="s">
        <v>1760</v>
      </c>
    </row>
    <row r="744" spans="1:16" ht="15.6" x14ac:dyDescent="0.3">
      <c r="A744" s="2">
        <v>733987</v>
      </c>
      <c r="B744" s="2" t="s">
        <v>925</v>
      </c>
      <c r="C744" s="2" t="s">
        <v>51</v>
      </c>
      <c r="D744" s="2" t="str">
        <f t="shared" si="12"/>
        <v>IPL-2014</v>
      </c>
      <c r="E744" s="2">
        <f>YEAR('IPL Info'!$F744)</f>
        <v>2014</v>
      </c>
      <c r="F744" s="3">
        <v>41766</v>
      </c>
      <c r="G744" s="2" t="s">
        <v>51</v>
      </c>
      <c r="H744" s="2" t="s">
        <v>18</v>
      </c>
      <c r="I744" s="2" t="s">
        <v>19</v>
      </c>
      <c r="J744" s="2" t="s">
        <v>20</v>
      </c>
      <c r="K744" s="2" t="s">
        <v>925</v>
      </c>
      <c r="L744" s="2" t="s">
        <v>533</v>
      </c>
      <c r="M744" s="2" t="s">
        <v>1736</v>
      </c>
      <c r="N744" s="2" t="s">
        <v>1737</v>
      </c>
      <c r="O744" s="2" t="s">
        <v>1761</v>
      </c>
      <c r="P744" s="2" t="s">
        <v>1762</v>
      </c>
    </row>
    <row r="745" spans="1:16" ht="15.6" x14ac:dyDescent="0.3">
      <c r="A745" s="4">
        <v>733985</v>
      </c>
      <c r="B745" s="4" t="s">
        <v>1182</v>
      </c>
      <c r="C745" s="4" t="s">
        <v>56</v>
      </c>
      <c r="D745" s="4" t="str">
        <f t="shared" si="12"/>
        <v>IPL-2014</v>
      </c>
      <c r="E745" s="4">
        <f>YEAR('IPL Info'!$F745)</f>
        <v>2014</v>
      </c>
      <c r="F745" s="5">
        <v>41766</v>
      </c>
      <c r="G745" s="4" t="s">
        <v>1182</v>
      </c>
      <c r="H745" s="4" t="s">
        <v>31</v>
      </c>
      <c r="I745" s="4" t="s">
        <v>19</v>
      </c>
      <c r="J745" s="4" t="s">
        <v>20</v>
      </c>
      <c r="K745" s="4" t="s">
        <v>56</v>
      </c>
      <c r="L745" s="4" t="s">
        <v>1364</v>
      </c>
      <c r="M745" s="4" t="s">
        <v>1310</v>
      </c>
      <c r="N745" s="4" t="s">
        <v>59</v>
      </c>
      <c r="O745" s="4" t="s">
        <v>1763</v>
      </c>
      <c r="P745" s="4" t="s">
        <v>1764</v>
      </c>
    </row>
    <row r="746" spans="1:16" ht="15.6" x14ac:dyDescent="0.3">
      <c r="A746" s="2">
        <v>733983</v>
      </c>
      <c r="B746" s="2" t="s">
        <v>26</v>
      </c>
      <c r="C746" s="2" t="s">
        <v>445</v>
      </c>
      <c r="D746" s="2" t="str">
        <f t="shared" si="12"/>
        <v>IPL-2014</v>
      </c>
      <c r="E746" s="2">
        <f>YEAR('IPL Info'!$F746)</f>
        <v>2014</v>
      </c>
      <c r="F746" s="3">
        <v>41765</v>
      </c>
      <c r="G746" s="2" t="s">
        <v>445</v>
      </c>
      <c r="H746" s="2" t="s">
        <v>18</v>
      </c>
      <c r="I746" s="2" t="s">
        <v>19</v>
      </c>
      <c r="J746" s="2" t="s">
        <v>20</v>
      </c>
      <c r="K746" s="2" t="s">
        <v>26</v>
      </c>
      <c r="L746" s="2" t="s">
        <v>32</v>
      </c>
      <c r="M746" s="2" t="s">
        <v>1045</v>
      </c>
      <c r="N746" s="2" t="s">
        <v>74</v>
      </c>
      <c r="O746" s="2" t="s">
        <v>1765</v>
      </c>
      <c r="P746" s="2" t="s">
        <v>1766</v>
      </c>
    </row>
    <row r="747" spans="1:16" ht="15.6" x14ac:dyDescent="0.3">
      <c r="A747" s="4">
        <v>733979</v>
      </c>
      <c r="B747" s="4" t="s">
        <v>77</v>
      </c>
      <c r="C747" s="4" t="s">
        <v>56</v>
      </c>
      <c r="D747" s="4" t="str">
        <f t="shared" si="12"/>
        <v>IPL-2014</v>
      </c>
      <c r="E747" s="4">
        <f>YEAR('IPL Info'!$F747)</f>
        <v>2014</v>
      </c>
      <c r="F747" s="5">
        <v>41764</v>
      </c>
      <c r="G747" s="4" t="s">
        <v>56</v>
      </c>
      <c r="H747" s="4" t="s">
        <v>18</v>
      </c>
      <c r="I747" s="4" t="s">
        <v>19</v>
      </c>
      <c r="J747" s="4" t="s">
        <v>20</v>
      </c>
      <c r="K747" s="4" t="s">
        <v>77</v>
      </c>
      <c r="L747" s="4" t="s">
        <v>1767</v>
      </c>
      <c r="M747" s="4" t="s">
        <v>1647</v>
      </c>
      <c r="N747" s="4" t="s">
        <v>23</v>
      </c>
      <c r="O747" s="4" t="s">
        <v>1768</v>
      </c>
      <c r="P747" s="4" t="s">
        <v>1769</v>
      </c>
    </row>
    <row r="748" spans="1:16" ht="15.6" x14ac:dyDescent="0.3">
      <c r="A748" s="2">
        <v>733981</v>
      </c>
      <c r="B748" s="2" t="s">
        <v>1182</v>
      </c>
      <c r="C748" s="2" t="s">
        <v>51</v>
      </c>
      <c r="D748" s="2" t="str">
        <f t="shared" si="12"/>
        <v>IPL-2014</v>
      </c>
      <c r="E748" s="2">
        <f>YEAR('IPL Info'!$F748)</f>
        <v>2014</v>
      </c>
      <c r="F748" s="3">
        <v>41764</v>
      </c>
      <c r="G748" s="2" t="s">
        <v>51</v>
      </c>
      <c r="H748" s="2" t="s">
        <v>18</v>
      </c>
      <c r="I748" s="2" t="s">
        <v>19</v>
      </c>
      <c r="J748" s="2" t="s">
        <v>20</v>
      </c>
      <c r="K748" s="2" t="s">
        <v>51</v>
      </c>
      <c r="L748" s="2" t="s">
        <v>1333</v>
      </c>
      <c r="M748" s="2" t="s">
        <v>1310</v>
      </c>
      <c r="N748" s="2" t="s">
        <v>59</v>
      </c>
      <c r="O748" s="2" t="s">
        <v>1770</v>
      </c>
      <c r="P748" s="2" t="s">
        <v>1771</v>
      </c>
    </row>
    <row r="749" spans="1:16" ht="15.6" x14ac:dyDescent="0.3">
      <c r="A749" s="4">
        <v>733977</v>
      </c>
      <c r="B749" s="4" t="s">
        <v>445</v>
      </c>
      <c r="C749" s="4" t="s">
        <v>55</v>
      </c>
      <c r="D749" s="4" t="str">
        <f t="shared" si="12"/>
        <v>IPL-2014</v>
      </c>
      <c r="E749" s="4">
        <f>YEAR('IPL Info'!$F749)</f>
        <v>2014</v>
      </c>
      <c r="F749" s="5">
        <v>41763</v>
      </c>
      <c r="G749" s="4" t="s">
        <v>445</v>
      </c>
      <c r="H749" s="4" t="s">
        <v>18</v>
      </c>
      <c r="I749" s="4" t="s">
        <v>19</v>
      </c>
      <c r="J749" s="4" t="s">
        <v>20</v>
      </c>
      <c r="K749" s="4" t="s">
        <v>445</v>
      </c>
      <c r="L749" s="4" t="s">
        <v>861</v>
      </c>
      <c r="M749" s="4" t="s">
        <v>1301</v>
      </c>
      <c r="N749" s="4" t="s">
        <v>1302</v>
      </c>
      <c r="O749" s="4" t="s">
        <v>1772</v>
      </c>
      <c r="P749" s="4" t="s">
        <v>1773</v>
      </c>
    </row>
    <row r="750" spans="1:16" ht="15.6" x14ac:dyDescent="0.3">
      <c r="A750" s="2">
        <v>733973</v>
      </c>
      <c r="B750" s="2" t="s">
        <v>26</v>
      </c>
      <c r="C750" s="2" t="s">
        <v>925</v>
      </c>
      <c r="D750" s="2" t="str">
        <f t="shared" si="12"/>
        <v>IPL-2014</v>
      </c>
      <c r="E750" s="2">
        <f>YEAR('IPL Info'!$F750)</f>
        <v>2014</v>
      </c>
      <c r="F750" s="3">
        <v>41762</v>
      </c>
      <c r="G750" s="2" t="s">
        <v>925</v>
      </c>
      <c r="H750" s="2" t="s">
        <v>31</v>
      </c>
      <c r="I750" s="2" t="s">
        <v>19</v>
      </c>
      <c r="J750" s="2" t="s">
        <v>20</v>
      </c>
      <c r="K750" s="2" t="s">
        <v>26</v>
      </c>
      <c r="L750" s="2" t="s">
        <v>1403</v>
      </c>
      <c r="M750" s="2" t="s">
        <v>1045</v>
      </c>
      <c r="N750" s="2" t="s">
        <v>74</v>
      </c>
      <c r="O750" s="2" t="s">
        <v>1774</v>
      </c>
      <c r="P750" s="2" t="s">
        <v>1775</v>
      </c>
    </row>
    <row r="751" spans="1:16" ht="15.6" x14ac:dyDescent="0.3">
      <c r="A751" s="4">
        <v>733975</v>
      </c>
      <c r="B751" s="4" t="s">
        <v>1182</v>
      </c>
      <c r="C751" s="4" t="s">
        <v>77</v>
      </c>
      <c r="D751" s="4" t="str">
        <f t="shared" si="12"/>
        <v>IPL-2014</v>
      </c>
      <c r="E751" s="4">
        <f>YEAR('IPL Info'!$F751)</f>
        <v>2014</v>
      </c>
      <c r="F751" s="5">
        <v>41762</v>
      </c>
      <c r="G751" s="4" t="s">
        <v>77</v>
      </c>
      <c r="H751" s="4" t="s">
        <v>18</v>
      </c>
      <c r="I751" s="4" t="s">
        <v>19</v>
      </c>
      <c r="J751" s="4" t="s">
        <v>20</v>
      </c>
      <c r="K751" s="4" t="s">
        <v>77</v>
      </c>
      <c r="L751" s="4" t="s">
        <v>1322</v>
      </c>
      <c r="M751" s="4" t="s">
        <v>1310</v>
      </c>
      <c r="N751" s="4" t="s">
        <v>59</v>
      </c>
      <c r="O751" s="4" t="s">
        <v>1776</v>
      </c>
      <c r="P751" s="4" t="s">
        <v>1777</v>
      </c>
    </row>
    <row r="752" spans="1:16" ht="15.6" x14ac:dyDescent="0.3">
      <c r="A752" s="2">
        <v>733971</v>
      </c>
      <c r="B752" s="2" t="s">
        <v>51</v>
      </c>
      <c r="C752" s="2" t="s">
        <v>56</v>
      </c>
      <c r="D752" s="2" t="str">
        <f t="shared" si="12"/>
        <v>IPL-2014</v>
      </c>
      <c r="E752" s="2">
        <f>YEAR('IPL Info'!$F752)</f>
        <v>2014</v>
      </c>
      <c r="F752" s="3">
        <v>41761</v>
      </c>
      <c r="G752" s="2" t="s">
        <v>51</v>
      </c>
      <c r="H752" s="2" t="s">
        <v>31</v>
      </c>
      <c r="I752" s="2" t="s">
        <v>19</v>
      </c>
      <c r="J752" s="2" t="s">
        <v>20</v>
      </c>
      <c r="K752" s="2" t="s">
        <v>51</v>
      </c>
      <c r="L752" s="2" t="s">
        <v>305</v>
      </c>
      <c r="M752" s="2" t="s">
        <v>1567</v>
      </c>
      <c r="N752" s="2" t="s">
        <v>1568</v>
      </c>
      <c r="O752" s="2" t="s">
        <v>1778</v>
      </c>
      <c r="P752" s="2" t="s">
        <v>1779</v>
      </c>
    </row>
    <row r="753" spans="1:16" ht="15.6" x14ac:dyDescent="0.3">
      <c r="A753" s="4">
        <v>729317</v>
      </c>
      <c r="B753" s="4" t="s">
        <v>26</v>
      </c>
      <c r="C753" s="4" t="s">
        <v>55</v>
      </c>
      <c r="D753" s="4" t="str">
        <f t="shared" si="12"/>
        <v>IPL-2014</v>
      </c>
      <c r="E753" s="4">
        <f>YEAR('IPL Info'!$F753)</f>
        <v>2014</v>
      </c>
      <c r="F753" s="5">
        <v>41759</v>
      </c>
      <c r="G753" s="4" t="s">
        <v>26</v>
      </c>
      <c r="H753" s="4" t="s">
        <v>18</v>
      </c>
      <c r="I753" s="4" t="s">
        <v>19</v>
      </c>
      <c r="J753" s="4" t="s">
        <v>20</v>
      </c>
      <c r="K753" s="4" t="s">
        <v>55</v>
      </c>
      <c r="L753" s="4" t="s">
        <v>313</v>
      </c>
      <c r="M753" s="4" t="s">
        <v>772</v>
      </c>
      <c r="N753" s="4" t="s">
        <v>20</v>
      </c>
      <c r="O753" s="4" t="s">
        <v>1780</v>
      </c>
      <c r="P753" s="4" t="s">
        <v>1781</v>
      </c>
    </row>
    <row r="754" spans="1:16" ht="15.6" x14ac:dyDescent="0.3">
      <c r="A754" s="2">
        <v>729315</v>
      </c>
      <c r="B754" s="2" t="s">
        <v>56</v>
      </c>
      <c r="C754" s="2" t="s">
        <v>77</v>
      </c>
      <c r="D754" s="2" t="str">
        <f t="shared" si="12"/>
        <v>IPL-2014</v>
      </c>
      <c r="E754" s="2">
        <f>YEAR('IPL Info'!$F754)</f>
        <v>2014</v>
      </c>
      <c r="F754" s="3">
        <v>41758</v>
      </c>
      <c r="G754" s="2" t="s">
        <v>77</v>
      </c>
      <c r="H754" s="2" t="s">
        <v>31</v>
      </c>
      <c r="I754" s="2" t="s">
        <v>173</v>
      </c>
      <c r="J754" s="2" t="s">
        <v>77</v>
      </c>
      <c r="K754" s="2" t="s">
        <v>20</v>
      </c>
      <c r="L754" s="2" t="s">
        <v>1687</v>
      </c>
      <c r="M754" s="2" t="s">
        <v>911</v>
      </c>
      <c r="N754" s="2" t="s">
        <v>788</v>
      </c>
      <c r="O754" s="2" t="s">
        <v>1782</v>
      </c>
      <c r="P754" s="2" t="s">
        <v>1783</v>
      </c>
    </row>
    <row r="755" spans="1:16" ht="15.6" x14ac:dyDescent="0.3">
      <c r="A755" s="4">
        <v>729313</v>
      </c>
      <c r="B755" s="4" t="s">
        <v>925</v>
      </c>
      <c r="C755" s="4" t="s">
        <v>445</v>
      </c>
      <c r="D755" s="4" t="str">
        <f t="shared" si="12"/>
        <v>IPL-2014</v>
      </c>
      <c r="E755" s="4">
        <f>YEAR('IPL Info'!$F755)</f>
        <v>2014</v>
      </c>
      <c r="F755" s="5">
        <v>41757</v>
      </c>
      <c r="G755" s="4" t="s">
        <v>925</v>
      </c>
      <c r="H755" s="4" t="s">
        <v>18</v>
      </c>
      <c r="I755" s="4" t="s">
        <v>19</v>
      </c>
      <c r="J755" s="4" t="s">
        <v>20</v>
      </c>
      <c r="K755" s="4" t="s">
        <v>925</v>
      </c>
      <c r="L755" s="4" t="s">
        <v>344</v>
      </c>
      <c r="M755" s="4" t="s">
        <v>772</v>
      </c>
      <c r="N755" s="4" t="s">
        <v>20</v>
      </c>
      <c r="O755" s="4" t="s">
        <v>1784</v>
      </c>
      <c r="P755" s="4" t="s">
        <v>1785</v>
      </c>
    </row>
    <row r="756" spans="1:16" ht="15.6" x14ac:dyDescent="0.3">
      <c r="A756" s="2">
        <v>729311</v>
      </c>
      <c r="B756" s="2" t="s">
        <v>55</v>
      </c>
      <c r="C756" s="2" t="s">
        <v>51</v>
      </c>
      <c r="D756" s="2" t="str">
        <f t="shared" si="12"/>
        <v>IPL-2014</v>
      </c>
      <c r="E756" s="2">
        <f>YEAR('IPL Info'!$F756)</f>
        <v>2014</v>
      </c>
      <c r="F756" s="3">
        <v>41756</v>
      </c>
      <c r="G756" s="2" t="s">
        <v>55</v>
      </c>
      <c r="H756" s="2" t="s">
        <v>31</v>
      </c>
      <c r="I756" s="2" t="s">
        <v>19</v>
      </c>
      <c r="J756" s="2" t="s">
        <v>20</v>
      </c>
      <c r="K756" s="2" t="s">
        <v>51</v>
      </c>
      <c r="L756" s="2" t="s">
        <v>1333</v>
      </c>
      <c r="M756" s="2" t="s">
        <v>776</v>
      </c>
      <c r="N756" s="2" t="s">
        <v>20</v>
      </c>
      <c r="O756" s="2" t="s">
        <v>1786</v>
      </c>
      <c r="P756" s="2" t="s">
        <v>1787</v>
      </c>
    </row>
    <row r="757" spans="1:16" ht="15.6" x14ac:dyDescent="0.3">
      <c r="A757" s="4">
        <v>729309</v>
      </c>
      <c r="B757" s="4" t="s">
        <v>1182</v>
      </c>
      <c r="C757" s="4" t="s">
        <v>26</v>
      </c>
      <c r="D757" s="4" t="str">
        <f t="shared" si="12"/>
        <v>IPL-2014</v>
      </c>
      <c r="E757" s="4">
        <f>YEAR('IPL Info'!$F757)</f>
        <v>2014</v>
      </c>
      <c r="F757" s="5">
        <v>41756</v>
      </c>
      <c r="G757" s="4" t="s">
        <v>26</v>
      </c>
      <c r="H757" s="4" t="s">
        <v>31</v>
      </c>
      <c r="I757" s="4" t="s">
        <v>19</v>
      </c>
      <c r="J757" s="4" t="s">
        <v>20</v>
      </c>
      <c r="K757" s="4" t="s">
        <v>1182</v>
      </c>
      <c r="L757" s="4" t="s">
        <v>1788</v>
      </c>
      <c r="M757" s="4" t="s">
        <v>776</v>
      </c>
      <c r="N757" s="4" t="s">
        <v>20</v>
      </c>
      <c r="O757" s="4" t="s">
        <v>1789</v>
      </c>
      <c r="P757" s="4" t="s">
        <v>1790</v>
      </c>
    </row>
    <row r="758" spans="1:16" ht="15.6" x14ac:dyDescent="0.3">
      <c r="A758" s="2">
        <v>729307</v>
      </c>
      <c r="B758" s="2" t="s">
        <v>56</v>
      </c>
      <c r="C758" s="2" t="s">
        <v>925</v>
      </c>
      <c r="D758" s="2" t="str">
        <f t="shared" si="12"/>
        <v>IPL-2014</v>
      </c>
      <c r="E758" s="2">
        <f>YEAR('IPL Info'!$F758)</f>
        <v>2014</v>
      </c>
      <c r="F758" s="3">
        <v>41755</v>
      </c>
      <c r="G758" s="2" t="s">
        <v>56</v>
      </c>
      <c r="H758" s="2" t="s">
        <v>18</v>
      </c>
      <c r="I758" s="2" t="s">
        <v>19</v>
      </c>
      <c r="J758" s="2" t="s">
        <v>20</v>
      </c>
      <c r="K758" s="2" t="s">
        <v>925</v>
      </c>
      <c r="L758" s="2" t="s">
        <v>344</v>
      </c>
      <c r="M758" s="2" t="s">
        <v>911</v>
      </c>
      <c r="N758" s="2" t="s">
        <v>788</v>
      </c>
      <c r="O758" s="2" t="s">
        <v>1791</v>
      </c>
      <c r="P758" s="2" t="s">
        <v>1792</v>
      </c>
    </row>
    <row r="759" spans="1:16" ht="15.6" x14ac:dyDescent="0.3">
      <c r="A759" s="4">
        <v>729305</v>
      </c>
      <c r="B759" s="4" t="s">
        <v>77</v>
      </c>
      <c r="C759" s="4" t="s">
        <v>445</v>
      </c>
      <c r="D759" s="4" t="str">
        <f t="shared" si="12"/>
        <v>IPL-2014</v>
      </c>
      <c r="E759" s="4">
        <f>YEAR('IPL Info'!$F759)</f>
        <v>2014</v>
      </c>
      <c r="F759" s="5">
        <v>41755</v>
      </c>
      <c r="G759" s="4" t="s">
        <v>77</v>
      </c>
      <c r="H759" s="4" t="s">
        <v>18</v>
      </c>
      <c r="I759" s="4" t="s">
        <v>19</v>
      </c>
      <c r="J759" s="4" t="s">
        <v>20</v>
      </c>
      <c r="K759" s="4" t="s">
        <v>77</v>
      </c>
      <c r="L759" s="4" t="s">
        <v>1767</v>
      </c>
      <c r="M759" s="4" t="s">
        <v>911</v>
      </c>
      <c r="N759" s="4" t="s">
        <v>788</v>
      </c>
      <c r="O759" s="4" t="s">
        <v>1793</v>
      </c>
      <c r="P759" s="4" t="s">
        <v>1794</v>
      </c>
    </row>
    <row r="760" spans="1:16" ht="15.6" x14ac:dyDescent="0.3">
      <c r="A760" s="2">
        <v>729301</v>
      </c>
      <c r="B760" s="2" t="s">
        <v>55</v>
      </c>
      <c r="C760" s="2" t="s">
        <v>1182</v>
      </c>
      <c r="D760" s="2" t="str">
        <f t="shared" si="12"/>
        <v>IPL-2014</v>
      </c>
      <c r="E760" s="2">
        <f>YEAR('IPL Info'!$F760)</f>
        <v>2014</v>
      </c>
      <c r="F760" s="3">
        <v>41754</v>
      </c>
      <c r="G760" s="2" t="s">
        <v>55</v>
      </c>
      <c r="H760" s="2" t="s">
        <v>31</v>
      </c>
      <c r="I760" s="2" t="s">
        <v>19</v>
      </c>
      <c r="J760" s="2" t="s">
        <v>20</v>
      </c>
      <c r="K760" s="2" t="s">
        <v>55</v>
      </c>
      <c r="L760" s="2" t="s">
        <v>1546</v>
      </c>
      <c r="M760" s="2" t="s">
        <v>772</v>
      </c>
      <c r="N760" s="2" t="s">
        <v>20</v>
      </c>
      <c r="O760" s="2" t="s">
        <v>1795</v>
      </c>
      <c r="P760" s="2" t="s">
        <v>1796</v>
      </c>
    </row>
    <row r="761" spans="1:16" ht="15.6" x14ac:dyDescent="0.3">
      <c r="A761" s="4">
        <v>729303</v>
      </c>
      <c r="B761" s="4" t="s">
        <v>51</v>
      </c>
      <c r="C761" s="4" t="s">
        <v>26</v>
      </c>
      <c r="D761" s="4" t="str">
        <f t="shared" si="12"/>
        <v>IPL-2014</v>
      </c>
      <c r="E761" s="4">
        <f>YEAR('IPL Info'!$F761)</f>
        <v>2014</v>
      </c>
      <c r="F761" s="5">
        <v>41754</v>
      </c>
      <c r="G761" s="4" t="s">
        <v>26</v>
      </c>
      <c r="H761" s="4" t="s">
        <v>31</v>
      </c>
      <c r="I761" s="4" t="s">
        <v>19</v>
      </c>
      <c r="J761" s="4" t="s">
        <v>20</v>
      </c>
      <c r="K761" s="4" t="s">
        <v>51</v>
      </c>
      <c r="L761" s="4" t="s">
        <v>403</v>
      </c>
      <c r="M761" s="4" t="s">
        <v>772</v>
      </c>
      <c r="N761" s="4" t="s">
        <v>20</v>
      </c>
      <c r="O761" s="4" t="s">
        <v>1797</v>
      </c>
      <c r="P761" s="4" t="s">
        <v>1798</v>
      </c>
    </row>
    <row r="762" spans="1:16" ht="15.6" x14ac:dyDescent="0.3">
      <c r="A762" s="2">
        <v>729299</v>
      </c>
      <c r="B762" s="2" t="s">
        <v>445</v>
      </c>
      <c r="C762" s="2" t="s">
        <v>56</v>
      </c>
      <c r="D762" s="2" t="str">
        <f t="shared" si="12"/>
        <v>IPL-2014</v>
      </c>
      <c r="E762" s="2">
        <f>YEAR('IPL Info'!$F762)</f>
        <v>2014</v>
      </c>
      <c r="F762" s="3">
        <v>41753</v>
      </c>
      <c r="G762" s="2" t="s">
        <v>445</v>
      </c>
      <c r="H762" s="2" t="s">
        <v>18</v>
      </c>
      <c r="I762" s="2" t="s">
        <v>19</v>
      </c>
      <c r="J762" s="2" t="s">
        <v>20</v>
      </c>
      <c r="K762" s="2" t="s">
        <v>56</v>
      </c>
      <c r="L762" s="2" t="s">
        <v>1185</v>
      </c>
      <c r="M762" s="2" t="s">
        <v>776</v>
      </c>
      <c r="N762" s="2" t="s">
        <v>20</v>
      </c>
      <c r="O762" s="2" t="s">
        <v>1799</v>
      </c>
      <c r="P762" s="2" t="s">
        <v>1800</v>
      </c>
    </row>
    <row r="763" spans="1:16" ht="15.6" x14ac:dyDescent="0.3">
      <c r="A763" s="4">
        <v>729297</v>
      </c>
      <c r="B763" s="4" t="s">
        <v>77</v>
      </c>
      <c r="C763" s="4" t="s">
        <v>51</v>
      </c>
      <c r="D763" s="4" t="str">
        <f t="shared" si="12"/>
        <v>IPL-2014</v>
      </c>
      <c r="E763" s="4">
        <f>YEAR('IPL Info'!$F763)</f>
        <v>2014</v>
      </c>
      <c r="F763" s="5">
        <v>41752</v>
      </c>
      <c r="G763" s="4" t="s">
        <v>77</v>
      </c>
      <c r="H763" s="4" t="s">
        <v>18</v>
      </c>
      <c r="I763" s="4" t="s">
        <v>19</v>
      </c>
      <c r="J763" s="4" t="s">
        <v>20</v>
      </c>
      <c r="K763" s="4" t="s">
        <v>51</v>
      </c>
      <c r="L763" s="4" t="s">
        <v>305</v>
      </c>
      <c r="M763" s="4" t="s">
        <v>772</v>
      </c>
      <c r="N763" s="4" t="s">
        <v>20</v>
      </c>
      <c r="O763" s="4" t="s">
        <v>1801</v>
      </c>
      <c r="P763" s="4" t="s">
        <v>1802</v>
      </c>
    </row>
    <row r="764" spans="1:16" ht="15.6" x14ac:dyDescent="0.3">
      <c r="A764" s="2">
        <v>729295</v>
      </c>
      <c r="B764" s="2" t="s">
        <v>925</v>
      </c>
      <c r="C764" s="2" t="s">
        <v>55</v>
      </c>
      <c r="D764" s="2" t="str">
        <f t="shared" si="12"/>
        <v>IPL-2014</v>
      </c>
      <c r="E764" s="2">
        <f>YEAR('IPL Info'!$F764)</f>
        <v>2014</v>
      </c>
      <c r="F764" s="3">
        <v>41751</v>
      </c>
      <c r="G764" s="2" t="s">
        <v>55</v>
      </c>
      <c r="H764" s="2" t="s">
        <v>18</v>
      </c>
      <c r="I764" s="2" t="s">
        <v>19</v>
      </c>
      <c r="J764" s="2" t="s">
        <v>20</v>
      </c>
      <c r="K764" s="2" t="s">
        <v>925</v>
      </c>
      <c r="L764" s="2" t="s">
        <v>533</v>
      </c>
      <c r="M764" s="2" t="s">
        <v>776</v>
      </c>
      <c r="N764" s="2" t="s">
        <v>20</v>
      </c>
      <c r="O764" s="2" t="s">
        <v>1803</v>
      </c>
      <c r="P764" s="2" t="s">
        <v>1804</v>
      </c>
    </row>
    <row r="765" spans="1:16" ht="15.6" x14ac:dyDescent="0.3">
      <c r="A765" s="4">
        <v>729293</v>
      </c>
      <c r="B765" s="4" t="s">
        <v>51</v>
      </c>
      <c r="C765" s="4" t="s">
        <v>1182</v>
      </c>
      <c r="D765" s="4" t="str">
        <f t="shared" si="12"/>
        <v>IPL-2014</v>
      </c>
      <c r="E765" s="4">
        <f>YEAR('IPL Info'!$F765)</f>
        <v>2014</v>
      </c>
      <c r="F765" s="5">
        <v>41750</v>
      </c>
      <c r="G765" s="4" t="s">
        <v>51</v>
      </c>
      <c r="H765" s="4" t="s">
        <v>31</v>
      </c>
      <c r="I765" s="4" t="s">
        <v>19</v>
      </c>
      <c r="J765" s="4" t="s">
        <v>20</v>
      </c>
      <c r="K765" s="4" t="s">
        <v>51</v>
      </c>
      <c r="L765" s="4" t="s">
        <v>1386</v>
      </c>
      <c r="M765" s="4" t="s">
        <v>911</v>
      </c>
      <c r="N765" s="4" t="s">
        <v>788</v>
      </c>
      <c r="O765" s="4" t="s">
        <v>1805</v>
      </c>
      <c r="P765" s="4" t="s">
        <v>1806</v>
      </c>
    </row>
    <row r="766" spans="1:16" ht="15.6" x14ac:dyDescent="0.3">
      <c r="A766" s="2">
        <v>729291</v>
      </c>
      <c r="B766" s="2" t="s">
        <v>77</v>
      </c>
      <c r="C766" s="2" t="s">
        <v>925</v>
      </c>
      <c r="D766" s="2" t="str">
        <f t="shared" si="12"/>
        <v>IPL-2014</v>
      </c>
      <c r="E766" s="2">
        <f>YEAR('IPL Info'!$F766)</f>
        <v>2014</v>
      </c>
      <c r="F766" s="3">
        <v>41749</v>
      </c>
      <c r="G766" s="2" t="s">
        <v>925</v>
      </c>
      <c r="H766" s="2" t="s">
        <v>18</v>
      </c>
      <c r="I766" s="2" t="s">
        <v>19</v>
      </c>
      <c r="J766" s="2" t="s">
        <v>20</v>
      </c>
      <c r="K766" s="2" t="s">
        <v>925</v>
      </c>
      <c r="L766" s="2" t="s">
        <v>533</v>
      </c>
      <c r="M766" s="2" t="s">
        <v>776</v>
      </c>
      <c r="N766" s="2" t="s">
        <v>20</v>
      </c>
      <c r="O766" s="2" t="s">
        <v>1807</v>
      </c>
      <c r="P766" s="2" t="s">
        <v>1808</v>
      </c>
    </row>
    <row r="767" spans="1:16" ht="15.6" x14ac:dyDescent="0.3">
      <c r="A767" s="4">
        <v>729289</v>
      </c>
      <c r="B767" s="4" t="s">
        <v>56</v>
      </c>
      <c r="C767" s="4" t="s">
        <v>1182</v>
      </c>
      <c r="D767" s="4" t="str">
        <f t="shared" si="12"/>
        <v>IPL-2014</v>
      </c>
      <c r="E767" s="4">
        <f>YEAR('IPL Info'!$F767)</f>
        <v>2014</v>
      </c>
      <c r="F767" s="5">
        <v>41748</v>
      </c>
      <c r="G767" s="4" t="s">
        <v>56</v>
      </c>
      <c r="H767" s="4" t="s">
        <v>31</v>
      </c>
      <c r="I767" s="4" t="s">
        <v>19</v>
      </c>
      <c r="J767" s="4" t="s">
        <v>20</v>
      </c>
      <c r="K767" s="4" t="s">
        <v>1182</v>
      </c>
      <c r="L767" s="4" t="s">
        <v>1665</v>
      </c>
      <c r="M767" s="4" t="s">
        <v>772</v>
      </c>
      <c r="N767" s="4" t="s">
        <v>20</v>
      </c>
      <c r="O767" s="4" t="s">
        <v>1809</v>
      </c>
      <c r="P767" s="4" t="s">
        <v>1810</v>
      </c>
    </row>
    <row r="768" spans="1:16" ht="15.6" x14ac:dyDescent="0.3">
      <c r="A768" s="2">
        <v>729287</v>
      </c>
      <c r="B768" s="2" t="s">
        <v>445</v>
      </c>
      <c r="C768" s="2" t="s">
        <v>26</v>
      </c>
      <c r="D768" s="2" t="str">
        <f t="shared" si="12"/>
        <v>IPL-2014</v>
      </c>
      <c r="E768" s="2">
        <f>YEAR('IPL Info'!$F768)</f>
        <v>2014</v>
      </c>
      <c r="F768" s="3">
        <v>41748</v>
      </c>
      <c r="G768" s="2" t="s">
        <v>445</v>
      </c>
      <c r="H768" s="2" t="s">
        <v>18</v>
      </c>
      <c r="I768" s="2" t="s">
        <v>19</v>
      </c>
      <c r="J768" s="2" t="s">
        <v>20</v>
      </c>
      <c r="K768" s="2" t="s">
        <v>445</v>
      </c>
      <c r="L768" s="2" t="s">
        <v>1083</v>
      </c>
      <c r="M768" s="2" t="s">
        <v>772</v>
      </c>
      <c r="N768" s="2" t="s">
        <v>20</v>
      </c>
      <c r="O768" s="2" t="s">
        <v>1811</v>
      </c>
      <c r="P768" s="2" t="s">
        <v>1812</v>
      </c>
    </row>
    <row r="769" spans="1:16" ht="15.6" x14ac:dyDescent="0.3">
      <c r="A769" s="4">
        <v>729285</v>
      </c>
      <c r="B769" s="4" t="s">
        <v>55</v>
      </c>
      <c r="C769" s="4" t="s">
        <v>77</v>
      </c>
      <c r="D769" s="4" t="str">
        <f t="shared" si="12"/>
        <v>IPL-2014</v>
      </c>
      <c r="E769" s="4">
        <f>YEAR('IPL Info'!$F769)</f>
        <v>2014</v>
      </c>
      <c r="F769" s="5">
        <v>41747</v>
      </c>
      <c r="G769" s="4" t="s">
        <v>77</v>
      </c>
      <c r="H769" s="4" t="s">
        <v>18</v>
      </c>
      <c r="I769" s="4" t="s">
        <v>19</v>
      </c>
      <c r="J769" s="4" t="s">
        <v>20</v>
      </c>
      <c r="K769" s="4" t="s">
        <v>77</v>
      </c>
      <c r="L769" s="4" t="s">
        <v>530</v>
      </c>
      <c r="M769" s="4" t="s">
        <v>911</v>
      </c>
      <c r="N769" s="4" t="s">
        <v>788</v>
      </c>
      <c r="O769" s="4" t="s">
        <v>1813</v>
      </c>
      <c r="P769" s="4" t="s">
        <v>1814</v>
      </c>
    </row>
    <row r="770" spans="1:16" ht="15.6" x14ac:dyDescent="0.3">
      <c r="A770" s="2">
        <v>729283</v>
      </c>
      <c r="B770" s="2" t="s">
        <v>51</v>
      </c>
      <c r="C770" s="2" t="s">
        <v>925</v>
      </c>
      <c r="D770" s="2" t="str">
        <f t="shared" si="12"/>
        <v>IPL-2014</v>
      </c>
      <c r="E770" s="2">
        <f>YEAR('IPL Info'!$F770)</f>
        <v>2014</v>
      </c>
      <c r="F770" s="3">
        <v>41747</v>
      </c>
      <c r="G770" s="2" t="s">
        <v>51</v>
      </c>
      <c r="H770" s="2" t="s">
        <v>31</v>
      </c>
      <c r="I770" s="2" t="s">
        <v>19</v>
      </c>
      <c r="J770" s="2" t="s">
        <v>20</v>
      </c>
      <c r="K770" s="2" t="s">
        <v>925</v>
      </c>
      <c r="L770" s="2" t="s">
        <v>533</v>
      </c>
      <c r="M770" s="2" t="s">
        <v>911</v>
      </c>
      <c r="N770" s="2" t="s">
        <v>788</v>
      </c>
      <c r="O770" s="2" t="s">
        <v>1815</v>
      </c>
      <c r="P770" s="2" t="s">
        <v>1816</v>
      </c>
    </row>
    <row r="771" spans="1:16" ht="15.6" x14ac:dyDescent="0.3">
      <c r="A771" s="4">
        <v>729281</v>
      </c>
      <c r="B771" s="4" t="s">
        <v>1182</v>
      </c>
      <c r="C771" s="4" t="s">
        <v>445</v>
      </c>
      <c r="D771" s="4" t="str">
        <f t="shared" si="12"/>
        <v>IPL-2014</v>
      </c>
      <c r="E771" s="4">
        <f>YEAR('IPL Info'!$F771)</f>
        <v>2014</v>
      </c>
      <c r="F771" s="5">
        <v>41746</v>
      </c>
      <c r="G771" s="4" t="s">
        <v>445</v>
      </c>
      <c r="H771" s="4" t="s">
        <v>18</v>
      </c>
      <c r="I771" s="4" t="s">
        <v>19</v>
      </c>
      <c r="J771" s="4" t="s">
        <v>20</v>
      </c>
      <c r="K771" s="4" t="s">
        <v>445</v>
      </c>
      <c r="L771" s="4" t="s">
        <v>177</v>
      </c>
      <c r="M771" s="4" t="s">
        <v>776</v>
      </c>
      <c r="N771" s="4" t="s">
        <v>20</v>
      </c>
      <c r="O771" s="4" t="s">
        <v>1817</v>
      </c>
      <c r="P771" s="4" t="s">
        <v>1818</v>
      </c>
    </row>
    <row r="772" spans="1:16" ht="15.6" x14ac:dyDescent="0.3">
      <c r="A772" s="2">
        <v>729279</v>
      </c>
      <c r="B772" s="2" t="s">
        <v>26</v>
      </c>
      <c r="C772" s="2" t="s">
        <v>56</v>
      </c>
      <c r="D772" s="2" t="str">
        <f t="shared" si="12"/>
        <v>IPL-2014</v>
      </c>
      <c r="E772" s="2">
        <f>YEAR('IPL Info'!$F772)</f>
        <v>2014</v>
      </c>
      <c r="F772" s="3">
        <v>41745</v>
      </c>
      <c r="G772" s="2" t="s">
        <v>56</v>
      </c>
      <c r="H772" s="2" t="s">
        <v>31</v>
      </c>
      <c r="I772" s="2" t="s">
        <v>19</v>
      </c>
      <c r="J772" s="2" t="s">
        <v>20</v>
      </c>
      <c r="K772" s="2" t="s">
        <v>56</v>
      </c>
      <c r="L772" s="2" t="s">
        <v>1819</v>
      </c>
      <c r="M772" s="2" t="s">
        <v>911</v>
      </c>
      <c r="N772" s="2" t="s">
        <v>788</v>
      </c>
      <c r="O772" s="2" t="s">
        <v>1820</v>
      </c>
      <c r="P772" s="2" t="s">
        <v>1821</v>
      </c>
    </row>
    <row r="773" spans="1:16" ht="15.6" x14ac:dyDescent="0.3">
      <c r="A773" s="4">
        <v>598073</v>
      </c>
      <c r="B773" s="4" t="s">
        <v>51</v>
      </c>
      <c r="C773" s="4" t="s">
        <v>26</v>
      </c>
      <c r="D773" s="4" t="str">
        <f t="shared" si="12"/>
        <v>IPL-2013</v>
      </c>
      <c r="E773" s="4">
        <f>YEAR('IPL Info'!$F773)</f>
        <v>2013</v>
      </c>
      <c r="F773" s="5">
        <v>41420</v>
      </c>
      <c r="G773" s="4" t="s">
        <v>26</v>
      </c>
      <c r="H773" s="4" t="s">
        <v>31</v>
      </c>
      <c r="I773" s="4" t="s">
        <v>19</v>
      </c>
      <c r="J773" s="4" t="s">
        <v>20</v>
      </c>
      <c r="K773" s="4" t="s">
        <v>26</v>
      </c>
      <c r="L773" s="4" t="s">
        <v>819</v>
      </c>
      <c r="M773" s="4" t="s">
        <v>1064</v>
      </c>
      <c r="N773" s="4" t="s">
        <v>98</v>
      </c>
      <c r="O773" s="4" t="s">
        <v>1822</v>
      </c>
      <c r="P773" s="4" t="s">
        <v>1823</v>
      </c>
    </row>
    <row r="774" spans="1:16" ht="15.6" x14ac:dyDescent="0.3">
      <c r="A774" s="2">
        <v>598072</v>
      </c>
      <c r="B774" s="2" t="s">
        <v>26</v>
      </c>
      <c r="C774" s="2" t="s">
        <v>77</v>
      </c>
      <c r="D774" s="2" t="str">
        <f t="shared" si="12"/>
        <v>IPL-2013</v>
      </c>
      <c r="E774" s="2">
        <f>YEAR('IPL Info'!$F774)</f>
        <v>2013</v>
      </c>
      <c r="F774" s="3">
        <v>41418</v>
      </c>
      <c r="G774" s="2" t="s">
        <v>77</v>
      </c>
      <c r="H774" s="2" t="s">
        <v>31</v>
      </c>
      <c r="I774" s="2" t="s">
        <v>19</v>
      </c>
      <c r="J774" s="2" t="s">
        <v>20</v>
      </c>
      <c r="K774" s="2" t="s">
        <v>26</v>
      </c>
      <c r="L774" s="2" t="s">
        <v>1129</v>
      </c>
      <c r="M774" s="2" t="s">
        <v>1064</v>
      </c>
      <c r="N774" s="2" t="s">
        <v>98</v>
      </c>
      <c r="O774" s="2" t="s">
        <v>1824</v>
      </c>
      <c r="P774" s="2" t="s">
        <v>1825</v>
      </c>
    </row>
    <row r="775" spans="1:16" ht="15.6" x14ac:dyDescent="0.3">
      <c r="A775" s="4">
        <v>598071</v>
      </c>
      <c r="B775" s="4" t="s">
        <v>77</v>
      </c>
      <c r="C775" s="4" t="s">
        <v>55</v>
      </c>
      <c r="D775" s="4" t="str">
        <f t="shared" si="12"/>
        <v>IPL-2013</v>
      </c>
      <c r="E775" s="4">
        <f>YEAR('IPL Info'!$F775)</f>
        <v>2013</v>
      </c>
      <c r="F775" s="5">
        <v>41416</v>
      </c>
      <c r="G775" s="4" t="s">
        <v>55</v>
      </c>
      <c r="H775" s="4" t="s">
        <v>31</v>
      </c>
      <c r="I775" s="4" t="s">
        <v>19</v>
      </c>
      <c r="J775" s="4" t="s">
        <v>20</v>
      </c>
      <c r="K775" s="4" t="s">
        <v>77</v>
      </c>
      <c r="L775" s="4" t="s">
        <v>1826</v>
      </c>
      <c r="M775" s="4" t="s">
        <v>1310</v>
      </c>
      <c r="N775" s="4" t="s">
        <v>59</v>
      </c>
      <c r="O775" s="4" t="s">
        <v>1827</v>
      </c>
      <c r="P775" s="4" t="s">
        <v>1828</v>
      </c>
    </row>
    <row r="776" spans="1:16" ht="15.6" x14ac:dyDescent="0.3">
      <c r="A776" s="2">
        <v>598070</v>
      </c>
      <c r="B776" s="2" t="s">
        <v>51</v>
      </c>
      <c r="C776" s="2" t="s">
        <v>26</v>
      </c>
      <c r="D776" s="2" t="str">
        <f t="shared" si="12"/>
        <v>IPL-2013</v>
      </c>
      <c r="E776" s="2">
        <f>YEAR('IPL Info'!$F776)</f>
        <v>2013</v>
      </c>
      <c r="F776" s="3">
        <v>41415</v>
      </c>
      <c r="G776" s="2" t="s">
        <v>51</v>
      </c>
      <c r="H776" s="2" t="s">
        <v>31</v>
      </c>
      <c r="I776" s="2" t="s">
        <v>19</v>
      </c>
      <c r="J776" s="2" t="s">
        <v>20</v>
      </c>
      <c r="K776" s="2" t="s">
        <v>51</v>
      </c>
      <c r="L776" s="2" t="s">
        <v>1711</v>
      </c>
      <c r="M776" s="2" t="s">
        <v>1310</v>
      </c>
      <c r="N776" s="2" t="s">
        <v>59</v>
      </c>
      <c r="O776" s="2" t="s">
        <v>1829</v>
      </c>
      <c r="P776" s="2" t="s">
        <v>1830</v>
      </c>
    </row>
    <row r="777" spans="1:16" ht="15.6" x14ac:dyDescent="0.3">
      <c r="A777" s="4">
        <v>598069</v>
      </c>
      <c r="B777" s="4" t="s">
        <v>55</v>
      </c>
      <c r="C777" s="4" t="s">
        <v>56</v>
      </c>
      <c r="D777" s="4" t="str">
        <f t="shared" si="12"/>
        <v>IPL-2013</v>
      </c>
      <c r="E777" s="4">
        <f>YEAR('IPL Info'!$F777)</f>
        <v>2013</v>
      </c>
      <c r="F777" s="5">
        <v>41413</v>
      </c>
      <c r="G777" s="4" t="s">
        <v>56</v>
      </c>
      <c r="H777" s="4" t="s">
        <v>31</v>
      </c>
      <c r="I777" s="4" t="s">
        <v>19</v>
      </c>
      <c r="J777" s="4" t="s">
        <v>20</v>
      </c>
      <c r="K777" s="4" t="s">
        <v>55</v>
      </c>
      <c r="L777" s="4" t="s">
        <v>1083</v>
      </c>
      <c r="M777" s="4" t="s">
        <v>1298</v>
      </c>
      <c r="N777" s="4" t="s">
        <v>105</v>
      </c>
      <c r="O777" s="4" t="s">
        <v>1831</v>
      </c>
      <c r="P777" s="4" t="s">
        <v>1832</v>
      </c>
    </row>
    <row r="778" spans="1:16" ht="15.6" x14ac:dyDescent="0.3">
      <c r="A778" s="2">
        <v>598067</v>
      </c>
      <c r="B778" s="2" t="s">
        <v>1833</v>
      </c>
      <c r="C778" s="2" t="s">
        <v>1182</v>
      </c>
      <c r="D778" s="2" t="str">
        <f t="shared" si="12"/>
        <v>IPL-2013</v>
      </c>
      <c r="E778" s="2">
        <f>YEAR('IPL Info'!$F778)</f>
        <v>2013</v>
      </c>
      <c r="F778" s="3">
        <v>41413</v>
      </c>
      <c r="G778" s="2" t="s">
        <v>1833</v>
      </c>
      <c r="H778" s="2" t="s">
        <v>31</v>
      </c>
      <c r="I778" s="2" t="s">
        <v>19</v>
      </c>
      <c r="J778" s="2" t="s">
        <v>20</v>
      </c>
      <c r="K778" s="2" t="s">
        <v>1833</v>
      </c>
      <c r="L778" s="2" t="s">
        <v>1834</v>
      </c>
      <c r="M778" s="2" t="s">
        <v>1835</v>
      </c>
      <c r="N778" s="2" t="s">
        <v>635</v>
      </c>
      <c r="O778" s="2" t="s">
        <v>1836</v>
      </c>
      <c r="P778" s="2" t="s">
        <v>1837</v>
      </c>
    </row>
    <row r="779" spans="1:16" ht="15.6" x14ac:dyDescent="0.3">
      <c r="A779" s="4">
        <v>598068</v>
      </c>
      <c r="B779" s="4" t="s">
        <v>445</v>
      </c>
      <c r="C779" s="4" t="s">
        <v>51</v>
      </c>
      <c r="D779" s="4" t="str">
        <f t="shared" si="12"/>
        <v>IPL-2013</v>
      </c>
      <c r="E779" s="4">
        <f>YEAR('IPL Info'!$F779)</f>
        <v>2013</v>
      </c>
      <c r="F779" s="5">
        <v>41412</v>
      </c>
      <c r="G779" s="4" t="s">
        <v>51</v>
      </c>
      <c r="H779" s="4" t="s">
        <v>18</v>
      </c>
      <c r="I779" s="4" t="s">
        <v>19</v>
      </c>
      <c r="J779" s="4" t="s">
        <v>20</v>
      </c>
      <c r="K779" s="4" t="s">
        <v>445</v>
      </c>
      <c r="L779" s="4" t="s">
        <v>158</v>
      </c>
      <c r="M779" s="4" t="s">
        <v>1301</v>
      </c>
      <c r="N779" s="4" t="s">
        <v>1302</v>
      </c>
      <c r="O779" s="4" t="s">
        <v>1838</v>
      </c>
      <c r="P779" s="4" t="s">
        <v>1839</v>
      </c>
    </row>
    <row r="780" spans="1:16" ht="15.6" x14ac:dyDescent="0.3">
      <c r="A780" s="2">
        <v>598066</v>
      </c>
      <c r="B780" s="2" t="s">
        <v>925</v>
      </c>
      <c r="C780" s="2" t="s">
        <v>26</v>
      </c>
      <c r="D780" s="2" t="str">
        <f t="shared" si="12"/>
        <v>IPL-2013</v>
      </c>
      <c r="E780" s="2">
        <f>YEAR('IPL Info'!$F780)</f>
        <v>2013</v>
      </c>
      <c r="F780" s="3">
        <v>41412</v>
      </c>
      <c r="G780" s="2" t="s">
        <v>26</v>
      </c>
      <c r="H780" s="2" t="s">
        <v>18</v>
      </c>
      <c r="I780" s="2" t="s">
        <v>19</v>
      </c>
      <c r="J780" s="2" t="s">
        <v>20</v>
      </c>
      <c r="K780" s="2" t="s">
        <v>925</v>
      </c>
      <c r="L780" s="2" t="s">
        <v>1840</v>
      </c>
      <c r="M780" s="2" t="s">
        <v>1841</v>
      </c>
      <c r="N780" s="2" t="s">
        <v>93</v>
      </c>
      <c r="O780" s="2" t="s">
        <v>1842</v>
      </c>
      <c r="P780" s="2" t="s">
        <v>1843</v>
      </c>
    </row>
    <row r="781" spans="1:16" ht="15.6" x14ac:dyDescent="0.3">
      <c r="A781" s="4">
        <v>598065</v>
      </c>
      <c r="B781" s="4" t="s">
        <v>55</v>
      </c>
      <c r="C781" s="4" t="s">
        <v>77</v>
      </c>
      <c r="D781" s="4" t="str">
        <f t="shared" si="12"/>
        <v>IPL-2013</v>
      </c>
      <c r="E781" s="4">
        <f>YEAR('IPL Info'!$F781)</f>
        <v>2013</v>
      </c>
      <c r="F781" s="5">
        <v>41411</v>
      </c>
      <c r="G781" s="4" t="s">
        <v>55</v>
      </c>
      <c r="H781" s="4" t="s">
        <v>31</v>
      </c>
      <c r="I781" s="4" t="s">
        <v>19</v>
      </c>
      <c r="J781" s="4" t="s">
        <v>20</v>
      </c>
      <c r="K781" s="4" t="s">
        <v>55</v>
      </c>
      <c r="L781" s="4" t="s">
        <v>882</v>
      </c>
      <c r="M781" s="4" t="s">
        <v>1298</v>
      </c>
      <c r="N781" s="4" t="s">
        <v>105</v>
      </c>
      <c r="O781" s="4" t="s">
        <v>1844</v>
      </c>
      <c r="P781" s="4" t="s">
        <v>1845</v>
      </c>
    </row>
    <row r="782" spans="1:16" ht="15.6" x14ac:dyDescent="0.3">
      <c r="A782" s="2">
        <v>598028</v>
      </c>
      <c r="B782" s="2" t="s">
        <v>925</v>
      </c>
      <c r="C782" s="2" t="s">
        <v>1182</v>
      </c>
      <c r="D782" s="2" t="str">
        <f t="shared" si="12"/>
        <v>IPL-2013</v>
      </c>
      <c r="E782" s="2">
        <f>YEAR('IPL Info'!$F782)</f>
        <v>2013</v>
      </c>
      <c r="F782" s="3">
        <v>41410</v>
      </c>
      <c r="G782" s="2" t="s">
        <v>1182</v>
      </c>
      <c r="H782" s="2" t="s">
        <v>18</v>
      </c>
      <c r="I782" s="2" t="s">
        <v>19</v>
      </c>
      <c r="J782" s="2" t="s">
        <v>20</v>
      </c>
      <c r="K782" s="2" t="s">
        <v>925</v>
      </c>
      <c r="L782" s="2" t="s">
        <v>611</v>
      </c>
      <c r="M782" s="2" t="s">
        <v>1841</v>
      </c>
      <c r="N782" s="2" t="s">
        <v>93</v>
      </c>
      <c r="O782" s="2" t="s">
        <v>1846</v>
      </c>
      <c r="P782" s="2" t="s">
        <v>1847</v>
      </c>
    </row>
    <row r="783" spans="1:16" ht="15.6" x14ac:dyDescent="0.3">
      <c r="A783" s="4">
        <v>598061</v>
      </c>
      <c r="B783" s="4" t="s">
        <v>56</v>
      </c>
      <c r="C783" s="4" t="s">
        <v>1833</v>
      </c>
      <c r="D783" s="4" t="str">
        <f t="shared" si="12"/>
        <v>IPL-2013</v>
      </c>
      <c r="E783" s="4">
        <f>YEAR('IPL Info'!$F783)</f>
        <v>2013</v>
      </c>
      <c r="F783" s="5">
        <v>41409</v>
      </c>
      <c r="G783" s="4" t="s">
        <v>56</v>
      </c>
      <c r="H783" s="4" t="s">
        <v>18</v>
      </c>
      <c r="I783" s="4" t="s">
        <v>19</v>
      </c>
      <c r="J783" s="4" t="s">
        <v>20</v>
      </c>
      <c r="K783" s="4" t="s">
        <v>1833</v>
      </c>
      <c r="L783" s="4" t="s">
        <v>953</v>
      </c>
      <c r="M783" s="4" t="s">
        <v>1567</v>
      </c>
      <c r="N783" s="4" t="s">
        <v>1568</v>
      </c>
      <c r="O783" s="4" t="s">
        <v>1848</v>
      </c>
      <c r="P783" s="4" t="s">
        <v>1849</v>
      </c>
    </row>
    <row r="784" spans="1:16" ht="15.6" x14ac:dyDescent="0.3">
      <c r="A784" s="2">
        <v>598063</v>
      </c>
      <c r="B784" s="2" t="s">
        <v>26</v>
      </c>
      <c r="C784" s="2" t="s">
        <v>77</v>
      </c>
      <c r="D784" s="2" t="str">
        <f t="shared" si="12"/>
        <v>IPL-2013</v>
      </c>
      <c r="E784" s="2">
        <f>YEAR('IPL Info'!$F784)</f>
        <v>2013</v>
      </c>
      <c r="F784" s="3">
        <v>41409</v>
      </c>
      <c r="G784" s="2" t="s">
        <v>77</v>
      </c>
      <c r="H784" s="2" t="s">
        <v>18</v>
      </c>
      <c r="I784" s="2" t="s">
        <v>19</v>
      </c>
      <c r="J784" s="2" t="s">
        <v>20</v>
      </c>
      <c r="K784" s="2" t="s">
        <v>26</v>
      </c>
      <c r="L784" s="2" t="s">
        <v>1850</v>
      </c>
      <c r="M784" s="2" t="s">
        <v>1045</v>
      </c>
      <c r="N784" s="2" t="s">
        <v>74</v>
      </c>
      <c r="O784" s="2" t="s">
        <v>1851</v>
      </c>
      <c r="P784" s="2" t="s">
        <v>1852</v>
      </c>
    </row>
    <row r="785" spans="1:16" ht="15.6" x14ac:dyDescent="0.3">
      <c r="A785" s="4">
        <v>598045</v>
      </c>
      <c r="B785" s="4" t="s">
        <v>445</v>
      </c>
      <c r="C785" s="4" t="s">
        <v>925</v>
      </c>
      <c r="D785" s="4" t="str">
        <f t="shared" si="12"/>
        <v>IPL-2013</v>
      </c>
      <c r="E785" s="4">
        <f>YEAR('IPL Info'!$F785)</f>
        <v>2013</v>
      </c>
      <c r="F785" s="5">
        <v>41408</v>
      </c>
      <c r="G785" s="4" t="s">
        <v>925</v>
      </c>
      <c r="H785" s="4" t="s">
        <v>18</v>
      </c>
      <c r="I785" s="4" t="s">
        <v>19</v>
      </c>
      <c r="J785" s="4" t="s">
        <v>20</v>
      </c>
      <c r="K785" s="4" t="s">
        <v>925</v>
      </c>
      <c r="L785" s="4" t="s">
        <v>1853</v>
      </c>
      <c r="M785" s="4" t="s">
        <v>1301</v>
      </c>
      <c r="N785" s="4" t="s">
        <v>1302</v>
      </c>
      <c r="O785" s="4" t="s">
        <v>1854</v>
      </c>
      <c r="P785" s="4" t="s">
        <v>1855</v>
      </c>
    </row>
    <row r="786" spans="1:16" ht="15.6" x14ac:dyDescent="0.3">
      <c r="A786" s="2">
        <v>598062</v>
      </c>
      <c r="B786" s="2" t="s">
        <v>51</v>
      </c>
      <c r="C786" s="2" t="s">
        <v>1182</v>
      </c>
      <c r="D786" s="2" t="str">
        <f t="shared" si="12"/>
        <v>IPL-2013</v>
      </c>
      <c r="E786" s="2">
        <f>YEAR('IPL Info'!$F786)</f>
        <v>2013</v>
      </c>
      <c r="F786" s="3">
        <v>41408</v>
      </c>
      <c r="G786" s="2" t="s">
        <v>51</v>
      </c>
      <c r="H786" s="2" t="s">
        <v>31</v>
      </c>
      <c r="I786" s="2" t="s">
        <v>19</v>
      </c>
      <c r="J786" s="2" t="s">
        <v>20</v>
      </c>
      <c r="K786" s="2" t="s">
        <v>51</v>
      </c>
      <c r="L786" s="2" t="s">
        <v>180</v>
      </c>
      <c r="M786" s="2" t="s">
        <v>1598</v>
      </c>
      <c r="N786" s="2" t="s">
        <v>126</v>
      </c>
      <c r="O786" s="2" t="s">
        <v>1856</v>
      </c>
      <c r="P786" s="2" t="s">
        <v>1857</v>
      </c>
    </row>
    <row r="787" spans="1:16" ht="15.6" x14ac:dyDescent="0.3">
      <c r="A787" s="4">
        <v>598060</v>
      </c>
      <c r="B787" s="4" t="s">
        <v>26</v>
      </c>
      <c r="C787" s="4" t="s">
        <v>55</v>
      </c>
      <c r="D787" s="4" t="str">
        <f t="shared" si="12"/>
        <v>IPL-2013</v>
      </c>
      <c r="E787" s="4">
        <f>YEAR('IPL Info'!$F787)</f>
        <v>2013</v>
      </c>
      <c r="F787" s="5">
        <v>41407</v>
      </c>
      <c r="G787" s="4" t="s">
        <v>55</v>
      </c>
      <c r="H787" s="4" t="s">
        <v>31</v>
      </c>
      <c r="I787" s="4" t="s">
        <v>19</v>
      </c>
      <c r="J787" s="4" t="s">
        <v>20</v>
      </c>
      <c r="K787" s="4" t="s">
        <v>26</v>
      </c>
      <c r="L787" s="4" t="s">
        <v>819</v>
      </c>
      <c r="M787" s="4" t="s">
        <v>1045</v>
      </c>
      <c r="N787" s="4" t="s">
        <v>74</v>
      </c>
      <c r="O787" s="4" t="s">
        <v>1858</v>
      </c>
      <c r="P787" s="4" t="s">
        <v>1859</v>
      </c>
    </row>
    <row r="788" spans="1:16" ht="15.6" x14ac:dyDescent="0.3">
      <c r="A788" s="2">
        <v>598057</v>
      </c>
      <c r="B788" s="2" t="s">
        <v>56</v>
      </c>
      <c r="C788" s="2" t="s">
        <v>445</v>
      </c>
      <c r="D788" s="2" t="str">
        <f t="shared" si="12"/>
        <v>IPL-2013</v>
      </c>
      <c r="E788" s="2">
        <f>YEAR('IPL Info'!$F788)</f>
        <v>2013</v>
      </c>
      <c r="F788" s="3">
        <v>41406</v>
      </c>
      <c r="G788" s="2" t="s">
        <v>56</v>
      </c>
      <c r="H788" s="2" t="s">
        <v>18</v>
      </c>
      <c r="I788" s="2" t="s">
        <v>19</v>
      </c>
      <c r="J788" s="2" t="s">
        <v>20</v>
      </c>
      <c r="K788" s="2" t="s">
        <v>56</v>
      </c>
      <c r="L788" s="2" t="s">
        <v>1819</v>
      </c>
      <c r="M788" s="2" t="s">
        <v>1567</v>
      </c>
      <c r="N788" s="2" t="s">
        <v>1568</v>
      </c>
      <c r="O788" s="2" t="s">
        <v>1860</v>
      </c>
      <c r="P788" s="2" t="s">
        <v>1861</v>
      </c>
    </row>
    <row r="789" spans="1:16" ht="15.6" x14ac:dyDescent="0.3">
      <c r="A789" s="4">
        <v>598058</v>
      </c>
      <c r="B789" s="4" t="s">
        <v>77</v>
      </c>
      <c r="C789" s="4" t="s">
        <v>51</v>
      </c>
      <c r="D789" s="4" t="str">
        <f t="shared" si="12"/>
        <v>IPL-2013</v>
      </c>
      <c r="E789" s="4">
        <f>YEAR('IPL Info'!$F789)</f>
        <v>2013</v>
      </c>
      <c r="F789" s="5">
        <v>41406</v>
      </c>
      <c r="G789" s="4" t="s">
        <v>77</v>
      </c>
      <c r="H789" s="4" t="s">
        <v>18</v>
      </c>
      <c r="I789" s="4" t="s">
        <v>19</v>
      </c>
      <c r="J789" s="4" t="s">
        <v>20</v>
      </c>
      <c r="K789" s="4" t="s">
        <v>77</v>
      </c>
      <c r="L789" s="4" t="s">
        <v>996</v>
      </c>
      <c r="M789" s="4" t="s">
        <v>1069</v>
      </c>
      <c r="N789" s="4" t="s">
        <v>48</v>
      </c>
      <c r="O789" s="4" t="s">
        <v>1862</v>
      </c>
      <c r="P789" s="4" t="s">
        <v>1863</v>
      </c>
    </row>
    <row r="790" spans="1:16" ht="15.6" x14ac:dyDescent="0.3">
      <c r="A790" s="2">
        <v>598055</v>
      </c>
      <c r="B790" s="2" t="s">
        <v>1833</v>
      </c>
      <c r="C790" s="2" t="s">
        <v>26</v>
      </c>
      <c r="D790" s="2" t="str">
        <f t="shared" si="12"/>
        <v>IPL-2013</v>
      </c>
      <c r="E790" s="2">
        <f>YEAR('IPL Info'!$F790)</f>
        <v>2013</v>
      </c>
      <c r="F790" s="3">
        <v>41405</v>
      </c>
      <c r="G790" s="2" t="s">
        <v>1833</v>
      </c>
      <c r="H790" s="2" t="s">
        <v>31</v>
      </c>
      <c r="I790" s="2" t="s">
        <v>19</v>
      </c>
      <c r="J790" s="2" t="s">
        <v>20</v>
      </c>
      <c r="K790" s="2" t="s">
        <v>26</v>
      </c>
      <c r="L790" s="2" t="s">
        <v>1864</v>
      </c>
      <c r="M790" s="2" t="s">
        <v>1835</v>
      </c>
      <c r="N790" s="2" t="s">
        <v>635</v>
      </c>
      <c r="O790" s="2" t="s">
        <v>1865</v>
      </c>
      <c r="P790" s="2" t="s">
        <v>1866</v>
      </c>
    </row>
    <row r="791" spans="1:16" ht="15.6" x14ac:dyDescent="0.3">
      <c r="A791" s="4">
        <v>598056</v>
      </c>
      <c r="B791" s="4" t="s">
        <v>925</v>
      </c>
      <c r="C791" s="4" t="s">
        <v>55</v>
      </c>
      <c r="D791" s="4" t="str">
        <f t="shared" si="12"/>
        <v>IPL-2013</v>
      </c>
      <c r="E791" s="4">
        <f>YEAR('IPL Info'!$F791)</f>
        <v>2013</v>
      </c>
      <c r="F791" s="5">
        <v>41405</v>
      </c>
      <c r="G791" s="4" t="s">
        <v>925</v>
      </c>
      <c r="H791" s="4" t="s">
        <v>18</v>
      </c>
      <c r="I791" s="4" t="s">
        <v>19</v>
      </c>
      <c r="J791" s="4" t="s">
        <v>20</v>
      </c>
      <c r="K791" s="4" t="s">
        <v>55</v>
      </c>
      <c r="L791" s="4" t="s">
        <v>1083</v>
      </c>
      <c r="M791" s="4" t="s">
        <v>1580</v>
      </c>
      <c r="N791" s="4" t="s">
        <v>502</v>
      </c>
      <c r="O791" s="4" t="s">
        <v>1867</v>
      </c>
      <c r="P791" s="4" t="s">
        <v>1868</v>
      </c>
    </row>
    <row r="792" spans="1:16" ht="15.6" x14ac:dyDescent="0.3">
      <c r="A792" s="2">
        <v>598054</v>
      </c>
      <c r="B792" s="2" t="s">
        <v>1182</v>
      </c>
      <c r="C792" s="2" t="s">
        <v>445</v>
      </c>
      <c r="D792" s="2" t="str">
        <f t="shared" si="12"/>
        <v>IPL-2013</v>
      </c>
      <c r="E792" s="2">
        <f>YEAR('IPL Info'!$F792)</f>
        <v>2013</v>
      </c>
      <c r="F792" s="3">
        <v>41404</v>
      </c>
      <c r="G792" s="2" t="s">
        <v>1182</v>
      </c>
      <c r="H792" s="2" t="s">
        <v>18</v>
      </c>
      <c r="I792" s="2" t="s">
        <v>19</v>
      </c>
      <c r="J792" s="2" t="s">
        <v>20</v>
      </c>
      <c r="K792" s="2" t="s">
        <v>445</v>
      </c>
      <c r="L792" s="2" t="s">
        <v>896</v>
      </c>
      <c r="M792" s="2" t="s">
        <v>1310</v>
      </c>
      <c r="N792" s="2" t="s">
        <v>59</v>
      </c>
      <c r="O792" s="2" t="s">
        <v>1869</v>
      </c>
      <c r="P792" s="2" t="s">
        <v>1870</v>
      </c>
    </row>
    <row r="793" spans="1:16" ht="15.6" x14ac:dyDescent="0.3">
      <c r="A793" s="4">
        <v>598053</v>
      </c>
      <c r="B793" s="4" t="s">
        <v>1833</v>
      </c>
      <c r="C793" s="4" t="s">
        <v>56</v>
      </c>
      <c r="D793" s="4" t="str">
        <f t="shared" si="12"/>
        <v>IPL-2013</v>
      </c>
      <c r="E793" s="4">
        <f>YEAR('IPL Info'!$F793)</f>
        <v>2013</v>
      </c>
      <c r="F793" s="5">
        <v>41403</v>
      </c>
      <c r="G793" s="4" t="s">
        <v>56</v>
      </c>
      <c r="H793" s="4" t="s">
        <v>31</v>
      </c>
      <c r="I793" s="4" t="s">
        <v>19</v>
      </c>
      <c r="J793" s="4" t="s">
        <v>20</v>
      </c>
      <c r="K793" s="4" t="s">
        <v>56</v>
      </c>
      <c r="L793" s="4" t="s">
        <v>1364</v>
      </c>
      <c r="M793" s="4" t="s">
        <v>1835</v>
      </c>
      <c r="N793" s="4" t="s">
        <v>635</v>
      </c>
      <c r="O793" s="4" t="s">
        <v>1871</v>
      </c>
      <c r="P793" s="4" t="s">
        <v>1872</v>
      </c>
    </row>
    <row r="794" spans="1:16" ht="15.6" x14ac:dyDescent="0.3">
      <c r="A794" s="2">
        <v>598052</v>
      </c>
      <c r="B794" s="2" t="s">
        <v>925</v>
      </c>
      <c r="C794" s="2" t="s">
        <v>77</v>
      </c>
      <c r="D794" s="2" t="str">
        <f t="shared" si="12"/>
        <v>IPL-2013</v>
      </c>
      <c r="E794" s="2">
        <f>YEAR('IPL Info'!$F794)</f>
        <v>2013</v>
      </c>
      <c r="F794" s="3">
        <v>41403</v>
      </c>
      <c r="G794" s="2" t="s">
        <v>77</v>
      </c>
      <c r="H794" s="2" t="s">
        <v>18</v>
      </c>
      <c r="I794" s="2" t="s">
        <v>19</v>
      </c>
      <c r="J794" s="2" t="s">
        <v>20</v>
      </c>
      <c r="K794" s="2" t="s">
        <v>77</v>
      </c>
      <c r="L794" s="2" t="s">
        <v>1873</v>
      </c>
      <c r="M794" s="2" t="s">
        <v>1580</v>
      </c>
      <c r="N794" s="2" t="s">
        <v>502</v>
      </c>
      <c r="O794" s="2" t="s">
        <v>1874</v>
      </c>
      <c r="P794" s="2" t="s">
        <v>1875</v>
      </c>
    </row>
    <row r="795" spans="1:16" ht="15.6" x14ac:dyDescent="0.3">
      <c r="A795" s="4">
        <v>598051</v>
      </c>
      <c r="B795" s="4" t="s">
        <v>55</v>
      </c>
      <c r="C795" s="4" t="s">
        <v>51</v>
      </c>
      <c r="D795" s="4" t="str">
        <f t="shared" si="12"/>
        <v>IPL-2013</v>
      </c>
      <c r="E795" s="4">
        <f>YEAR('IPL Info'!$F795)</f>
        <v>2013</v>
      </c>
      <c r="F795" s="5">
        <v>41402</v>
      </c>
      <c r="G795" s="4" t="s">
        <v>55</v>
      </c>
      <c r="H795" s="4" t="s">
        <v>18</v>
      </c>
      <c r="I795" s="4" t="s">
        <v>19</v>
      </c>
      <c r="J795" s="4" t="s">
        <v>20</v>
      </c>
      <c r="K795" s="4" t="s">
        <v>51</v>
      </c>
      <c r="L795" s="4" t="s">
        <v>1386</v>
      </c>
      <c r="M795" s="4" t="s">
        <v>1298</v>
      </c>
      <c r="N795" s="4" t="s">
        <v>105</v>
      </c>
      <c r="O795" s="4" t="s">
        <v>1876</v>
      </c>
      <c r="P795" s="4" t="s">
        <v>1877</v>
      </c>
    </row>
    <row r="796" spans="1:16" ht="15.6" x14ac:dyDescent="0.3">
      <c r="A796" s="2">
        <v>598049</v>
      </c>
      <c r="B796" s="2" t="s">
        <v>77</v>
      </c>
      <c r="C796" s="2" t="s">
        <v>1182</v>
      </c>
      <c r="D796" s="2" t="str">
        <f t="shared" si="12"/>
        <v>IPL-2013</v>
      </c>
      <c r="E796" s="2">
        <f>YEAR('IPL Info'!$F796)</f>
        <v>2013</v>
      </c>
      <c r="F796" s="3">
        <v>41401</v>
      </c>
      <c r="G796" s="2" t="s">
        <v>1182</v>
      </c>
      <c r="H796" s="2" t="s">
        <v>31</v>
      </c>
      <c r="I796" s="2" t="s">
        <v>19</v>
      </c>
      <c r="J796" s="2" t="s">
        <v>20</v>
      </c>
      <c r="K796" s="2" t="s">
        <v>77</v>
      </c>
      <c r="L796" s="2" t="s">
        <v>530</v>
      </c>
      <c r="M796" s="2" t="s">
        <v>1069</v>
      </c>
      <c r="N796" s="2" t="s">
        <v>48</v>
      </c>
      <c r="O796" s="2" t="s">
        <v>1878</v>
      </c>
      <c r="P796" s="2" t="s">
        <v>1879</v>
      </c>
    </row>
    <row r="797" spans="1:16" ht="15.6" x14ac:dyDescent="0.3">
      <c r="A797" s="4">
        <v>598050</v>
      </c>
      <c r="B797" s="4" t="s">
        <v>26</v>
      </c>
      <c r="C797" s="4" t="s">
        <v>56</v>
      </c>
      <c r="D797" s="4" t="str">
        <f t="shared" si="12"/>
        <v>IPL-2013</v>
      </c>
      <c r="E797" s="4">
        <f>YEAR('IPL Info'!$F797)</f>
        <v>2013</v>
      </c>
      <c r="F797" s="5">
        <v>41401</v>
      </c>
      <c r="G797" s="4" t="s">
        <v>26</v>
      </c>
      <c r="H797" s="4" t="s">
        <v>31</v>
      </c>
      <c r="I797" s="4" t="s">
        <v>19</v>
      </c>
      <c r="J797" s="4" t="s">
        <v>20</v>
      </c>
      <c r="K797" s="4" t="s">
        <v>26</v>
      </c>
      <c r="L797" s="4" t="s">
        <v>1880</v>
      </c>
      <c r="M797" s="4" t="s">
        <v>1045</v>
      </c>
      <c r="N797" s="4" t="s">
        <v>74</v>
      </c>
      <c r="O797" s="4" t="s">
        <v>1881</v>
      </c>
      <c r="P797" s="4" t="s">
        <v>1882</v>
      </c>
    </row>
    <row r="798" spans="1:16" ht="15.6" x14ac:dyDescent="0.3">
      <c r="A798" s="2">
        <v>598064</v>
      </c>
      <c r="B798" s="2" t="s">
        <v>925</v>
      </c>
      <c r="C798" s="2" t="s">
        <v>445</v>
      </c>
      <c r="D798" s="2" t="str">
        <f t="shared" si="12"/>
        <v>IPL-2013</v>
      </c>
      <c r="E798" s="2">
        <f>YEAR('IPL Info'!$F798)</f>
        <v>2013</v>
      </c>
      <c r="F798" s="3">
        <v>41400</v>
      </c>
      <c r="G798" s="2" t="s">
        <v>925</v>
      </c>
      <c r="H798" s="2" t="s">
        <v>18</v>
      </c>
      <c r="I798" s="2" t="s">
        <v>19</v>
      </c>
      <c r="J798" s="2" t="s">
        <v>20</v>
      </c>
      <c r="K798" s="2" t="s">
        <v>925</v>
      </c>
      <c r="L798" s="2" t="s">
        <v>611</v>
      </c>
      <c r="M798" s="2" t="s">
        <v>1580</v>
      </c>
      <c r="N798" s="2" t="s">
        <v>502</v>
      </c>
      <c r="O798" s="2" t="s">
        <v>1883</v>
      </c>
      <c r="P798" s="2" t="s">
        <v>1884</v>
      </c>
    </row>
    <row r="799" spans="1:16" ht="15.6" x14ac:dyDescent="0.3">
      <c r="A799" s="4">
        <v>598046</v>
      </c>
      <c r="B799" s="4" t="s">
        <v>26</v>
      </c>
      <c r="C799" s="4" t="s">
        <v>51</v>
      </c>
      <c r="D799" s="4" t="str">
        <f t="shared" si="12"/>
        <v>IPL-2013</v>
      </c>
      <c r="E799" s="4">
        <f>YEAR('IPL Info'!$F799)</f>
        <v>2013</v>
      </c>
      <c r="F799" s="5">
        <v>41399</v>
      </c>
      <c r="G799" s="4" t="s">
        <v>26</v>
      </c>
      <c r="H799" s="4" t="s">
        <v>31</v>
      </c>
      <c r="I799" s="4" t="s">
        <v>19</v>
      </c>
      <c r="J799" s="4" t="s">
        <v>20</v>
      </c>
      <c r="K799" s="4" t="s">
        <v>26</v>
      </c>
      <c r="L799" s="4" t="s">
        <v>1864</v>
      </c>
      <c r="M799" s="4" t="s">
        <v>1045</v>
      </c>
      <c r="N799" s="4" t="s">
        <v>74</v>
      </c>
      <c r="O799" s="4" t="s">
        <v>1885</v>
      </c>
      <c r="P799" s="4" t="s">
        <v>1886</v>
      </c>
    </row>
    <row r="800" spans="1:16" ht="15.6" x14ac:dyDescent="0.3">
      <c r="A800" s="2">
        <v>598047</v>
      </c>
      <c r="B800" s="2" t="s">
        <v>77</v>
      </c>
      <c r="C800" s="2" t="s">
        <v>1833</v>
      </c>
      <c r="D800" s="2" t="str">
        <f t="shared" si="12"/>
        <v>IPL-2013</v>
      </c>
      <c r="E800" s="2">
        <f>YEAR('IPL Info'!$F800)</f>
        <v>2013</v>
      </c>
      <c r="F800" s="3">
        <v>41399</v>
      </c>
      <c r="G800" s="2" t="s">
        <v>1833</v>
      </c>
      <c r="H800" s="2" t="s">
        <v>31</v>
      </c>
      <c r="I800" s="2" t="s">
        <v>19</v>
      </c>
      <c r="J800" s="2" t="s">
        <v>20</v>
      </c>
      <c r="K800" s="2" t="s">
        <v>77</v>
      </c>
      <c r="L800" s="2" t="s">
        <v>530</v>
      </c>
      <c r="M800" s="2" t="s">
        <v>1069</v>
      </c>
      <c r="N800" s="2" t="s">
        <v>48</v>
      </c>
      <c r="O800" s="2" t="s">
        <v>1887</v>
      </c>
      <c r="P800" s="2" t="s">
        <v>1888</v>
      </c>
    </row>
    <row r="801" spans="1:16" ht="15.6" x14ac:dyDescent="0.3">
      <c r="A801" s="4">
        <v>598044</v>
      </c>
      <c r="B801" s="4" t="s">
        <v>55</v>
      </c>
      <c r="C801" s="4" t="s">
        <v>1182</v>
      </c>
      <c r="D801" s="4" t="str">
        <f t="shared" si="12"/>
        <v>IPL-2013</v>
      </c>
      <c r="E801" s="4">
        <f>YEAR('IPL Info'!$F801)</f>
        <v>2013</v>
      </c>
      <c r="F801" s="5">
        <v>41398</v>
      </c>
      <c r="G801" s="4" t="s">
        <v>1182</v>
      </c>
      <c r="H801" s="4" t="s">
        <v>31</v>
      </c>
      <c r="I801" s="4" t="s">
        <v>19</v>
      </c>
      <c r="J801" s="4" t="s">
        <v>20</v>
      </c>
      <c r="K801" s="4" t="s">
        <v>55</v>
      </c>
      <c r="L801" s="4" t="s">
        <v>1889</v>
      </c>
      <c r="M801" s="4" t="s">
        <v>1298</v>
      </c>
      <c r="N801" s="4" t="s">
        <v>105</v>
      </c>
      <c r="O801" s="4" t="s">
        <v>1890</v>
      </c>
      <c r="P801" s="4" t="s">
        <v>1891</v>
      </c>
    </row>
    <row r="802" spans="1:16" ht="15.6" x14ac:dyDescent="0.3">
      <c r="A802" s="2">
        <v>598043</v>
      </c>
      <c r="B802" s="2" t="s">
        <v>56</v>
      </c>
      <c r="C802" s="2" t="s">
        <v>77</v>
      </c>
      <c r="D802" s="2" t="str">
        <f t="shared" si="12"/>
        <v>IPL-2013</v>
      </c>
      <c r="E802" s="2">
        <f>YEAR('IPL Info'!$F802)</f>
        <v>2013</v>
      </c>
      <c r="F802" s="3">
        <v>41397</v>
      </c>
      <c r="G802" s="2" t="s">
        <v>77</v>
      </c>
      <c r="H802" s="2" t="s">
        <v>31</v>
      </c>
      <c r="I802" s="2" t="s">
        <v>19</v>
      </c>
      <c r="J802" s="2" t="s">
        <v>20</v>
      </c>
      <c r="K802" s="2" t="s">
        <v>56</v>
      </c>
      <c r="L802" s="2" t="s">
        <v>1445</v>
      </c>
      <c r="M802" s="2" t="s">
        <v>1064</v>
      </c>
      <c r="N802" s="2" t="s">
        <v>98</v>
      </c>
      <c r="O802" s="2" t="s">
        <v>1892</v>
      </c>
      <c r="P802" s="2" t="s">
        <v>1893</v>
      </c>
    </row>
    <row r="803" spans="1:16" ht="15.6" x14ac:dyDescent="0.3">
      <c r="A803" s="4">
        <v>598042</v>
      </c>
      <c r="B803" s="4" t="s">
        <v>1833</v>
      </c>
      <c r="C803" s="4" t="s">
        <v>445</v>
      </c>
      <c r="D803" s="4" t="str">
        <f t="shared" si="12"/>
        <v>IPL-2013</v>
      </c>
      <c r="E803" s="4">
        <f>YEAR('IPL Info'!$F803)</f>
        <v>2013</v>
      </c>
      <c r="F803" s="5">
        <v>41396</v>
      </c>
      <c r="G803" s="4" t="s">
        <v>445</v>
      </c>
      <c r="H803" s="4" t="s">
        <v>31</v>
      </c>
      <c r="I803" s="4" t="s">
        <v>19</v>
      </c>
      <c r="J803" s="4" t="s">
        <v>20</v>
      </c>
      <c r="K803" s="4" t="s">
        <v>445</v>
      </c>
      <c r="L803" s="4" t="s">
        <v>861</v>
      </c>
      <c r="M803" s="4" t="s">
        <v>1835</v>
      </c>
      <c r="N803" s="4" t="s">
        <v>635</v>
      </c>
      <c r="O803" s="4" t="s">
        <v>1894</v>
      </c>
      <c r="P803" s="4" t="s">
        <v>1895</v>
      </c>
    </row>
    <row r="804" spans="1:16" ht="15.6" x14ac:dyDescent="0.3">
      <c r="A804" s="2">
        <v>598041</v>
      </c>
      <c r="B804" s="2" t="s">
        <v>51</v>
      </c>
      <c r="C804" s="2" t="s">
        <v>925</v>
      </c>
      <c r="D804" s="2" t="str">
        <f t="shared" si="12"/>
        <v>IPL-2013</v>
      </c>
      <c r="E804" s="2">
        <f>YEAR('IPL Info'!$F804)</f>
        <v>2013</v>
      </c>
      <c r="F804" s="3">
        <v>41396</v>
      </c>
      <c r="G804" s="2" t="s">
        <v>51</v>
      </c>
      <c r="H804" s="2" t="s">
        <v>31</v>
      </c>
      <c r="I804" s="2" t="s">
        <v>19</v>
      </c>
      <c r="J804" s="2" t="s">
        <v>20</v>
      </c>
      <c r="K804" s="2" t="s">
        <v>51</v>
      </c>
      <c r="L804" s="2" t="s">
        <v>1386</v>
      </c>
      <c r="M804" s="2" t="s">
        <v>1598</v>
      </c>
      <c r="N804" s="2" t="s">
        <v>126</v>
      </c>
      <c r="O804" s="2" t="s">
        <v>1896</v>
      </c>
      <c r="P804" s="2" t="s">
        <v>1897</v>
      </c>
    </row>
    <row r="805" spans="1:16" ht="15.6" x14ac:dyDescent="0.3">
      <c r="A805" s="4">
        <v>598039</v>
      </c>
      <c r="B805" s="4" t="s">
        <v>55</v>
      </c>
      <c r="C805" s="4" t="s">
        <v>26</v>
      </c>
      <c r="D805" s="4" t="str">
        <f t="shared" si="12"/>
        <v>IPL-2013</v>
      </c>
      <c r="E805" s="4">
        <f>YEAR('IPL Info'!$F805)</f>
        <v>2013</v>
      </c>
      <c r="F805" s="5">
        <v>41395</v>
      </c>
      <c r="G805" s="4" t="s">
        <v>26</v>
      </c>
      <c r="H805" s="4" t="s">
        <v>31</v>
      </c>
      <c r="I805" s="4" t="s">
        <v>19</v>
      </c>
      <c r="J805" s="4" t="s">
        <v>20</v>
      </c>
      <c r="K805" s="4" t="s">
        <v>55</v>
      </c>
      <c r="L805" s="4" t="s">
        <v>279</v>
      </c>
      <c r="M805" s="4" t="s">
        <v>1298</v>
      </c>
      <c r="N805" s="4" t="s">
        <v>105</v>
      </c>
      <c r="O805" s="4" t="s">
        <v>1898</v>
      </c>
      <c r="P805" s="4" t="s">
        <v>1899</v>
      </c>
    </row>
    <row r="806" spans="1:16" ht="15.6" x14ac:dyDescent="0.3">
      <c r="A806" s="2">
        <v>598040</v>
      </c>
      <c r="B806" s="2" t="s">
        <v>1182</v>
      </c>
      <c r="C806" s="2" t="s">
        <v>56</v>
      </c>
      <c r="D806" s="2" t="str">
        <f t="shared" si="12"/>
        <v>IPL-2013</v>
      </c>
      <c r="E806" s="2">
        <f>YEAR('IPL Info'!$F806)</f>
        <v>2013</v>
      </c>
      <c r="F806" s="3">
        <v>41395</v>
      </c>
      <c r="G806" s="2" t="s">
        <v>56</v>
      </c>
      <c r="H806" s="2" t="s">
        <v>31</v>
      </c>
      <c r="I806" s="2" t="s">
        <v>19</v>
      </c>
      <c r="J806" s="2" t="s">
        <v>20</v>
      </c>
      <c r="K806" s="2" t="s">
        <v>1182</v>
      </c>
      <c r="L806" s="2" t="s">
        <v>658</v>
      </c>
      <c r="M806" s="2" t="s">
        <v>1448</v>
      </c>
      <c r="N806" s="2" t="s">
        <v>1449</v>
      </c>
      <c r="O806" s="2" t="s">
        <v>1900</v>
      </c>
      <c r="P806" s="2" t="s">
        <v>1901</v>
      </c>
    </row>
    <row r="807" spans="1:16" ht="15.6" x14ac:dyDescent="0.3">
      <c r="A807" s="4">
        <v>598038</v>
      </c>
      <c r="B807" s="4" t="s">
        <v>1833</v>
      </c>
      <c r="C807" s="4" t="s">
        <v>51</v>
      </c>
      <c r="D807" s="4" t="str">
        <f t="shared" ref="D807:D870" si="13">_xlfn.SINGLE(_xlfn.CONCAT("IPL-",E807))</f>
        <v>IPL-2013</v>
      </c>
      <c r="E807" s="4">
        <f>YEAR('IPL Info'!$F807)</f>
        <v>2013</v>
      </c>
      <c r="F807" s="5">
        <v>41394</v>
      </c>
      <c r="G807" s="4" t="s">
        <v>51</v>
      </c>
      <c r="H807" s="4" t="s">
        <v>31</v>
      </c>
      <c r="I807" s="4" t="s">
        <v>19</v>
      </c>
      <c r="J807" s="4" t="s">
        <v>20</v>
      </c>
      <c r="K807" s="4" t="s">
        <v>51</v>
      </c>
      <c r="L807" s="4" t="s">
        <v>180</v>
      </c>
      <c r="M807" s="4" t="s">
        <v>1835</v>
      </c>
      <c r="N807" s="4" t="s">
        <v>635</v>
      </c>
      <c r="O807" s="4" t="s">
        <v>1902</v>
      </c>
      <c r="P807" s="4" t="s">
        <v>1903</v>
      </c>
    </row>
    <row r="808" spans="1:16" ht="15.6" x14ac:dyDescent="0.3">
      <c r="A808" s="2">
        <v>598036</v>
      </c>
      <c r="B808" s="2" t="s">
        <v>77</v>
      </c>
      <c r="C808" s="2" t="s">
        <v>445</v>
      </c>
      <c r="D808" s="2" t="str">
        <f t="shared" si="13"/>
        <v>IPL-2013</v>
      </c>
      <c r="E808" s="2">
        <f>YEAR('IPL Info'!$F808)</f>
        <v>2013</v>
      </c>
      <c r="F808" s="3">
        <v>41393</v>
      </c>
      <c r="G808" s="2" t="s">
        <v>77</v>
      </c>
      <c r="H808" s="2" t="s">
        <v>18</v>
      </c>
      <c r="I808" s="2" t="s">
        <v>19</v>
      </c>
      <c r="J808" s="2" t="s">
        <v>20</v>
      </c>
      <c r="K808" s="2" t="s">
        <v>77</v>
      </c>
      <c r="L808" s="2" t="s">
        <v>331</v>
      </c>
      <c r="M808" s="2" t="s">
        <v>1069</v>
      </c>
      <c r="N808" s="2" t="s">
        <v>48</v>
      </c>
      <c r="O808" s="2" t="s">
        <v>1904</v>
      </c>
      <c r="P808" s="2" t="s">
        <v>1905</v>
      </c>
    </row>
    <row r="809" spans="1:16" ht="15.6" x14ac:dyDescent="0.3">
      <c r="A809" s="4">
        <v>598037</v>
      </c>
      <c r="B809" s="4" t="s">
        <v>26</v>
      </c>
      <c r="C809" s="4" t="s">
        <v>925</v>
      </c>
      <c r="D809" s="4" t="str">
        <f t="shared" si="13"/>
        <v>IPL-2013</v>
      </c>
      <c r="E809" s="4">
        <f>YEAR('IPL Info'!$F809)</f>
        <v>2013</v>
      </c>
      <c r="F809" s="5">
        <v>41393</v>
      </c>
      <c r="G809" s="4" t="s">
        <v>26</v>
      </c>
      <c r="H809" s="4" t="s">
        <v>31</v>
      </c>
      <c r="I809" s="4" t="s">
        <v>19</v>
      </c>
      <c r="J809" s="4" t="s">
        <v>20</v>
      </c>
      <c r="K809" s="4" t="s">
        <v>26</v>
      </c>
      <c r="L809" s="4" t="s">
        <v>32</v>
      </c>
      <c r="M809" s="4" t="s">
        <v>1045</v>
      </c>
      <c r="N809" s="4" t="s">
        <v>74</v>
      </c>
      <c r="O809" s="4" t="s">
        <v>1899</v>
      </c>
      <c r="P809" s="4" t="s">
        <v>1906</v>
      </c>
    </row>
    <row r="810" spans="1:16" ht="15.6" x14ac:dyDescent="0.3">
      <c r="A810" s="2">
        <v>598035</v>
      </c>
      <c r="B810" s="2" t="s">
        <v>1182</v>
      </c>
      <c r="C810" s="2" t="s">
        <v>1833</v>
      </c>
      <c r="D810" s="2" t="str">
        <f t="shared" si="13"/>
        <v>IPL-2013</v>
      </c>
      <c r="E810" s="2">
        <f>YEAR('IPL Info'!$F810)</f>
        <v>2013</v>
      </c>
      <c r="F810" s="3">
        <v>41392</v>
      </c>
      <c r="G810" s="2" t="s">
        <v>1833</v>
      </c>
      <c r="H810" s="2" t="s">
        <v>18</v>
      </c>
      <c r="I810" s="2" t="s">
        <v>19</v>
      </c>
      <c r="J810" s="2" t="s">
        <v>20</v>
      </c>
      <c r="K810" s="2" t="s">
        <v>1182</v>
      </c>
      <c r="L810" s="2" t="s">
        <v>658</v>
      </c>
      <c r="M810" s="2" t="s">
        <v>1448</v>
      </c>
      <c r="N810" s="2" t="s">
        <v>1449</v>
      </c>
      <c r="O810" s="2" t="s">
        <v>1907</v>
      </c>
      <c r="P810" s="2" t="s">
        <v>1908</v>
      </c>
    </row>
    <row r="811" spans="1:16" ht="15.6" x14ac:dyDescent="0.3">
      <c r="A811" s="4">
        <v>598034</v>
      </c>
      <c r="B811" s="4" t="s">
        <v>51</v>
      </c>
      <c r="C811" s="4" t="s">
        <v>56</v>
      </c>
      <c r="D811" s="4" t="str">
        <f t="shared" si="13"/>
        <v>IPL-2013</v>
      </c>
      <c r="E811" s="4">
        <f>YEAR('IPL Info'!$F811)</f>
        <v>2013</v>
      </c>
      <c r="F811" s="5">
        <v>41392</v>
      </c>
      <c r="G811" s="4" t="s">
        <v>56</v>
      </c>
      <c r="H811" s="4" t="s">
        <v>18</v>
      </c>
      <c r="I811" s="4" t="s">
        <v>19</v>
      </c>
      <c r="J811" s="4" t="s">
        <v>20</v>
      </c>
      <c r="K811" s="4" t="s">
        <v>51</v>
      </c>
      <c r="L811" s="4" t="s">
        <v>1711</v>
      </c>
      <c r="M811" s="4" t="s">
        <v>1598</v>
      </c>
      <c r="N811" s="4" t="s">
        <v>126</v>
      </c>
      <c r="O811" s="4" t="s">
        <v>1909</v>
      </c>
      <c r="P811" s="4" t="s">
        <v>1910</v>
      </c>
    </row>
    <row r="812" spans="1:16" ht="15.6" x14ac:dyDescent="0.3">
      <c r="A812" s="2">
        <v>598033</v>
      </c>
      <c r="B812" s="2" t="s">
        <v>26</v>
      </c>
      <c r="C812" s="2" t="s">
        <v>445</v>
      </c>
      <c r="D812" s="2" t="str">
        <f t="shared" si="13"/>
        <v>IPL-2013</v>
      </c>
      <c r="E812" s="2">
        <f>YEAR('IPL Info'!$F812)</f>
        <v>2013</v>
      </c>
      <c r="F812" s="3">
        <v>41391</v>
      </c>
      <c r="G812" s="2" t="s">
        <v>26</v>
      </c>
      <c r="H812" s="2" t="s">
        <v>31</v>
      </c>
      <c r="I812" s="2" t="s">
        <v>19</v>
      </c>
      <c r="J812" s="2" t="s">
        <v>20</v>
      </c>
      <c r="K812" s="2" t="s">
        <v>26</v>
      </c>
      <c r="L812" s="2" t="s">
        <v>1333</v>
      </c>
      <c r="M812" s="2" t="s">
        <v>1045</v>
      </c>
      <c r="N812" s="2" t="s">
        <v>74</v>
      </c>
      <c r="O812" s="2" t="s">
        <v>1899</v>
      </c>
      <c r="P812" s="2" t="s">
        <v>1911</v>
      </c>
    </row>
    <row r="813" spans="1:16" ht="15.6" x14ac:dyDescent="0.3">
      <c r="A813" s="4">
        <v>598032</v>
      </c>
      <c r="B813" s="4" t="s">
        <v>77</v>
      </c>
      <c r="C813" s="4" t="s">
        <v>55</v>
      </c>
      <c r="D813" s="4" t="str">
        <f t="shared" si="13"/>
        <v>IPL-2013</v>
      </c>
      <c r="E813" s="4">
        <f>YEAR('IPL Info'!$F813)</f>
        <v>2013</v>
      </c>
      <c r="F813" s="5">
        <v>41391</v>
      </c>
      <c r="G813" s="4" t="s">
        <v>55</v>
      </c>
      <c r="H813" s="4" t="s">
        <v>31</v>
      </c>
      <c r="I813" s="4" t="s">
        <v>19</v>
      </c>
      <c r="J813" s="4" t="s">
        <v>20</v>
      </c>
      <c r="K813" s="4" t="s">
        <v>77</v>
      </c>
      <c r="L813" s="4" t="s">
        <v>1687</v>
      </c>
      <c r="M813" s="4" t="s">
        <v>1069</v>
      </c>
      <c r="N813" s="4" t="s">
        <v>48</v>
      </c>
      <c r="O813" s="4" t="s">
        <v>1912</v>
      </c>
      <c r="P813" s="4" t="s">
        <v>1913</v>
      </c>
    </row>
    <row r="814" spans="1:16" ht="15.6" x14ac:dyDescent="0.3">
      <c r="A814" s="2">
        <v>598031</v>
      </c>
      <c r="B814" s="2" t="s">
        <v>56</v>
      </c>
      <c r="C814" s="2" t="s">
        <v>925</v>
      </c>
      <c r="D814" s="2" t="str">
        <f t="shared" si="13"/>
        <v>IPL-2013</v>
      </c>
      <c r="E814" s="2">
        <f>YEAR('IPL Info'!$F814)</f>
        <v>2013</v>
      </c>
      <c r="F814" s="3">
        <v>41390</v>
      </c>
      <c r="G814" s="2" t="s">
        <v>925</v>
      </c>
      <c r="H814" s="2" t="s">
        <v>31</v>
      </c>
      <c r="I814" s="2" t="s">
        <v>19</v>
      </c>
      <c r="J814" s="2" t="s">
        <v>20</v>
      </c>
      <c r="K814" s="2" t="s">
        <v>56</v>
      </c>
      <c r="L814" s="2" t="s">
        <v>1819</v>
      </c>
      <c r="M814" s="2" t="s">
        <v>1064</v>
      </c>
      <c r="N814" s="2" t="s">
        <v>98</v>
      </c>
      <c r="O814" s="2" t="s">
        <v>1914</v>
      </c>
      <c r="P814" s="2" t="s">
        <v>1915</v>
      </c>
    </row>
    <row r="815" spans="1:16" ht="15.6" x14ac:dyDescent="0.3">
      <c r="A815" s="4">
        <v>598030</v>
      </c>
      <c r="B815" s="4" t="s">
        <v>51</v>
      </c>
      <c r="C815" s="4" t="s">
        <v>55</v>
      </c>
      <c r="D815" s="4" t="str">
        <f t="shared" si="13"/>
        <v>IPL-2013</v>
      </c>
      <c r="E815" s="4">
        <f>YEAR('IPL Info'!$F815)</f>
        <v>2013</v>
      </c>
      <c r="F815" s="5">
        <v>41389</v>
      </c>
      <c r="G815" s="4" t="s">
        <v>55</v>
      </c>
      <c r="H815" s="4" t="s">
        <v>31</v>
      </c>
      <c r="I815" s="4" t="s">
        <v>19</v>
      </c>
      <c r="J815" s="4" t="s">
        <v>20</v>
      </c>
      <c r="K815" s="4" t="s">
        <v>51</v>
      </c>
      <c r="L815" s="4" t="s">
        <v>180</v>
      </c>
      <c r="M815" s="4" t="s">
        <v>1598</v>
      </c>
      <c r="N815" s="4" t="s">
        <v>126</v>
      </c>
      <c r="O815" s="4" t="s">
        <v>1916</v>
      </c>
      <c r="P815" s="4" t="s">
        <v>1917</v>
      </c>
    </row>
    <row r="816" spans="1:16" ht="15.6" x14ac:dyDescent="0.3">
      <c r="A816" s="2">
        <v>598029</v>
      </c>
      <c r="B816" s="2" t="s">
        <v>56</v>
      </c>
      <c r="C816" s="2" t="s">
        <v>26</v>
      </c>
      <c r="D816" s="2" t="str">
        <f t="shared" si="13"/>
        <v>IPL-2013</v>
      </c>
      <c r="E816" s="2">
        <f>YEAR('IPL Info'!$F816)</f>
        <v>2013</v>
      </c>
      <c r="F816" s="3">
        <v>41388</v>
      </c>
      <c r="G816" s="2" t="s">
        <v>56</v>
      </c>
      <c r="H816" s="2" t="s">
        <v>31</v>
      </c>
      <c r="I816" s="2" t="s">
        <v>19</v>
      </c>
      <c r="J816" s="2" t="s">
        <v>20</v>
      </c>
      <c r="K816" s="2" t="s">
        <v>26</v>
      </c>
      <c r="L816" s="2" t="s">
        <v>1333</v>
      </c>
      <c r="M816" s="2" t="s">
        <v>1064</v>
      </c>
      <c r="N816" s="2" t="s">
        <v>98</v>
      </c>
      <c r="O816" s="2" t="s">
        <v>1918</v>
      </c>
      <c r="P816" s="2" t="s">
        <v>1919</v>
      </c>
    </row>
    <row r="817" spans="1:16" ht="15.6" x14ac:dyDescent="0.3">
      <c r="A817" s="4">
        <v>598027</v>
      </c>
      <c r="B817" s="4" t="s">
        <v>445</v>
      </c>
      <c r="C817" s="4" t="s">
        <v>1833</v>
      </c>
      <c r="D817" s="4" t="str">
        <f t="shared" si="13"/>
        <v>IPL-2013</v>
      </c>
      <c r="E817" s="4">
        <f>YEAR('IPL Info'!$F817)</f>
        <v>2013</v>
      </c>
      <c r="F817" s="5">
        <v>41387</v>
      </c>
      <c r="G817" s="4" t="s">
        <v>1833</v>
      </c>
      <c r="H817" s="4" t="s">
        <v>18</v>
      </c>
      <c r="I817" s="4" t="s">
        <v>19</v>
      </c>
      <c r="J817" s="4" t="s">
        <v>20</v>
      </c>
      <c r="K817" s="4" t="s">
        <v>445</v>
      </c>
      <c r="L817" s="4" t="s">
        <v>941</v>
      </c>
      <c r="M817" s="4" t="s">
        <v>1301</v>
      </c>
      <c r="N817" s="4" t="s">
        <v>1302</v>
      </c>
      <c r="O817" s="4" t="s">
        <v>1920</v>
      </c>
      <c r="P817" s="4" t="s">
        <v>1921</v>
      </c>
    </row>
    <row r="818" spans="1:16" ht="15.6" x14ac:dyDescent="0.3">
      <c r="A818" s="2">
        <v>598059</v>
      </c>
      <c r="B818" s="2" t="s">
        <v>1182</v>
      </c>
      <c r="C818" s="2" t="s">
        <v>925</v>
      </c>
      <c r="D818" s="2" t="str">
        <f t="shared" si="13"/>
        <v>IPL-2013</v>
      </c>
      <c r="E818" s="2">
        <f>YEAR('IPL Info'!$F818)</f>
        <v>2013</v>
      </c>
      <c r="F818" s="3">
        <v>41387</v>
      </c>
      <c r="G818" s="2" t="s">
        <v>925</v>
      </c>
      <c r="H818" s="2" t="s">
        <v>18</v>
      </c>
      <c r="I818" s="2" t="s">
        <v>19</v>
      </c>
      <c r="J818" s="2" t="s">
        <v>20</v>
      </c>
      <c r="K818" s="2" t="s">
        <v>925</v>
      </c>
      <c r="L818" s="2" t="s">
        <v>1922</v>
      </c>
      <c r="M818" s="2" t="s">
        <v>1310</v>
      </c>
      <c r="N818" s="2" t="s">
        <v>59</v>
      </c>
      <c r="O818" s="2" t="s">
        <v>1923</v>
      </c>
      <c r="P818" s="2" t="s">
        <v>1924</v>
      </c>
    </row>
    <row r="819" spans="1:16" ht="15.6" x14ac:dyDescent="0.3">
      <c r="A819" s="4">
        <v>598026</v>
      </c>
      <c r="B819" s="4" t="s">
        <v>51</v>
      </c>
      <c r="C819" s="4" t="s">
        <v>77</v>
      </c>
      <c r="D819" s="4" t="str">
        <f t="shared" si="13"/>
        <v>IPL-2013</v>
      </c>
      <c r="E819" s="4">
        <f>YEAR('IPL Info'!$F819)</f>
        <v>2013</v>
      </c>
      <c r="F819" s="5">
        <v>41386</v>
      </c>
      <c r="G819" s="4" t="s">
        <v>77</v>
      </c>
      <c r="H819" s="4" t="s">
        <v>31</v>
      </c>
      <c r="I819" s="4" t="s">
        <v>19</v>
      </c>
      <c r="J819" s="4" t="s">
        <v>20</v>
      </c>
      <c r="K819" s="4" t="s">
        <v>51</v>
      </c>
      <c r="L819" s="4" t="s">
        <v>1711</v>
      </c>
      <c r="M819" s="4" t="s">
        <v>1598</v>
      </c>
      <c r="N819" s="4" t="s">
        <v>126</v>
      </c>
      <c r="O819" s="4" t="s">
        <v>1925</v>
      </c>
      <c r="P819" s="4" t="s">
        <v>1926</v>
      </c>
    </row>
    <row r="820" spans="1:16" ht="15.6" x14ac:dyDescent="0.3">
      <c r="A820" s="2">
        <v>598024</v>
      </c>
      <c r="B820" s="2" t="s">
        <v>1182</v>
      </c>
      <c r="C820" s="2" t="s">
        <v>26</v>
      </c>
      <c r="D820" s="2" t="str">
        <f t="shared" si="13"/>
        <v>IPL-2013</v>
      </c>
      <c r="E820" s="2">
        <f>YEAR('IPL Info'!$F820)</f>
        <v>2013</v>
      </c>
      <c r="F820" s="3">
        <v>41385</v>
      </c>
      <c r="G820" s="2" t="s">
        <v>26</v>
      </c>
      <c r="H820" s="2" t="s">
        <v>31</v>
      </c>
      <c r="I820" s="2" t="s">
        <v>19</v>
      </c>
      <c r="J820" s="2" t="s">
        <v>20</v>
      </c>
      <c r="K820" s="2" t="s">
        <v>1182</v>
      </c>
      <c r="L820" s="2" t="s">
        <v>1696</v>
      </c>
      <c r="M820" s="2" t="s">
        <v>1310</v>
      </c>
      <c r="N820" s="2" t="s">
        <v>59</v>
      </c>
      <c r="O820" s="2" t="s">
        <v>1927</v>
      </c>
      <c r="P820" s="2" t="s">
        <v>1928</v>
      </c>
    </row>
    <row r="821" spans="1:16" ht="15.6" x14ac:dyDescent="0.3">
      <c r="A821" s="4">
        <v>598025</v>
      </c>
      <c r="B821" s="4" t="s">
        <v>925</v>
      </c>
      <c r="C821" s="4" t="s">
        <v>1833</v>
      </c>
      <c r="D821" s="4" t="str">
        <f t="shared" si="13"/>
        <v>IPL-2013</v>
      </c>
      <c r="E821" s="4">
        <f>YEAR('IPL Info'!$F821)</f>
        <v>2013</v>
      </c>
      <c r="F821" s="5">
        <v>41385</v>
      </c>
      <c r="G821" s="4" t="s">
        <v>925</v>
      </c>
      <c r="H821" s="4" t="s">
        <v>18</v>
      </c>
      <c r="I821" s="4" t="s">
        <v>19</v>
      </c>
      <c r="J821" s="4" t="s">
        <v>20</v>
      </c>
      <c r="K821" s="4" t="s">
        <v>925</v>
      </c>
      <c r="L821" s="4" t="s">
        <v>611</v>
      </c>
      <c r="M821" s="4" t="s">
        <v>1580</v>
      </c>
      <c r="N821" s="4" t="s">
        <v>502</v>
      </c>
      <c r="O821" s="4" t="s">
        <v>1929</v>
      </c>
      <c r="P821" s="4" t="s">
        <v>1930</v>
      </c>
    </row>
    <row r="822" spans="1:16" ht="15.6" x14ac:dyDescent="0.3">
      <c r="A822" s="2">
        <v>598022</v>
      </c>
      <c r="B822" s="2" t="s">
        <v>56</v>
      </c>
      <c r="C822" s="2" t="s">
        <v>51</v>
      </c>
      <c r="D822" s="2" t="str">
        <f t="shared" si="13"/>
        <v>IPL-2013</v>
      </c>
      <c r="E822" s="2">
        <f>YEAR('IPL Info'!$F822)</f>
        <v>2013</v>
      </c>
      <c r="F822" s="3">
        <v>41384</v>
      </c>
      <c r="G822" s="2" t="s">
        <v>56</v>
      </c>
      <c r="H822" s="2" t="s">
        <v>31</v>
      </c>
      <c r="I822" s="2" t="s">
        <v>19</v>
      </c>
      <c r="J822" s="2" t="s">
        <v>20</v>
      </c>
      <c r="K822" s="2" t="s">
        <v>51</v>
      </c>
      <c r="L822" s="2" t="s">
        <v>305</v>
      </c>
      <c r="M822" s="2" t="s">
        <v>1064</v>
      </c>
      <c r="N822" s="2" t="s">
        <v>98</v>
      </c>
      <c r="O822" s="2" t="s">
        <v>1931</v>
      </c>
      <c r="P822" s="2" t="s">
        <v>1932</v>
      </c>
    </row>
    <row r="823" spans="1:16" ht="15.6" x14ac:dyDescent="0.3">
      <c r="A823" s="4">
        <v>598023</v>
      </c>
      <c r="B823" s="4" t="s">
        <v>445</v>
      </c>
      <c r="C823" s="4" t="s">
        <v>77</v>
      </c>
      <c r="D823" s="4" t="str">
        <f t="shared" si="13"/>
        <v>IPL-2013</v>
      </c>
      <c r="E823" s="4">
        <f>YEAR('IPL Info'!$F823)</f>
        <v>2013</v>
      </c>
      <c r="F823" s="5">
        <v>41384</v>
      </c>
      <c r="G823" s="4" t="s">
        <v>445</v>
      </c>
      <c r="H823" s="4" t="s">
        <v>18</v>
      </c>
      <c r="I823" s="4" t="s">
        <v>19</v>
      </c>
      <c r="J823" s="4" t="s">
        <v>20</v>
      </c>
      <c r="K823" s="4" t="s">
        <v>445</v>
      </c>
      <c r="L823" s="4" t="s">
        <v>1933</v>
      </c>
      <c r="M823" s="4" t="s">
        <v>1301</v>
      </c>
      <c r="N823" s="4" t="s">
        <v>1302</v>
      </c>
      <c r="O823" s="4" t="s">
        <v>1934</v>
      </c>
      <c r="P823" s="4" t="s">
        <v>1935</v>
      </c>
    </row>
    <row r="824" spans="1:16" ht="15.6" x14ac:dyDescent="0.3">
      <c r="A824" s="2">
        <v>598021</v>
      </c>
      <c r="B824" s="2" t="s">
        <v>55</v>
      </c>
      <c r="C824" s="2" t="s">
        <v>925</v>
      </c>
      <c r="D824" s="2" t="str">
        <f t="shared" si="13"/>
        <v>IPL-2013</v>
      </c>
      <c r="E824" s="2">
        <f>YEAR('IPL Info'!$F824)</f>
        <v>2013</v>
      </c>
      <c r="F824" s="3">
        <v>41383</v>
      </c>
      <c r="G824" s="2" t="s">
        <v>925</v>
      </c>
      <c r="H824" s="2" t="s">
        <v>31</v>
      </c>
      <c r="I824" s="2" t="s">
        <v>19</v>
      </c>
      <c r="J824" s="2" t="s">
        <v>20</v>
      </c>
      <c r="K824" s="2" t="s">
        <v>55</v>
      </c>
      <c r="L824" s="2" t="s">
        <v>1936</v>
      </c>
      <c r="M824" s="2" t="s">
        <v>1298</v>
      </c>
      <c r="N824" s="2" t="s">
        <v>105</v>
      </c>
      <c r="O824" s="2" t="s">
        <v>1937</v>
      </c>
      <c r="P824" s="2" t="s">
        <v>1938</v>
      </c>
    </row>
    <row r="825" spans="1:16" ht="15.6" x14ac:dyDescent="0.3">
      <c r="A825" s="4">
        <v>598020</v>
      </c>
      <c r="B825" s="4" t="s">
        <v>1182</v>
      </c>
      <c r="C825" s="4" t="s">
        <v>51</v>
      </c>
      <c r="D825" s="4" t="str">
        <f t="shared" si="13"/>
        <v>IPL-2013</v>
      </c>
      <c r="E825" s="4">
        <f>YEAR('IPL Info'!$F825)</f>
        <v>2013</v>
      </c>
      <c r="F825" s="5">
        <v>41382</v>
      </c>
      <c r="G825" s="4" t="s">
        <v>51</v>
      </c>
      <c r="H825" s="4" t="s">
        <v>31</v>
      </c>
      <c r="I825" s="4" t="s">
        <v>19</v>
      </c>
      <c r="J825" s="4" t="s">
        <v>20</v>
      </c>
      <c r="K825" s="4" t="s">
        <v>51</v>
      </c>
      <c r="L825" s="4" t="s">
        <v>1711</v>
      </c>
      <c r="M825" s="4" t="s">
        <v>1310</v>
      </c>
      <c r="N825" s="4" t="s">
        <v>59</v>
      </c>
      <c r="O825" s="4" t="s">
        <v>1939</v>
      </c>
      <c r="P825" s="4" t="s">
        <v>1940</v>
      </c>
    </row>
    <row r="826" spans="1:16" ht="15.6" x14ac:dyDescent="0.3">
      <c r="A826" s="2">
        <v>598019</v>
      </c>
      <c r="B826" s="2" t="s">
        <v>77</v>
      </c>
      <c r="C826" s="2" t="s">
        <v>26</v>
      </c>
      <c r="D826" s="2" t="str">
        <f t="shared" si="13"/>
        <v>IPL-2013</v>
      </c>
      <c r="E826" s="2">
        <f>YEAR('IPL Info'!$F826)</f>
        <v>2013</v>
      </c>
      <c r="F826" s="3">
        <v>41381</v>
      </c>
      <c r="G826" s="2" t="s">
        <v>77</v>
      </c>
      <c r="H826" s="2" t="s">
        <v>31</v>
      </c>
      <c r="I826" s="2" t="s">
        <v>19</v>
      </c>
      <c r="J826" s="2" t="s">
        <v>20</v>
      </c>
      <c r="K826" s="2" t="s">
        <v>77</v>
      </c>
      <c r="L826" s="2" t="s">
        <v>530</v>
      </c>
      <c r="M826" s="2" t="s">
        <v>1069</v>
      </c>
      <c r="N826" s="2" t="s">
        <v>48</v>
      </c>
      <c r="O826" s="2" t="s">
        <v>1941</v>
      </c>
      <c r="P826" s="2" t="s">
        <v>1942</v>
      </c>
    </row>
    <row r="827" spans="1:16" ht="15.6" x14ac:dyDescent="0.3">
      <c r="A827" s="4">
        <v>598018</v>
      </c>
      <c r="B827" s="4" t="s">
        <v>1833</v>
      </c>
      <c r="C827" s="4" t="s">
        <v>55</v>
      </c>
      <c r="D827" s="4" t="str">
        <f t="shared" si="13"/>
        <v>IPL-2013</v>
      </c>
      <c r="E827" s="4">
        <f>YEAR('IPL Info'!$F827)</f>
        <v>2013</v>
      </c>
      <c r="F827" s="5">
        <v>41381</v>
      </c>
      <c r="G827" s="4" t="s">
        <v>1833</v>
      </c>
      <c r="H827" s="4" t="s">
        <v>18</v>
      </c>
      <c r="I827" s="4" t="s">
        <v>19</v>
      </c>
      <c r="J827" s="4" t="s">
        <v>20</v>
      </c>
      <c r="K827" s="4" t="s">
        <v>55</v>
      </c>
      <c r="L827" s="4" t="s">
        <v>882</v>
      </c>
      <c r="M827" s="4" t="s">
        <v>1179</v>
      </c>
      <c r="N827" s="4" t="s">
        <v>635</v>
      </c>
      <c r="O827" s="4" t="s">
        <v>1943</v>
      </c>
      <c r="P827" s="4" t="s">
        <v>1944</v>
      </c>
    </row>
    <row r="828" spans="1:16" ht="15.6" x14ac:dyDescent="0.3">
      <c r="A828" s="2">
        <v>598016</v>
      </c>
      <c r="B828" s="2" t="s">
        <v>925</v>
      </c>
      <c r="C828" s="2" t="s">
        <v>56</v>
      </c>
      <c r="D828" s="2" t="str">
        <f t="shared" si="13"/>
        <v>IPL-2013</v>
      </c>
      <c r="E828" s="2">
        <f>YEAR('IPL Info'!$F828)</f>
        <v>2013</v>
      </c>
      <c r="F828" s="3">
        <v>41380</v>
      </c>
      <c r="G828" s="2" t="s">
        <v>56</v>
      </c>
      <c r="H828" s="2" t="s">
        <v>18</v>
      </c>
      <c r="I828" s="2" t="s">
        <v>19</v>
      </c>
      <c r="J828" s="2" t="s">
        <v>20</v>
      </c>
      <c r="K828" s="2" t="s">
        <v>925</v>
      </c>
      <c r="L828" s="2" t="s">
        <v>1945</v>
      </c>
      <c r="M828" s="2" t="s">
        <v>1580</v>
      </c>
      <c r="N828" s="2" t="s">
        <v>502</v>
      </c>
      <c r="O828" s="2" t="s">
        <v>1946</v>
      </c>
      <c r="P828" s="2" t="s">
        <v>1947</v>
      </c>
    </row>
    <row r="829" spans="1:16" ht="15.6" x14ac:dyDescent="0.3">
      <c r="A829" s="4">
        <v>598017</v>
      </c>
      <c r="B829" s="4" t="s">
        <v>445</v>
      </c>
      <c r="C829" s="4" t="s">
        <v>1182</v>
      </c>
      <c r="D829" s="4" t="str">
        <f t="shared" si="13"/>
        <v>IPL-2013</v>
      </c>
      <c r="E829" s="4">
        <f>YEAR('IPL Info'!$F829)</f>
        <v>2013</v>
      </c>
      <c r="F829" s="5">
        <v>41380</v>
      </c>
      <c r="G829" s="4" t="s">
        <v>445</v>
      </c>
      <c r="H829" s="4" t="s">
        <v>18</v>
      </c>
      <c r="I829" s="4" t="s">
        <v>173</v>
      </c>
      <c r="J829" s="4" t="s">
        <v>445</v>
      </c>
      <c r="K829" s="4" t="s">
        <v>20</v>
      </c>
      <c r="L829" s="4" t="s">
        <v>158</v>
      </c>
      <c r="M829" s="4" t="s">
        <v>1301</v>
      </c>
      <c r="N829" s="4" t="s">
        <v>1302</v>
      </c>
      <c r="O829" s="4" t="s">
        <v>1948</v>
      </c>
      <c r="P829" s="4" t="s">
        <v>1949</v>
      </c>
    </row>
    <row r="830" spans="1:16" ht="15.6" x14ac:dyDescent="0.3">
      <c r="A830" s="2">
        <v>598015</v>
      </c>
      <c r="B830" s="2" t="s">
        <v>51</v>
      </c>
      <c r="C830" s="2" t="s">
        <v>1833</v>
      </c>
      <c r="D830" s="2" t="str">
        <f t="shared" si="13"/>
        <v>IPL-2013</v>
      </c>
      <c r="E830" s="2">
        <f>YEAR('IPL Info'!$F830)</f>
        <v>2013</v>
      </c>
      <c r="F830" s="3">
        <v>41379</v>
      </c>
      <c r="G830" s="2" t="s">
        <v>1833</v>
      </c>
      <c r="H830" s="2" t="s">
        <v>31</v>
      </c>
      <c r="I830" s="2" t="s">
        <v>19</v>
      </c>
      <c r="J830" s="2" t="s">
        <v>20</v>
      </c>
      <c r="K830" s="2" t="s">
        <v>1833</v>
      </c>
      <c r="L830" s="2" t="s">
        <v>1090</v>
      </c>
      <c r="M830" s="2" t="s">
        <v>1598</v>
      </c>
      <c r="N830" s="2" t="s">
        <v>126</v>
      </c>
      <c r="O830" s="2" t="s">
        <v>1950</v>
      </c>
      <c r="P830" s="2" t="s">
        <v>1951</v>
      </c>
    </row>
    <row r="831" spans="1:16" ht="15.6" x14ac:dyDescent="0.3">
      <c r="A831" s="4">
        <v>598014</v>
      </c>
      <c r="B831" s="4" t="s">
        <v>77</v>
      </c>
      <c r="C831" s="4" t="s">
        <v>925</v>
      </c>
      <c r="D831" s="4" t="str">
        <f t="shared" si="13"/>
        <v>IPL-2013</v>
      </c>
      <c r="E831" s="4">
        <f>YEAR('IPL Info'!$F831)</f>
        <v>2013</v>
      </c>
      <c r="F831" s="5">
        <v>41378</v>
      </c>
      <c r="G831" s="4" t="s">
        <v>77</v>
      </c>
      <c r="H831" s="4" t="s">
        <v>18</v>
      </c>
      <c r="I831" s="4" t="s">
        <v>19</v>
      </c>
      <c r="J831" s="4" t="s">
        <v>20</v>
      </c>
      <c r="K831" s="4" t="s">
        <v>77</v>
      </c>
      <c r="L831" s="4" t="s">
        <v>1687</v>
      </c>
      <c r="M831" s="4" t="s">
        <v>1069</v>
      </c>
      <c r="N831" s="4" t="s">
        <v>48</v>
      </c>
      <c r="O831" s="4" t="s">
        <v>1952</v>
      </c>
      <c r="P831" s="4" t="s">
        <v>1953</v>
      </c>
    </row>
    <row r="832" spans="1:16" ht="15.6" x14ac:dyDescent="0.3">
      <c r="A832" s="2">
        <v>598013</v>
      </c>
      <c r="B832" s="2" t="s">
        <v>56</v>
      </c>
      <c r="C832" s="2" t="s">
        <v>55</v>
      </c>
      <c r="D832" s="2" t="str">
        <f t="shared" si="13"/>
        <v>IPL-2013</v>
      </c>
      <c r="E832" s="2">
        <f>YEAR('IPL Info'!$F832)</f>
        <v>2013</v>
      </c>
      <c r="F832" s="3">
        <v>41378</v>
      </c>
      <c r="G832" s="2" t="s">
        <v>56</v>
      </c>
      <c r="H832" s="2" t="s">
        <v>31</v>
      </c>
      <c r="I832" s="2" t="s">
        <v>19</v>
      </c>
      <c r="J832" s="2" t="s">
        <v>20</v>
      </c>
      <c r="K832" s="2" t="s">
        <v>56</v>
      </c>
      <c r="L832" s="2" t="s">
        <v>1364</v>
      </c>
      <c r="M832" s="2" t="s">
        <v>1064</v>
      </c>
      <c r="N832" s="2" t="s">
        <v>98</v>
      </c>
      <c r="O832" s="2" t="s">
        <v>1954</v>
      </c>
      <c r="P832" s="2" t="s">
        <v>1955</v>
      </c>
    </row>
    <row r="833" spans="1:16" ht="15.6" x14ac:dyDescent="0.3">
      <c r="A833" s="4">
        <v>598011</v>
      </c>
      <c r="B833" s="4" t="s">
        <v>26</v>
      </c>
      <c r="C833" s="4" t="s">
        <v>1833</v>
      </c>
      <c r="D833" s="4" t="str">
        <f t="shared" si="13"/>
        <v>IPL-2013</v>
      </c>
      <c r="E833" s="4">
        <f>YEAR('IPL Info'!$F833)</f>
        <v>2013</v>
      </c>
      <c r="F833" s="5">
        <v>41377</v>
      </c>
      <c r="G833" s="4" t="s">
        <v>26</v>
      </c>
      <c r="H833" s="4" t="s">
        <v>31</v>
      </c>
      <c r="I833" s="4" t="s">
        <v>19</v>
      </c>
      <c r="J833" s="4" t="s">
        <v>20</v>
      </c>
      <c r="K833" s="4" t="s">
        <v>26</v>
      </c>
      <c r="L833" s="4" t="s">
        <v>32</v>
      </c>
      <c r="M833" s="4" t="s">
        <v>1045</v>
      </c>
      <c r="N833" s="4" t="s">
        <v>74</v>
      </c>
      <c r="O833" s="4" t="s">
        <v>1956</v>
      </c>
      <c r="P833" s="4" t="s">
        <v>1957</v>
      </c>
    </row>
    <row r="834" spans="1:16" ht="15.6" x14ac:dyDescent="0.3">
      <c r="A834" s="2">
        <v>598012</v>
      </c>
      <c r="B834" s="2" t="s">
        <v>51</v>
      </c>
      <c r="C834" s="2" t="s">
        <v>445</v>
      </c>
      <c r="D834" s="2" t="str">
        <f t="shared" si="13"/>
        <v>IPL-2013</v>
      </c>
      <c r="E834" s="2">
        <f>YEAR('IPL Info'!$F834)</f>
        <v>2013</v>
      </c>
      <c r="F834" s="3">
        <v>41377</v>
      </c>
      <c r="G834" s="2" t="s">
        <v>51</v>
      </c>
      <c r="H834" s="2" t="s">
        <v>18</v>
      </c>
      <c r="I834" s="2" t="s">
        <v>19</v>
      </c>
      <c r="J834" s="2" t="s">
        <v>20</v>
      </c>
      <c r="K834" s="2" t="s">
        <v>51</v>
      </c>
      <c r="L834" s="2" t="s">
        <v>305</v>
      </c>
      <c r="M834" s="2" t="s">
        <v>1598</v>
      </c>
      <c r="N834" s="2" t="s">
        <v>126</v>
      </c>
      <c r="O834" s="2" t="s">
        <v>1958</v>
      </c>
      <c r="P834" s="2" t="s">
        <v>1959</v>
      </c>
    </row>
    <row r="835" spans="1:16" ht="15.6" x14ac:dyDescent="0.3">
      <c r="A835" s="4">
        <v>598010</v>
      </c>
      <c r="B835" s="4" t="s">
        <v>1182</v>
      </c>
      <c r="C835" s="4" t="s">
        <v>55</v>
      </c>
      <c r="D835" s="4" t="str">
        <f t="shared" si="13"/>
        <v>IPL-2013</v>
      </c>
      <c r="E835" s="4">
        <f>YEAR('IPL Info'!$F835)</f>
        <v>2013</v>
      </c>
      <c r="F835" s="5">
        <v>41376</v>
      </c>
      <c r="G835" s="4" t="s">
        <v>1182</v>
      </c>
      <c r="H835" s="4" t="s">
        <v>31</v>
      </c>
      <c r="I835" s="4" t="s">
        <v>19</v>
      </c>
      <c r="J835" s="4" t="s">
        <v>20</v>
      </c>
      <c r="K835" s="4" t="s">
        <v>55</v>
      </c>
      <c r="L835" s="4" t="s">
        <v>882</v>
      </c>
      <c r="M835" s="4" t="s">
        <v>1310</v>
      </c>
      <c r="N835" s="4" t="s">
        <v>59</v>
      </c>
      <c r="O835" s="4" t="s">
        <v>1960</v>
      </c>
      <c r="P835" s="4" t="s">
        <v>1961</v>
      </c>
    </row>
    <row r="836" spans="1:16" ht="15.6" x14ac:dyDescent="0.3">
      <c r="A836" s="2">
        <v>598008</v>
      </c>
      <c r="B836" s="2" t="s">
        <v>445</v>
      </c>
      <c r="C836" s="2" t="s">
        <v>56</v>
      </c>
      <c r="D836" s="2" t="str">
        <f t="shared" si="13"/>
        <v>IPL-2013</v>
      </c>
      <c r="E836" s="2">
        <f>YEAR('IPL Info'!$F836)</f>
        <v>2013</v>
      </c>
      <c r="F836" s="3">
        <v>41375</v>
      </c>
      <c r="G836" s="2" t="s">
        <v>445</v>
      </c>
      <c r="H836" s="2" t="s">
        <v>18</v>
      </c>
      <c r="I836" s="2" t="s">
        <v>19</v>
      </c>
      <c r="J836" s="2" t="s">
        <v>20</v>
      </c>
      <c r="K836" s="2" t="s">
        <v>445</v>
      </c>
      <c r="L836" s="2" t="s">
        <v>941</v>
      </c>
      <c r="M836" s="2" t="s">
        <v>1301</v>
      </c>
      <c r="N836" s="2" t="s">
        <v>1302</v>
      </c>
      <c r="O836" s="2" t="s">
        <v>1962</v>
      </c>
      <c r="P836" s="2" t="s">
        <v>1963</v>
      </c>
    </row>
    <row r="837" spans="1:16" ht="15.6" x14ac:dyDescent="0.3">
      <c r="A837" s="4">
        <v>598009</v>
      </c>
      <c r="B837" s="4" t="s">
        <v>1833</v>
      </c>
      <c r="C837" s="4" t="s">
        <v>77</v>
      </c>
      <c r="D837" s="4" t="str">
        <f t="shared" si="13"/>
        <v>IPL-2013</v>
      </c>
      <c r="E837" s="4">
        <f>YEAR('IPL Info'!$F837)</f>
        <v>2013</v>
      </c>
      <c r="F837" s="5">
        <v>41375</v>
      </c>
      <c r="G837" s="4" t="s">
        <v>77</v>
      </c>
      <c r="H837" s="4" t="s">
        <v>31</v>
      </c>
      <c r="I837" s="4" t="s">
        <v>19</v>
      </c>
      <c r="J837" s="4" t="s">
        <v>20</v>
      </c>
      <c r="K837" s="4" t="s">
        <v>1833</v>
      </c>
      <c r="L837" s="4" t="s">
        <v>1546</v>
      </c>
      <c r="M837" s="4" t="s">
        <v>1835</v>
      </c>
      <c r="N837" s="4" t="s">
        <v>635</v>
      </c>
      <c r="O837" s="4" t="s">
        <v>1964</v>
      </c>
      <c r="P837" s="4" t="s">
        <v>1965</v>
      </c>
    </row>
    <row r="838" spans="1:16" ht="15.6" x14ac:dyDescent="0.3">
      <c r="A838" s="2">
        <v>598007</v>
      </c>
      <c r="B838" s="2" t="s">
        <v>925</v>
      </c>
      <c r="C838" s="2" t="s">
        <v>51</v>
      </c>
      <c r="D838" s="2" t="str">
        <f t="shared" si="13"/>
        <v>IPL-2013</v>
      </c>
      <c r="E838" s="2">
        <f>YEAR('IPL Info'!$F838)</f>
        <v>2013</v>
      </c>
      <c r="F838" s="3">
        <v>41374</v>
      </c>
      <c r="G838" s="2" t="s">
        <v>51</v>
      </c>
      <c r="H838" s="2" t="s">
        <v>18</v>
      </c>
      <c r="I838" s="2" t="s">
        <v>19</v>
      </c>
      <c r="J838" s="2" t="s">
        <v>20</v>
      </c>
      <c r="K838" s="2" t="s">
        <v>51</v>
      </c>
      <c r="L838" s="2" t="s">
        <v>1711</v>
      </c>
      <c r="M838" s="2" t="s">
        <v>1580</v>
      </c>
      <c r="N838" s="2" t="s">
        <v>502</v>
      </c>
      <c r="O838" s="2" t="s">
        <v>1966</v>
      </c>
      <c r="P838" s="2" t="s">
        <v>1967</v>
      </c>
    </row>
    <row r="839" spans="1:16" ht="15.6" x14ac:dyDescent="0.3">
      <c r="A839" s="4">
        <v>598048</v>
      </c>
      <c r="B839" s="4" t="s">
        <v>445</v>
      </c>
      <c r="C839" s="4" t="s">
        <v>55</v>
      </c>
      <c r="D839" s="4" t="str">
        <f t="shared" si="13"/>
        <v>IPL-2013</v>
      </c>
      <c r="E839" s="4">
        <f>YEAR('IPL Info'!$F839)</f>
        <v>2013</v>
      </c>
      <c r="F839" s="5">
        <v>41373</v>
      </c>
      <c r="G839" s="4" t="s">
        <v>55</v>
      </c>
      <c r="H839" s="4" t="s">
        <v>31</v>
      </c>
      <c r="I839" s="4" t="s">
        <v>19</v>
      </c>
      <c r="J839" s="4" t="s">
        <v>20</v>
      </c>
      <c r="K839" s="4" t="s">
        <v>445</v>
      </c>
      <c r="L839" s="4" t="s">
        <v>158</v>
      </c>
      <c r="M839" s="4" t="s">
        <v>1301</v>
      </c>
      <c r="N839" s="4" t="s">
        <v>1302</v>
      </c>
      <c r="O839" s="4" t="s">
        <v>1968</v>
      </c>
      <c r="P839" s="4" t="s">
        <v>1969</v>
      </c>
    </row>
    <row r="840" spans="1:16" ht="15.6" x14ac:dyDescent="0.3">
      <c r="A840" s="2">
        <v>598006</v>
      </c>
      <c r="B840" s="2" t="s">
        <v>26</v>
      </c>
      <c r="C840" s="2" t="s">
        <v>1182</v>
      </c>
      <c r="D840" s="2" t="str">
        <f t="shared" si="13"/>
        <v>IPL-2013</v>
      </c>
      <c r="E840" s="2">
        <f>YEAR('IPL Info'!$F840)</f>
        <v>2013</v>
      </c>
      <c r="F840" s="3">
        <v>41373</v>
      </c>
      <c r="G840" s="2" t="s">
        <v>26</v>
      </c>
      <c r="H840" s="2" t="s">
        <v>31</v>
      </c>
      <c r="I840" s="2" t="s">
        <v>19</v>
      </c>
      <c r="J840" s="2" t="s">
        <v>20</v>
      </c>
      <c r="K840" s="2" t="s">
        <v>26</v>
      </c>
      <c r="L840" s="2" t="s">
        <v>709</v>
      </c>
      <c r="M840" s="2" t="s">
        <v>1045</v>
      </c>
      <c r="N840" s="2" t="s">
        <v>74</v>
      </c>
      <c r="O840" s="2" t="s">
        <v>1956</v>
      </c>
      <c r="P840" s="2" t="s">
        <v>1970</v>
      </c>
    </row>
    <row r="841" spans="1:16" ht="15.6" x14ac:dyDescent="0.3">
      <c r="A841" s="4">
        <v>598005</v>
      </c>
      <c r="B841" s="4" t="s">
        <v>77</v>
      </c>
      <c r="C841" s="4" t="s">
        <v>56</v>
      </c>
      <c r="D841" s="4" t="str">
        <f t="shared" si="13"/>
        <v>IPL-2013</v>
      </c>
      <c r="E841" s="4">
        <f>YEAR('IPL Info'!$F841)</f>
        <v>2013</v>
      </c>
      <c r="F841" s="5">
        <v>41372</v>
      </c>
      <c r="G841" s="4" t="s">
        <v>56</v>
      </c>
      <c r="H841" s="4" t="s">
        <v>18</v>
      </c>
      <c r="I841" s="4" t="s">
        <v>19</v>
      </c>
      <c r="J841" s="4" t="s">
        <v>20</v>
      </c>
      <c r="K841" s="4" t="s">
        <v>77</v>
      </c>
      <c r="L841" s="4" t="s">
        <v>1971</v>
      </c>
      <c r="M841" s="4" t="s">
        <v>1069</v>
      </c>
      <c r="N841" s="4" t="s">
        <v>48</v>
      </c>
      <c r="O841" s="4" t="s">
        <v>1972</v>
      </c>
      <c r="P841" s="4" t="s">
        <v>1973</v>
      </c>
    </row>
    <row r="842" spans="1:16" ht="15.6" x14ac:dyDescent="0.3">
      <c r="A842" s="2">
        <v>598003</v>
      </c>
      <c r="B842" s="2" t="s">
        <v>1833</v>
      </c>
      <c r="C842" s="2" t="s">
        <v>925</v>
      </c>
      <c r="D842" s="2" t="str">
        <f t="shared" si="13"/>
        <v>IPL-2013</v>
      </c>
      <c r="E842" s="2">
        <f>YEAR('IPL Info'!$F842)</f>
        <v>2013</v>
      </c>
      <c r="F842" s="3">
        <v>41371</v>
      </c>
      <c r="G842" s="2" t="s">
        <v>1833</v>
      </c>
      <c r="H842" s="2" t="s">
        <v>31</v>
      </c>
      <c r="I842" s="2" t="s">
        <v>19</v>
      </c>
      <c r="J842" s="2" t="s">
        <v>20</v>
      </c>
      <c r="K842" s="2" t="s">
        <v>925</v>
      </c>
      <c r="L842" s="2" t="s">
        <v>1543</v>
      </c>
      <c r="M842" s="2" t="s">
        <v>1835</v>
      </c>
      <c r="N842" s="2" t="s">
        <v>635</v>
      </c>
      <c r="O842" s="2" t="s">
        <v>1974</v>
      </c>
      <c r="P842" s="2" t="s">
        <v>1975</v>
      </c>
    </row>
    <row r="843" spans="1:16" ht="15.6" x14ac:dyDescent="0.3">
      <c r="A843" s="4">
        <v>598004</v>
      </c>
      <c r="B843" s="4" t="s">
        <v>55</v>
      </c>
      <c r="C843" s="4" t="s">
        <v>445</v>
      </c>
      <c r="D843" s="4" t="str">
        <f t="shared" si="13"/>
        <v>IPL-2013</v>
      </c>
      <c r="E843" s="4">
        <f>YEAR('IPL Info'!$F843)</f>
        <v>2013</v>
      </c>
      <c r="F843" s="5">
        <v>41371</v>
      </c>
      <c r="G843" s="4" t="s">
        <v>445</v>
      </c>
      <c r="H843" s="4" t="s">
        <v>31</v>
      </c>
      <c r="I843" s="4" t="s">
        <v>173</v>
      </c>
      <c r="J843" s="4" t="s">
        <v>55</v>
      </c>
      <c r="K843" s="4" t="s">
        <v>20</v>
      </c>
      <c r="L843" s="4" t="s">
        <v>1936</v>
      </c>
      <c r="M843" s="4" t="s">
        <v>1298</v>
      </c>
      <c r="N843" s="4" t="s">
        <v>105</v>
      </c>
      <c r="O843" s="4" t="s">
        <v>1976</v>
      </c>
      <c r="P843" s="4" t="s">
        <v>1977</v>
      </c>
    </row>
    <row r="844" spans="1:16" ht="15.6" x14ac:dyDescent="0.3">
      <c r="A844" s="2">
        <v>598002</v>
      </c>
      <c r="B844" s="2" t="s">
        <v>51</v>
      </c>
      <c r="C844" s="2" t="s">
        <v>26</v>
      </c>
      <c r="D844" s="2" t="str">
        <f t="shared" si="13"/>
        <v>IPL-2013</v>
      </c>
      <c r="E844" s="2">
        <f>YEAR('IPL Info'!$F844)</f>
        <v>2013</v>
      </c>
      <c r="F844" s="3">
        <v>41370</v>
      </c>
      <c r="G844" s="2" t="s">
        <v>26</v>
      </c>
      <c r="H844" s="2" t="s">
        <v>31</v>
      </c>
      <c r="I844" s="2" t="s">
        <v>19</v>
      </c>
      <c r="J844" s="2" t="s">
        <v>20</v>
      </c>
      <c r="K844" s="2" t="s">
        <v>26</v>
      </c>
      <c r="L844" s="2" t="s">
        <v>819</v>
      </c>
      <c r="M844" s="2" t="s">
        <v>1598</v>
      </c>
      <c r="N844" s="2" t="s">
        <v>126</v>
      </c>
      <c r="O844" s="2" t="s">
        <v>1978</v>
      </c>
      <c r="P844" s="2" t="s">
        <v>1979</v>
      </c>
    </row>
    <row r="845" spans="1:16" ht="15.6" x14ac:dyDescent="0.3">
      <c r="A845" s="4">
        <v>598001</v>
      </c>
      <c r="B845" s="4" t="s">
        <v>1182</v>
      </c>
      <c r="C845" s="4" t="s">
        <v>77</v>
      </c>
      <c r="D845" s="4" t="str">
        <f t="shared" si="13"/>
        <v>IPL-2013</v>
      </c>
      <c r="E845" s="4">
        <f>YEAR('IPL Info'!$F845)</f>
        <v>2013</v>
      </c>
      <c r="F845" s="5">
        <v>41370</v>
      </c>
      <c r="G845" s="4" t="s">
        <v>77</v>
      </c>
      <c r="H845" s="4" t="s">
        <v>31</v>
      </c>
      <c r="I845" s="4" t="s">
        <v>19</v>
      </c>
      <c r="J845" s="4" t="s">
        <v>20</v>
      </c>
      <c r="K845" s="4" t="s">
        <v>77</v>
      </c>
      <c r="L845" s="4" t="s">
        <v>1980</v>
      </c>
      <c r="M845" s="4" t="s">
        <v>1310</v>
      </c>
      <c r="N845" s="4" t="s">
        <v>59</v>
      </c>
      <c r="O845" s="4" t="s">
        <v>1981</v>
      </c>
      <c r="P845" s="4" t="s">
        <v>1982</v>
      </c>
    </row>
    <row r="846" spans="1:16" ht="15.6" x14ac:dyDescent="0.3">
      <c r="A846" s="2">
        <v>598000</v>
      </c>
      <c r="B846" s="2" t="s">
        <v>55</v>
      </c>
      <c r="C846" s="2" t="s">
        <v>1833</v>
      </c>
      <c r="D846" s="2" t="str">
        <f t="shared" si="13"/>
        <v>IPL-2013</v>
      </c>
      <c r="E846" s="2">
        <f>YEAR('IPL Info'!$F846)</f>
        <v>2013</v>
      </c>
      <c r="F846" s="3">
        <v>41369</v>
      </c>
      <c r="G846" s="2" t="s">
        <v>1833</v>
      </c>
      <c r="H846" s="2" t="s">
        <v>18</v>
      </c>
      <c r="I846" s="2" t="s">
        <v>19</v>
      </c>
      <c r="J846" s="2" t="s">
        <v>20</v>
      </c>
      <c r="K846" s="2" t="s">
        <v>55</v>
      </c>
      <c r="L846" s="2" t="s">
        <v>882</v>
      </c>
      <c r="M846" s="2" t="s">
        <v>1298</v>
      </c>
      <c r="N846" s="2" t="s">
        <v>105</v>
      </c>
      <c r="O846" s="2" t="s">
        <v>1983</v>
      </c>
      <c r="P846" s="2" t="s">
        <v>1984</v>
      </c>
    </row>
    <row r="847" spans="1:16" ht="15.6" x14ac:dyDescent="0.3">
      <c r="A847" s="4">
        <v>597999</v>
      </c>
      <c r="B847" s="4" t="s">
        <v>445</v>
      </c>
      <c r="C847" s="4" t="s">
        <v>26</v>
      </c>
      <c r="D847" s="4" t="str">
        <f t="shared" si="13"/>
        <v>IPL-2013</v>
      </c>
      <c r="E847" s="4">
        <f>YEAR('IPL Info'!$F847)</f>
        <v>2013</v>
      </c>
      <c r="F847" s="5">
        <v>41368</v>
      </c>
      <c r="G847" s="4" t="s">
        <v>26</v>
      </c>
      <c r="H847" s="4" t="s">
        <v>18</v>
      </c>
      <c r="I847" s="4" t="s">
        <v>19</v>
      </c>
      <c r="J847" s="4" t="s">
        <v>20</v>
      </c>
      <c r="K847" s="4" t="s">
        <v>445</v>
      </c>
      <c r="L847" s="4" t="s">
        <v>941</v>
      </c>
      <c r="M847" s="4" t="s">
        <v>1301</v>
      </c>
      <c r="N847" s="4" t="s">
        <v>1302</v>
      </c>
      <c r="O847" s="4" t="s">
        <v>1985</v>
      </c>
      <c r="P847" s="4" t="s">
        <v>1986</v>
      </c>
    </row>
    <row r="848" spans="1:16" ht="15.6" x14ac:dyDescent="0.3">
      <c r="A848" s="2">
        <v>597998</v>
      </c>
      <c r="B848" s="2" t="s">
        <v>56</v>
      </c>
      <c r="C848" s="2" t="s">
        <v>1182</v>
      </c>
      <c r="D848" s="2" t="str">
        <f t="shared" si="13"/>
        <v>IPL-2013</v>
      </c>
      <c r="E848" s="2">
        <f>YEAR('IPL Info'!$F848)</f>
        <v>2013</v>
      </c>
      <c r="F848" s="3">
        <v>41367</v>
      </c>
      <c r="G848" s="2" t="s">
        <v>56</v>
      </c>
      <c r="H848" s="2" t="s">
        <v>18</v>
      </c>
      <c r="I848" s="2" t="s">
        <v>19</v>
      </c>
      <c r="J848" s="2" t="s">
        <v>20</v>
      </c>
      <c r="K848" s="2" t="s">
        <v>56</v>
      </c>
      <c r="L848" s="2" t="s">
        <v>129</v>
      </c>
      <c r="M848" s="2" t="s">
        <v>1064</v>
      </c>
      <c r="N848" s="2" t="s">
        <v>98</v>
      </c>
      <c r="O848" s="2" t="s">
        <v>1987</v>
      </c>
      <c r="P848" s="2" t="s">
        <v>1988</v>
      </c>
    </row>
    <row r="849" spans="1:16" ht="15.6" x14ac:dyDescent="0.3">
      <c r="A849" s="4">
        <v>548381</v>
      </c>
      <c r="B849" s="4" t="s">
        <v>56</v>
      </c>
      <c r="C849" s="4" t="s">
        <v>51</v>
      </c>
      <c r="D849" s="4" t="str">
        <f t="shared" si="13"/>
        <v>IPL-2012</v>
      </c>
      <c r="E849" s="4">
        <f>YEAR('IPL Info'!$F849)</f>
        <v>2012</v>
      </c>
      <c r="F849" s="5">
        <v>41056</v>
      </c>
      <c r="G849" s="4" t="s">
        <v>51</v>
      </c>
      <c r="H849" s="4" t="s">
        <v>31</v>
      </c>
      <c r="I849" s="4" t="s">
        <v>19</v>
      </c>
      <c r="J849" s="4" t="s">
        <v>20</v>
      </c>
      <c r="K849" s="4" t="s">
        <v>56</v>
      </c>
      <c r="L849" s="4" t="s">
        <v>1989</v>
      </c>
      <c r="M849" s="4" t="s">
        <v>1598</v>
      </c>
      <c r="N849" s="4" t="s">
        <v>126</v>
      </c>
      <c r="O849" s="4" t="s">
        <v>1990</v>
      </c>
      <c r="P849" s="4" t="s">
        <v>1991</v>
      </c>
    </row>
    <row r="850" spans="1:16" ht="15.6" x14ac:dyDescent="0.3">
      <c r="A850" s="2">
        <v>548380</v>
      </c>
      <c r="B850" s="2" t="s">
        <v>1182</v>
      </c>
      <c r="C850" s="2" t="s">
        <v>51</v>
      </c>
      <c r="D850" s="2" t="str">
        <f t="shared" si="13"/>
        <v>IPL-2012</v>
      </c>
      <c r="E850" s="2">
        <f>YEAR('IPL Info'!$F850)</f>
        <v>2012</v>
      </c>
      <c r="F850" s="3">
        <v>41054</v>
      </c>
      <c r="G850" s="2" t="s">
        <v>1182</v>
      </c>
      <c r="H850" s="2" t="s">
        <v>18</v>
      </c>
      <c r="I850" s="2" t="s">
        <v>19</v>
      </c>
      <c r="J850" s="2" t="s">
        <v>20</v>
      </c>
      <c r="K850" s="2" t="s">
        <v>51</v>
      </c>
      <c r="L850" s="2" t="s">
        <v>1788</v>
      </c>
      <c r="M850" s="2" t="s">
        <v>1598</v>
      </c>
      <c r="N850" s="2" t="s">
        <v>126</v>
      </c>
      <c r="O850" s="2" t="s">
        <v>1992</v>
      </c>
      <c r="P850" s="2" t="s">
        <v>1993</v>
      </c>
    </row>
    <row r="851" spans="1:16" ht="15.6" x14ac:dyDescent="0.3">
      <c r="A851" s="4">
        <v>548379</v>
      </c>
      <c r="B851" s="4" t="s">
        <v>51</v>
      </c>
      <c r="C851" s="4" t="s">
        <v>26</v>
      </c>
      <c r="D851" s="4" t="str">
        <f t="shared" si="13"/>
        <v>IPL-2012</v>
      </c>
      <c r="E851" s="4">
        <f>YEAR('IPL Info'!$F851)</f>
        <v>2012</v>
      </c>
      <c r="F851" s="5">
        <v>41052</v>
      </c>
      <c r="G851" s="4" t="s">
        <v>26</v>
      </c>
      <c r="H851" s="4" t="s">
        <v>18</v>
      </c>
      <c r="I851" s="4" t="s">
        <v>19</v>
      </c>
      <c r="J851" s="4" t="s">
        <v>20</v>
      </c>
      <c r="K851" s="4" t="s">
        <v>51</v>
      </c>
      <c r="L851" s="4" t="s">
        <v>180</v>
      </c>
      <c r="M851" s="4" t="s">
        <v>1301</v>
      </c>
      <c r="N851" s="4" t="s">
        <v>1302</v>
      </c>
      <c r="O851" s="4" t="s">
        <v>1994</v>
      </c>
      <c r="P851" s="4" t="s">
        <v>1995</v>
      </c>
    </row>
    <row r="852" spans="1:16" ht="15.6" x14ac:dyDescent="0.3">
      <c r="A852" s="2">
        <v>548378</v>
      </c>
      <c r="B852" s="2" t="s">
        <v>1182</v>
      </c>
      <c r="C852" s="2" t="s">
        <v>56</v>
      </c>
      <c r="D852" s="2" t="str">
        <f t="shared" si="13"/>
        <v>IPL-2012</v>
      </c>
      <c r="E852" s="2">
        <f>YEAR('IPL Info'!$F852)</f>
        <v>2012</v>
      </c>
      <c r="F852" s="3">
        <v>41051</v>
      </c>
      <c r="G852" s="2" t="s">
        <v>56</v>
      </c>
      <c r="H852" s="2" t="s">
        <v>31</v>
      </c>
      <c r="I852" s="2" t="s">
        <v>19</v>
      </c>
      <c r="J852" s="2" t="s">
        <v>20</v>
      </c>
      <c r="K852" s="2" t="s">
        <v>56</v>
      </c>
      <c r="L852" s="2" t="s">
        <v>1445</v>
      </c>
      <c r="M852" s="2" t="s">
        <v>1835</v>
      </c>
      <c r="N852" s="2" t="s">
        <v>635</v>
      </c>
      <c r="O852" s="2" t="s">
        <v>1996</v>
      </c>
      <c r="P852" s="2" t="s">
        <v>1997</v>
      </c>
    </row>
    <row r="853" spans="1:16" ht="15.6" x14ac:dyDescent="0.3">
      <c r="A853" s="4">
        <v>548376</v>
      </c>
      <c r="B853" s="4" t="s">
        <v>1998</v>
      </c>
      <c r="C853" s="4" t="s">
        <v>445</v>
      </c>
      <c r="D853" s="4" t="str">
        <f t="shared" si="13"/>
        <v>IPL-2012</v>
      </c>
      <c r="E853" s="4">
        <f>YEAR('IPL Info'!$F853)</f>
        <v>2012</v>
      </c>
      <c r="F853" s="5">
        <v>41049</v>
      </c>
      <c r="G853" s="4" t="s">
        <v>445</v>
      </c>
      <c r="H853" s="4" t="s">
        <v>18</v>
      </c>
      <c r="I853" s="4" t="s">
        <v>19</v>
      </c>
      <c r="J853" s="4" t="s">
        <v>20</v>
      </c>
      <c r="K853" s="4" t="s">
        <v>1998</v>
      </c>
      <c r="L853" s="4" t="s">
        <v>1754</v>
      </c>
      <c r="M853" s="4" t="s">
        <v>1298</v>
      </c>
      <c r="N853" s="4" t="s">
        <v>105</v>
      </c>
      <c r="O853" s="4" t="s">
        <v>1999</v>
      </c>
      <c r="P853" s="4" t="s">
        <v>2000</v>
      </c>
    </row>
    <row r="854" spans="1:16" ht="15.6" x14ac:dyDescent="0.3">
      <c r="A854" s="2">
        <v>548377</v>
      </c>
      <c r="B854" s="2" t="s">
        <v>77</v>
      </c>
      <c r="C854" s="2" t="s">
        <v>26</v>
      </c>
      <c r="D854" s="2" t="str">
        <f t="shared" si="13"/>
        <v>IPL-2012</v>
      </c>
      <c r="E854" s="2">
        <f>YEAR('IPL Info'!$F854)</f>
        <v>2012</v>
      </c>
      <c r="F854" s="3">
        <v>41049</v>
      </c>
      <c r="G854" s="2" t="s">
        <v>77</v>
      </c>
      <c r="H854" s="2" t="s">
        <v>31</v>
      </c>
      <c r="I854" s="2" t="s">
        <v>19</v>
      </c>
      <c r="J854" s="2" t="s">
        <v>20</v>
      </c>
      <c r="K854" s="2" t="s">
        <v>26</v>
      </c>
      <c r="L854" s="2" t="s">
        <v>1333</v>
      </c>
      <c r="M854" s="2" t="s">
        <v>1069</v>
      </c>
      <c r="N854" s="2" t="s">
        <v>48</v>
      </c>
      <c r="O854" s="2" t="s">
        <v>2001</v>
      </c>
      <c r="P854" s="2" t="s">
        <v>2002</v>
      </c>
    </row>
    <row r="855" spans="1:16" ht="15.6" x14ac:dyDescent="0.3">
      <c r="A855" s="4">
        <v>548374</v>
      </c>
      <c r="B855" s="4" t="s">
        <v>925</v>
      </c>
      <c r="C855" s="4" t="s">
        <v>1182</v>
      </c>
      <c r="D855" s="4" t="str">
        <f t="shared" si="13"/>
        <v>IPL-2012</v>
      </c>
      <c r="E855" s="4">
        <f>YEAR('IPL Info'!$F855)</f>
        <v>2012</v>
      </c>
      <c r="F855" s="5">
        <v>41048</v>
      </c>
      <c r="G855" s="4" t="s">
        <v>1182</v>
      </c>
      <c r="H855" s="4" t="s">
        <v>18</v>
      </c>
      <c r="I855" s="4" t="s">
        <v>19</v>
      </c>
      <c r="J855" s="4" t="s">
        <v>20</v>
      </c>
      <c r="K855" s="4" t="s">
        <v>1182</v>
      </c>
      <c r="L855" s="4" t="s">
        <v>753</v>
      </c>
      <c r="M855" s="4" t="s">
        <v>1841</v>
      </c>
      <c r="N855" s="4" t="s">
        <v>93</v>
      </c>
      <c r="O855" s="4" t="s">
        <v>2003</v>
      </c>
      <c r="P855" s="4" t="s">
        <v>2004</v>
      </c>
    </row>
    <row r="856" spans="1:16" ht="15.6" x14ac:dyDescent="0.3">
      <c r="A856" s="2">
        <v>548375</v>
      </c>
      <c r="B856" s="2" t="s">
        <v>1833</v>
      </c>
      <c r="C856" s="2" t="s">
        <v>56</v>
      </c>
      <c r="D856" s="2" t="str">
        <f t="shared" si="13"/>
        <v>IPL-2012</v>
      </c>
      <c r="E856" s="2">
        <f>YEAR('IPL Info'!$F856)</f>
        <v>2012</v>
      </c>
      <c r="F856" s="3">
        <v>41048</v>
      </c>
      <c r="G856" s="2" t="s">
        <v>56</v>
      </c>
      <c r="H856" s="2" t="s">
        <v>31</v>
      </c>
      <c r="I856" s="2" t="s">
        <v>19</v>
      </c>
      <c r="J856" s="2" t="s">
        <v>20</v>
      </c>
      <c r="K856" s="2" t="s">
        <v>56</v>
      </c>
      <c r="L856" s="2" t="s">
        <v>2005</v>
      </c>
      <c r="M856" s="2" t="s">
        <v>1835</v>
      </c>
      <c r="N856" s="2" t="s">
        <v>635</v>
      </c>
      <c r="O856" s="2" t="s">
        <v>2006</v>
      </c>
      <c r="P856" s="2" t="s">
        <v>2007</v>
      </c>
    </row>
    <row r="857" spans="1:16" ht="15.6" x14ac:dyDescent="0.3">
      <c r="A857" s="4">
        <v>548373</v>
      </c>
      <c r="B857" s="4" t="s">
        <v>1998</v>
      </c>
      <c r="C857" s="4" t="s">
        <v>77</v>
      </c>
      <c r="D857" s="4" t="str">
        <f t="shared" si="13"/>
        <v>IPL-2012</v>
      </c>
      <c r="E857" s="4">
        <f>YEAR('IPL Info'!$F857)</f>
        <v>2012</v>
      </c>
      <c r="F857" s="5">
        <v>41047</v>
      </c>
      <c r="G857" s="4" t="s">
        <v>77</v>
      </c>
      <c r="H857" s="4" t="s">
        <v>31</v>
      </c>
      <c r="I857" s="4" t="s">
        <v>19</v>
      </c>
      <c r="J857" s="4" t="s">
        <v>20</v>
      </c>
      <c r="K857" s="4" t="s">
        <v>1998</v>
      </c>
      <c r="L857" s="4" t="s">
        <v>1754</v>
      </c>
      <c r="M857" s="4" t="s">
        <v>1298</v>
      </c>
      <c r="N857" s="4" t="s">
        <v>105</v>
      </c>
      <c r="O857" s="4" t="s">
        <v>2008</v>
      </c>
      <c r="P857" s="4" t="s">
        <v>2009</v>
      </c>
    </row>
    <row r="858" spans="1:16" ht="15.6" x14ac:dyDescent="0.3">
      <c r="A858" s="2">
        <v>548372</v>
      </c>
      <c r="B858" s="2" t="s">
        <v>1182</v>
      </c>
      <c r="C858" s="2" t="s">
        <v>445</v>
      </c>
      <c r="D858" s="2" t="str">
        <f t="shared" si="13"/>
        <v>IPL-2012</v>
      </c>
      <c r="E858" s="2">
        <f>YEAR('IPL Info'!$F858)</f>
        <v>2012</v>
      </c>
      <c r="F858" s="3">
        <v>41046</v>
      </c>
      <c r="G858" s="2" t="s">
        <v>1182</v>
      </c>
      <c r="H858" s="2" t="s">
        <v>18</v>
      </c>
      <c r="I858" s="2" t="s">
        <v>19</v>
      </c>
      <c r="J858" s="2" t="s">
        <v>20</v>
      </c>
      <c r="K858" s="2" t="s">
        <v>445</v>
      </c>
      <c r="L858" s="2" t="s">
        <v>941</v>
      </c>
      <c r="M858" s="2" t="s">
        <v>1310</v>
      </c>
      <c r="N858" s="2" t="s">
        <v>59</v>
      </c>
      <c r="O858" s="2" t="s">
        <v>2010</v>
      </c>
      <c r="P858" s="2" t="s">
        <v>2011</v>
      </c>
    </row>
    <row r="859" spans="1:16" ht="15.6" x14ac:dyDescent="0.3">
      <c r="A859" s="4">
        <v>548371</v>
      </c>
      <c r="B859" s="4" t="s">
        <v>925</v>
      </c>
      <c r="C859" s="4" t="s">
        <v>51</v>
      </c>
      <c r="D859" s="4" t="str">
        <f t="shared" si="13"/>
        <v>IPL-2012</v>
      </c>
      <c r="E859" s="4">
        <f>YEAR('IPL Info'!$F859)</f>
        <v>2012</v>
      </c>
      <c r="F859" s="5">
        <v>41046</v>
      </c>
      <c r="G859" s="4" t="s">
        <v>925</v>
      </c>
      <c r="H859" s="4" t="s">
        <v>18</v>
      </c>
      <c r="I859" s="4" t="s">
        <v>19</v>
      </c>
      <c r="J859" s="4" t="s">
        <v>20</v>
      </c>
      <c r="K859" s="4" t="s">
        <v>925</v>
      </c>
      <c r="L859" s="4" t="s">
        <v>1853</v>
      </c>
      <c r="M859" s="4" t="s">
        <v>1841</v>
      </c>
      <c r="N859" s="4" t="s">
        <v>93</v>
      </c>
      <c r="O859" s="4" t="s">
        <v>2012</v>
      </c>
      <c r="P859" s="4" t="s">
        <v>2013</v>
      </c>
    </row>
    <row r="860" spans="1:16" ht="15.6" x14ac:dyDescent="0.3">
      <c r="A860" s="2">
        <v>548370</v>
      </c>
      <c r="B860" s="2" t="s">
        <v>26</v>
      </c>
      <c r="C860" s="2" t="s">
        <v>56</v>
      </c>
      <c r="D860" s="2" t="str">
        <f t="shared" si="13"/>
        <v>IPL-2012</v>
      </c>
      <c r="E860" s="2">
        <f>YEAR('IPL Info'!$F860)</f>
        <v>2012</v>
      </c>
      <c r="F860" s="3">
        <v>41045</v>
      </c>
      <c r="G860" s="2" t="s">
        <v>26</v>
      </c>
      <c r="H860" s="2" t="s">
        <v>18</v>
      </c>
      <c r="I860" s="2" t="s">
        <v>19</v>
      </c>
      <c r="J860" s="2" t="s">
        <v>20</v>
      </c>
      <c r="K860" s="2" t="s">
        <v>56</v>
      </c>
      <c r="L860" s="2" t="s">
        <v>129</v>
      </c>
      <c r="M860" s="2" t="s">
        <v>1045</v>
      </c>
      <c r="N860" s="2" t="s">
        <v>74</v>
      </c>
      <c r="O860" s="2" t="s">
        <v>2014</v>
      </c>
      <c r="P860" s="2" t="s">
        <v>2015</v>
      </c>
    </row>
    <row r="861" spans="1:16" ht="15.6" x14ac:dyDescent="0.3">
      <c r="A861" s="4">
        <v>548369</v>
      </c>
      <c r="B861" s="4" t="s">
        <v>1182</v>
      </c>
      <c r="C861" s="4" t="s">
        <v>925</v>
      </c>
      <c r="D861" s="4" t="str">
        <f t="shared" si="13"/>
        <v>IPL-2012</v>
      </c>
      <c r="E861" s="4">
        <f>YEAR('IPL Info'!$F861)</f>
        <v>2012</v>
      </c>
      <c r="F861" s="5">
        <v>41044</v>
      </c>
      <c r="G861" s="4" t="s">
        <v>925</v>
      </c>
      <c r="H861" s="4" t="s">
        <v>31</v>
      </c>
      <c r="I861" s="4" t="s">
        <v>19</v>
      </c>
      <c r="J861" s="4" t="s">
        <v>20</v>
      </c>
      <c r="K861" s="4" t="s">
        <v>1182</v>
      </c>
      <c r="L861" s="4" t="s">
        <v>753</v>
      </c>
      <c r="M861" s="4" t="s">
        <v>1310</v>
      </c>
      <c r="N861" s="4" t="s">
        <v>59</v>
      </c>
      <c r="O861" s="4" t="s">
        <v>2016</v>
      </c>
      <c r="P861" s="4" t="s">
        <v>2017</v>
      </c>
    </row>
    <row r="862" spans="1:16" ht="15.6" x14ac:dyDescent="0.3">
      <c r="A862" s="2">
        <v>548368</v>
      </c>
      <c r="B862" s="2" t="s">
        <v>56</v>
      </c>
      <c r="C862" s="2" t="s">
        <v>51</v>
      </c>
      <c r="D862" s="2" t="str">
        <f t="shared" si="13"/>
        <v>IPL-2012</v>
      </c>
      <c r="E862" s="2">
        <f>YEAR('IPL Info'!$F862)</f>
        <v>2012</v>
      </c>
      <c r="F862" s="3">
        <v>41043</v>
      </c>
      <c r="G862" s="2" t="s">
        <v>51</v>
      </c>
      <c r="H862" s="2" t="s">
        <v>18</v>
      </c>
      <c r="I862" s="2" t="s">
        <v>19</v>
      </c>
      <c r="J862" s="2" t="s">
        <v>20</v>
      </c>
      <c r="K862" s="2" t="s">
        <v>51</v>
      </c>
      <c r="L862" s="2" t="s">
        <v>1711</v>
      </c>
      <c r="M862" s="2" t="s">
        <v>1064</v>
      </c>
      <c r="N862" s="2" t="s">
        <v>98</v>
      </c>
      <c r="O862" s="2" t="s">
        <v>2018</v>
      </c>
      <c r="P862" s="2" t="s">
        <v>2019</v>
      </c>
    </row>
    <row r="863" spans="1:16" ht="15.6" x14ac:dyDescent="0.3">
      <c r="A863" s="4">
        <v>548367</v>
      </c>
      <c r="B863" s="4" t="s">
        <v>445</v>
      </c>
      <c r="C863" s="4" t="s">
        <v>26</v>
      </c>
      <c r="D863" s="4" t="str">
        <f t="shared" si="13"/>
        <v>IPL-2012</v>
      </c>
      <c r="E863" s="4">
        <f>YEAR('IPL Info'!$F863)</f>
        <v>2012</v>
      </c>
      <c r="F863" s="5">
        <v>41043</v>
      </c>
      <c r="G863" s="4" t="s">
        <v>26</v>
      </c>
      <c r="H863" s="4" t="s">
        <v>18</v>
      </c>
      <c r="I863" s="4" t="s">
        <v>19</v>
      </c>
      <c r="J863" s="4" t="s">
        <v>20</v>
      </c>
      <c r="K863" s="4" t="s">
        <v>26</v>
      </c>
      <c r="L863" s="4" t="s">
        <v>1028</v>
      </c>
      <c r="M863" s="4" t="s">
        <v>1301</v>
      </c>
      <c r="N863" s="4" t="s">
        <v>1302</v>
      </c>
      <c r="O863" s="4" t="s">
        <v>2020</v>
      </c>
      <c r="P863" s="4" t="s">
        <v>2021</v>
      </c>
    </row>
    <row r="864" spans="1:16" ht="15.6" x14ac:dyDescent="0.3">
      <c r="A864" s="2">
        <v>548366</v>
      </c>
      <c r="B864" s="2" t="s">
        <v>925</v>
      </c>
      <c r="C864" s="2" t="s">
        <v>1998</v>
      </c>
      <c r="D864" s="2" t="str">
        <f t="shared" si="13"/>
        <v>IPL-2012</v>
      </c>
      <c r="E864" s="2">
        <f>YEAR('IPL Info'!$F864)</f>
        <v>2012</v>
      </c>
      <c r="F864" s="3">
        <v>41042</v>
      </c>
      <c r="G864" s="2" t="s">
        <v>1998</v>
      </c>
      <c r="H864" s="2" t="s">
        <v>31</v>
      </c>
      <c r="I864" s="2" t="s">
        <v>19</v>
      </c>
      <c r="J864" s="2" t="s">
        <v>20</v>
      </c>
      <c r="K864" s="2" t="s">
        <v>925</v>
      </c>
      <c r="L864" s="2" t="s">
        <v>2022</v>
      </c>
      <c r="M864" s="2" t="s">
        <v>1580</v>
      </c>
      <c r="N864" s="2" t="s">
        <v>502</v>
      </c>
      <c r="O864" s="2" t="s">
        <v>2023</v>
      </c>
      <c r="P864" s="2" t="s">
        <v>2024</v>
      </c>
    </row>
    <row r="865" spans="1:16" ht="15.6" x14ac:dyDescent="0.3">
      <c r="A865" s="4">
        <v>548365</v>
      </c>
      <c r="B865" s="4" t="s">
        <v>77</v>
      </c>
      <c r="C865" s="4" t="s">
        <v>1833</v>
      </c>
      <c r="D865" s="4" t="str">
        <f t="shared" si="13"/>
        <v>IPL-2012</v>
      </c>
      <c r="E865" s="4">
        <f>YEAR('IPL Info'!$F865)</f>
        <v>2012</v>
      </c>
      <c r="F865" s="5">
        <v>41042</v>
      </c>
      <c r="G865" s="4" t="s">
        <v>77</v>
      </c>
      <c r="H865" s="4" t="s">
        <v>31</v>
      </c>
      <c r="I865" s="4" t="s">
        <v>19</v>
      </c>
      <c r="J865" s="4" t="s">
        <v>20</v>
      </c>
      <c r="K865" s="4" t="s">
        <v>77</v>
      </c>
      <c r="L865" s="4" t="s">
        <v>2025</v>
      </c>
      <c r="M865" s="4" t="s">
        <v>1069</v>
      </c>
      <c r="N865" s="4" t="s">
        <v>48</v>
      </c>
      <c r="O865" s="4" t="s">
        <v>2026</v>
      </c>
      <c r="P865" s="4" t="s">
        <v>2027</v>
      </c>
    </row>
    <row r="866" spans="1:16" ht="15.6" x14ac:dyDescent="0.3">
      <c r="A866" s="2">
        <v>548364</v>
      </c>
      <c r="B866" s="2" t="s">
        <v>51</v>
      </c>
      <c r="C866" s="2" t="s">
        <v>1182</v>
      </c>
      <c r="D866" s="2" t="str">
        <f t="shared" si="13"/>
        <v>IPL-2012</v>
      </c>
      <c r="E866" s="2">
        <f>YEAR('IPL Info'!$F866)</f>
        <v>2012</v>
      </c>
      <c r="F866" s="3">
        <v>41041</v>
      </c>
      <c r="G866" s="2" t="s">
        <v>51</v>
      </c>
      <c r="H866" s="2" t="s">
        <v>18</v>
      </c>
      <c r="I866" s="2" t="s">
        <v>19</v>
      </c>
      <c r="J866" s="2" t="s">
        <v>20</v>
      </c>
      <c r="K866" s="2" t="s">
        <v>51</v>
      </c>
      <c r="L866" s="2" t="s">
        <v>2028</v>
      </c>
      <c r="M866" s="2" t="s">
        <v>1598</v>
      </c>
      <c r="N866" s="2" t="s">
        <v>126</v>
      </c>
      <c r="O866" s="2" t="s">
        <v>2029</v>
      </c>
      <c r="P866" s="2" t="s">
        <v>2030</v>
      </c>
    </row>
    <row r="867" spans="1:16" ht="15.6" x14ac:dyDescent="0.3">
      <c r="A867" s="4">
        <v>548363</v>
      </c>
      <c r="B867" s="4" t="s">
        <v>56</v>
      </c>
      <c r="C867" s="4" t="s">
        <v>26</v>
      </c>
      <c r="D867" s="4" t="str">
        <f t="shared" si="13"/>
        <v>IPL-2012</v>
      </c>
      <c r="E867" s="4">
        <f>YEAR('IPL Info'!$F867)</f>
        <v>2012</v>
      </c>
      <c r="F867" s="5">
        <v>41041</v>
      </c>
      <c r="G867" s="4" t="s">
        <v>26</v>
      </c>
      <c r="H867" s="4" t="s">
        <v>31</v>
      </c>
      <c r="I867" s="4" t="s">
        <v>19</v>
      </c>
      <c r="J867" s="4" t="s">
        <v>20</v>
      </c>
      <c r="K867" s="4" t="s">
        <v>26</v>
      </c>
      <c r="L867" s="4" t="s">
        <v>32</v>
      </c>
      <c r="M867" s="4" t="s">
        <v>1064</v>
      </c>
      <c r="N867" s="4" t="s">
        <v>98</v>
      </c>
      <c r="O867" s="4" t="s">
        <v>2031</v>
      </c>
      <c r="P867" s="4" t="s">
        <v>2032</v>
      </c>
    </row>
    <row r="868" spans="1:16" ht="15.6" x14ac:dyDescent="0.3">
      <c r="A868" s="2">
        <v>548362</v>
      </c>
      <c r="B868" s="2" t="s">
        <v>1833</v>
      </c>
      <c r="C868" s="2" t="s">
        <v>445</v>
      </c>
      <c r="D868" s="2" t="str">
        <f t="shared" si="13"/>
        <v>IPL-2012</v>
      </c>
      <c r="E868" s="2">
        <f>YEAR('IPL Info'!$F868)</f>
        <v>2012</v>
      </c>
      <c r="F868" s="3">
        <v>41040</v>
      </c>
      <c r="G868" s="2" t="s">
        <v>1833</v>
      </c>
      <c r="H868" s="2" t="s">
        <v>18</v>
      </c>
      <c r="I868" s="2" t="s">
        <v>19</v>
      </c>
      <c r="J868" s="2" t="s">
        <v>20</v>
      </c>
      <c r="K868" s="2" t="s">
        <v>445</v>
      </c>
      <c r="L868" s="2" t="s">
        <v>941</v>
      </c>
      <c r="M868" s="2" t="s">
        <v>1835</v>
      </c>
      <c r="N868" s="2" t="s">
        <v>635</v>
      </c>
      <c r="O868" s="2" t="s">
        <v>2033</v>
      </c>
      <c r="P868" s="2" t="s">
        <v>2020</v>
      </c>
    </row>
    <row r="869" spans="1:16" ht="15.6" x14ac:dyDescent="0.3">
      <c r="A869" s="4">
        <v>548361</v>
      </c>
      <c r="B869" s="4" t="s">
        <v>77</v>
      </c>
      <c r="C869" s="4" t="s">
        <v>51</v>
      </c>
      <c r="D869" s="4" t="str">
        <f t="shared" si="13"/>
        <v>IPL-2012</v>
      </c>
      <c r="E869" s="4">
        <f>YEAR('IPL Info'!$F869)</f>
        <v>2012</v>
      </c>
      <c r="F869" s="5">
        <v>41039</v>
      </c>
      <c r="G869" s="4" t="s">
        <v>51</v>
      </c>
      <c r="H869" s="4" t="s">
        <v>18</v>
      </c>
      <c r="I869" s="4" t="s">
        <v>19</v>
      </c>
      <c r="J869" s="4" t="s">
        <v>20</v>
      </c>
      <c r="K869" s="4" t="s">
        <v>51</v>
      </c>
      <c r="L869" s="4" t="s">
        <v>2028</v>
      </c>
      <c r="M869" s="4" t="s">
        <v>1069</v>
      </c>
      <c r="N869" s="4" t="s">
        <v>48</v>
      </c>
      <c r="O869" s="4" t="s">
        <v>2034</v>
      </c>
      <c r="P869" s="4" t="s">
        <v>2035</v>
      </c>
    </row>
    <row r="870" spans="1:16" ht="15.6" x14ac:dyDescent="0.3">
      <c r="A870" s="2">
        <v>548329</v>
      </c>
      <c r="B870" s="2" t="s">
        <v>1998</v>
      </c>
      <c r="C870" s="2" t="s">
        <v>1182</v>
      </c>
      <c r="D870" s="2" t="str">
        <f t="shared" si="13"/>
        <v>IPL-2012</v>
      </c>
      <c r="E870" s="2">
        <f>YEAR('IPL Info'!$F870)</f>
        <v>2012</v>
      </c>
      <c r="F870" s="3">
        <v>41039</v>
      </c>
      <c r="G870" s="2" t="s">
        <v>1998</v>
      </c>
      <c r="H870" s="2" t="s">
        <v>31</v>
      </c>
      <c r="I870" s="2" t="s">
        <v>19</v>
      </c>
      <c r="J870" s="2" t="s">
        <v>20</v>
      </c>
      <c r="K870" s="2" t="s">
        <v>1182</v>
      </c>
      <c r="L870" s="2" t="s">
        <v>658</v>
      </c>
      <c r="M870" s="2" t="s">
        <v>1298</v>
      </c>
      <c r="N870" s="2" t="s">
        <v>105</v>
      </c>
      <c r="O870" s="2" t="s">
        <v>2036</v>
      </c>
      <c r="P870" s="2" t="s">
        <v>2037</v>
      </c>
    </row>
    <row r="871" spans="1:16" ht="15.6" x14ac:dyDescent="0.3">
      <c r="A871" s="4">
        <v>548360</v>
      </c>
      <c r="B871" s="4" t="s">
        <v>26</v>
      </c>
      <c r="C871" s="4" t="s">
        <v>445</v>
      </c>
      <c r="D871" s="4" t="str">
        <f t="shared" ref="D871:D934" si="14">_xlfn.SINGLE(_xlfn.CONCAT("IPL-",E871))</f>
        <v>IPL-2012</v>
      </c>
      <c r="E871" s="4">
        <f>YEAR('IPL Info'!$F871)</f>
        <v>2012</v>
      </c>
      <c r="F871" s="5">
        <v>41038</v>
      </c>
      <c r="G871" s="4" t="s">
        <v>445</v>
      </c>
      <c r="H871" s="4" t="s">
        <v>18</v>
      </c>
      <c r="I871" s="4" t="s">
        <v>19</v>
      </c>
      <c r="J871" s="4" t="s">
        <v>20</v>
      </c>
      <c r="K871" s="4" t="s">
        <v>445</v>
      </c>
      <c r="L871" s="4" t="s">
        <v>941</v>
      </c>
      <c r="M871" s="4" t="s">
        <v>1045</v>
      </c>
      <c r="N871" s="4" t="s">
        <v>74</v>
      </c>
      <c r="O871" s="4" t="s">
        <v>2038</v>
      </c>
      <c r="P871" s="4" t="s">
        <v>2039</v>
      </c>
    </row>
    <row r="872" spans="1:16" ht="15.6" x14ac:dyDescent="0.3">
      <c r="A872" s="2">
        <v>548358</v>
      </c>
      <c r="B872" s="2" t="s">
        <v>1833</v>
      </c>
      <c r="C872" s="2" t="s">
        <v>77</v>
      </c>
      <c r="D872" s="2" t="str">
        <f t="shared" si="14"/>
        <v>IPL-2012</v>
      </c>
      <c r="E872" s="2">
        <f>YEAR('IPL Info'!$F872)</f>
        <v>2012</v>
      </c>
      <c r="F872" s="3">
        <v>41037</v>
      </c>
      <c r="G872" s="2" t="s">
        <v>1833</v>
      </c>
      <c r="H872" s="2" t="s">
        <v>31</v>
      </c>
      <c r="I872" s="2" t="s">
        <v>19</v>
      </c>
      <c r="J872" s="2" t="s">
        <v>20</v>
      </c>
      <c r="K872" s="2" t="s">
        <v>77</v>
      </c>
      <c r="L872" s="2" t="s">
        <v>996</v>
      </c>
      <c r="M872" s="2" t="s">
        <v>1835</v>
      </c>
      <c r="N872" s="2" t="s">
        <v>635</v>
      </c>
      <c r="O872" s="2" t="s">
        <v>2040</v>
      </c>
      <c r="P872" s="2" t="s">
        <v>2041</v>
      </c>
    </row>
    <row r="873" spans="1:16" ht="15.6" x14ac:dyDescent="0.3">
      <c r="A873" s="4">
        <v>548359</v>
      </c>
      <c r="B873" s="4" t="s">
        <v>1998</v>
      </c>
      <c r="C873" s="4" t="s">
        <v>925</v>
      </c>
      <c r="D873" s="4" t="str">
        <f t="shared" si="14"/>
        <v>IPL-2012</v>
      </c>
      <c r="E873" s="4">
        <f>YEAR('IPL Info'!$F873)</f>
        <v>2012</v>
      </c>
      <c r="F873" s="5">
        <v>41037</v>
      </c>
      <c r="G873" s="4" t="s">
        <v>1998</v>
      </c>
      <c r="H873" s="4" t="s">
        <v>18</v>
      </c>
      <c r="I873" s="4" t="s">
        <v>19</v>
      </c>
      <c r="J873" s="4" t="s">
        <v>20</v>
      </c>
      <c r="K873" s="4" t="s">
        <v>925</v>
      </c>
      <c r="L873" s="4" t="s">
        <v>1623</v>
      </c>
      <c r="M873" s="4" t="s">
        <v>1298</v>
      </c>
      <c r="N873" s="4" t="s">
        <v>105</v>
      </c>
      <c r="O873" s="4" t="s">
        <v>2042</v>
      </c>
      <c r="P873" s="4" t="s">
        <v>2043</v>
      </c>
    </row>
    <row r="874" spans="1:16" ht="15.6" x14ac:dyDescent="0.3">
      <c r="A874" s="2">
        <v>548357</v>
      </c>
      <c r="B874" s="2" t="s">
        <v>1182</v>
      </c>
      <c r="C874" s="2" t="s">
        <v>56</v>
      </c>
      <c r="D874" s="2" t="str">
        <f t="shared" si="14"/>
        <v>IPL-2012</v>
      </c>
      <c r="E874" s="2">
        <f>YEAR('IPL Info'!$F874)</f>
        <v>2012</v>
      </c>
      <c r="F874" s="3">
        <v>41036</v>
      </c>
      <c r="G874" s="2" t="s">
        <v>1182</v>
      </c>
      <c r="H874" s="2" t="s">
        <v>31</v>
      </c>
      <c r="I874" s="2" t="s">
        <v>19</v>
      </c>
      <c r="J874" s="2" t="s">
        <v>20</v>
      </c>
      <c r="K874" s="2" t="s">
        <v>56</v>
      </c>
      <c r="L874" s="2" t="s">
        <v>1819</v>
      </c>
      <c r="M874" s="2" t="s">
        <v>1310</v>
      </c>
      <c r="N874" s="2" t="s">
        <v>59</v>
      </c>
      <c r="O874" s="2" t="s">
        <v>2044</v>
      </c>
      <c r="P874" s="2" t="s">
        <v>2045</v>
      </c>
    </row>
    <row r="875" spans="1:16" ht="15.6" x14ac:dyDescent="0.3">
      <c r="A875" s="4">
        <v>548355</v>
      </c>
      <c r="B875" s="4" t="s">
        <v>26</v>
      </c>
      <c r="C875" s="4" t="s">
        <v>51</v>
      </c>
      <c r="D875" s="4" t="str">
        <f t="shared" si="14"/>
        <v>IPL-2012</v>
      </c>
      <c r="E875" s="4">
        <f>YEAR('IPL Info'!$F875)</f>
        <v>2012</v>
      </c>
      <c r="F875" s="5">
        <v>41035</v>
      </c>
      <c r="G875" s="4" t="s">
        <v>26</v>
      </c>
      <c r="H875" s="4" t="s">
        <v>18</v>
      </c>
      <c r="I875" s="4" t="s">
        <v>19</v>
      </c>
      <c r="J875" s="4" t="s">
        <v>20</v>
      </c>
      <c r="K875" s="4" t="s">
        <v>26</v>
      </c>
      <c r="L875" s="4" t="s">
        <v>1333</v>
      </c>
      <c r="M875" s="4" t="s">
        <v>1045</v>
      </c>
      <c r="N875" s="4" t="s">
        <v>74</v>
      </c>
      <c r="O875" s="4" t="s">
        <v>2046</v>
      </c>
      <c r="P875" s="4" t="s">
        <v>2047</v>
      </c>
    </row>
    <row r="876" spans="1:16" ht="15.6" x14ac:dyDescent="0.3">
      <c r="A876" s="2">
        <v>548356</v>
      </c>
      <c r="B876" s="2" t="s">
        <v>445</v>
      </c>
      <c r="C876" s="2" t="s">
        <v>1998</v>
      </c>
      <c r="D876" s="2" t="str">
        <f t="shared" si="14"/>
        <v>IPL-2012</v>
      </c>
      <c r="E876" s="2">
        <f>YEAR('IPL Info'!$F876)</f>
        <v>2012</v>
      </c>
      <c r="F876" s="3">
        <v>41035</v>
      </c>
      <c r="G876" s="2" t="s">
        <v>445</v>
      </c>
      <c r="H876" s="2" t="s">
        <v>18</v>
      </c>
      <c r="I876" s="2" t="s">
        <v>19</v>
      </c>
      <c r="J876" s="2" t="s">
        <v>20</v>
      </c>
      <c r="K876" s="2" t="s">
        <v>445</v>
      </c>
      <c r="L876" s="2" t="s">
        <v>861</v>
      </c>
      <c r="M876" s="2" t="s">
        <v>1301</v>
      </c>
      <c r="N876" s="2" t="s">
        <v>1302</v>
      </c>
      <c r="O876" s="2" t="s">
        <v>2048</v>
      </c>
      <c r="P876" s="2" t="s">
        <v>2049</v>
      </c>
    </row>
    <row r="877" spans="1:16" ht="15.6" x14ac:dyDescent="0.3">
      <c r="A877" s="4">
        <v>548354</v>
      </c>
      <c r="B877" s="4" t="s">
        <v>925</v>
      </c>
      <c r="C877" s="4" t="s">
        <v>77</v>
      </c>
      <c r="D877" s="4" t="str">
        <f t="shared" si="14"/>
        <v>IPL-2012</v>
      </c>
      <c r="E877" s="4">
        <f>YEAR('IPL Info'!$F877)</f>
        <v>2012</v>
      </c>
      <c r="F877" s="5">
        <v>41034</v>
      </c>
      <c r="G877" s="4" t="s">
        <v>77</v>
      </c>
      <c r="H877" s="4" t="s">
        <v>31</v>
      </c>
      <c r="I877" s="4" t="s">
        <v>19</v>
      </c>
      <c r="J877" s="4" t="s">
        <v>20</v>
      </c>
      <c r="K877" s="4" t="s">
        <v>77</v>
      </c>
      <c r="L877" s="4" t="s">
        <v>996</v>
      </c>
      <c r="M877" s="4" t="s">
        <v>1580</v>
      </c>
      <c r="N877" s="4" t="s">
        <v>502</v>
      </c>
      <c r="O877" s="4" t="s">
        <v>2050</v>
      </c>
      <c r="P877" s="4" t="s">
        <v>2051</v>
      </c>
    </row>
    <row r="878" spans="1:16" ht="15.6" x14ac:dyDescent="0.3">
      <c r="A878" s="2">
        <v>548353</v>
      </c>
      <c r="B878" s="2" t="s">
        <v>56</v>
      </c>
      <c r="C878" s="2" t="s">
        <v>1833</v>
      </c>
      <c r="D878" s="2" t="str">
        <f t="shared" si="14"/>
        <v>IPL-2012</v>
      </c>
      <c r="E878" s="2">
        <f>YEAR('IPL Info'!$F878)</f>
        <v>2012</v>
      </c>
      <c r="F878" s="3">
        <v>41034</v>
      </c>
      <c r="G878" s="2" t="s">
        <v>56</v>
      </c>
      <c r="H878" s="2" t="s">
        <v>31</v>
      </c>
      <c r="I878" s="2" t="s">
        <v>19</v>
      </c>
      <c r="J878" s="2" t="s">
        <v>20</v>
      </c>
      <c r="K878" s="2" t="s">
        <v>56</v>
      </c>
      <c r="L878" s="2" t="s">
        <v>129</v>
      </c>
      <c r="M878" s="2" t="s">
        <v>1064</v>
      </c>
      <c r="N878" s="2" t="s">
        <v>98</v>
      </c>
      <c r="O878" s="2" t="s">
        <v>2052</v>
      </c>
      <c r="P878" s="2" t="s">
        <v>2053</v>
      </c>
    </row>
    <row r="879" spans="1:16" ht="15.6" x14ac:dyDescent="0.3">
      <c r="A879" s="4">
        <v>548352</v>
      </c>
      <c r="B879" s="4" t="s">
        <v>51</v>
      </c>
      <c r="C879" s="4" t="s">
        <v>1998</v>
      </c>
      <c r="D879" s="4" t="str">
        <f t="shared" si="14"/>
        <v>IPL-2012</v>
      </c>
      <c r="E879" s="4">
        <f>YEAR('IPL Info'!$F879)</f>
        <v>2012</v>
      </c>
      <c r="F879" s="5">
        <v>41033</v>
      </c>
      <c r="G879" s="4" t="s">
        <v>51</v>
      </c>
      <c r="H879" s="4" t="s">
        <v>31</v>
      </c>
      <c r="I879" s="4" t="s">
        <v>19</v>
      </c>
      <c r="J879" s="4" t="s">
        <v>20</v>
      </c>
      <c r="K879" s="4" t="s">
        <v>51</v>
      </c>
      <c r="L879" s="4" t="s">
        <v>1386</v>
      </c>
      <c r="M879" s="4" t="s">
        <v>1598</v>
      </c>
      <c r="N879" s="4" t="s">
        <v>126</v>
      </c>
      <c r="O879" s="4" t="s">
        <v>2054</v>
      </c>
      <c r="P879" s="4" t="s">
        <v>2055</v>
      </c>
    </row>
    <row r="880" spans="1:16" ht="15.6" x14ac:dyDescent="0.3">
      <c r="A880" s="2">
        <v>548351</v>
      </c>
      <c r="B880" s="2" t="s">
        <v>1833</v>
      </c>
      <c r="C880" s="2" t="s">
        <v>26</v>
      </c>
      <c r="D880" s="2" t="str">
        <f t="shared" si="14"/>
        <v>IPL-2012</v>
      </c>
      <c r="E880" s="2">
        <f>YEAR('IPL Info'!$F880)</f>
        <v>2012</v>
      </c>
      <c r="F880" s="3">
        <v>41032</v>
      </c>
      <c r="G880" s="2" t="s">
        <v>26</v>
      </c>
      <c r="H880" s="2" t="s">
        <v>31</v>
      </c>
      <c r="I880" s="2" t="s">
        <v>19</v>
      </c>
      <c r="J880" s="2" t="s">
        <v>20</v>
      </c>
      <c r="K880" s="2" t="s">
        <v>26</v>
      </c>
      <c r="L880" s="2" t="s">
        <v>1101</v>
      </c>
      <c r="M880" s="2" t="s">
        <v>1835</v>
      </c>
      <c r="N880" s="2" t="s">
        <v>635</v>
      </c>
      <c r="O880" s="2" t="s">
        <v>2056</v>
      </c>
      <c r="P880" s="2" t="s">
        <v>2057</v>
      </c>
    </row>
    <row r="881" spans="1:16" ht="15.6" x14ac:dyDescent="0.3">
      <c r="A881" s="4">
        <v>548350</v>
      </c>
      <c r="B881" s="4" t="s">
        <v>445</v>
      </c>
      <c r="C881" s="4" t="s">
        <v>925</v>
      </c>
      <c r="D881" s="4" t="str">
        <f t="shared" si="14"/>
        <v>IPL-2012</v>
      </c>
      <c r="E881" s="4">
        <f>YEAR('IPL Info'!$F881)</f>
        <v>2012</v>
      </c>
      <c r="F881" s="5">
        <v>41031</v>
      </c>
      <c r="G881" s="4" t="s">
        <v>925</v>
      </c>
      <c r="H881" s="4" t="s">
        <v>18</v>
      </c>
      <c r="I881" s="4" t="s">
        <v>19</v>
      </c>
      <c r="J881" s="4" t="s">
        <v>20</v>
      </c>
      <c r="K881" s="4" t="s">
        <v>925</v>
      </c>
      <c r="L881" s="4" t="s">
        <v>1840</v>
      </c>
      <c r="M881" s="4" t="s">
        <v>1301</v>
      </c>
      <c r="N881" s="4" t="s">
        <v>1302</v>
      </c>
      <c r="O881" s="4" t="s">
        <v>2058</v>
      </c>
      <c r="P881" s="4" t="s">
        <v>2059</v>
      </c>
    </row>
    <row r="882" spans="1:16" ht="15.6" x14ac:dyDescent="0.3">
      <c r="A882" s="2">
        <v>548349</v>
      </c>
      <c r="B882" s="2" t="s">
        <v>77</v>
      </c>
      <c r="C882" s="2" t="s">
        <v>1182</v>
      </c>
      <c r="D882" s="2" t="str">
        <f t="shared" si="14"/>
        <v>IPL-2012</v>
      </c>
      <c r="E882" s="2">
        <f>YEAR('IPL Info'!$F882)</f>
        <v>2012</v>
      </c>
      <c r="F882" s="3">
        <v>41030</v>
      </c>
      <c r="G882" s="2" t="s">
        <v>77</v>
      </c>
      <c r="H882" s="2" t="s">
        <v>31</v>
      </c>
      <c r="I882" s="2" t="s">
        <v>19</v>
      </c>
      <c r="J882" s="2" t="s">
        <v>20</v>
      </c>
      <c r="K882" s="2" t="s">
        <v>1182</v>
      </c>
      <c r="L882" s="2" t="s">
        <v>1579</v>
      </c>
      <c r="M882" s="2" t="s">
        <v>1069</v>
      </c>
      <c r="N882" s="2" t="s">
        <v>48</v>
      </c>
      <c r="O882" s="2" t="s">
        <v>2060</v>
      </c>
      <c r="P882" s="2" t="s">
        <v>2061</v>
      </c>
    </row>
    <row r="883" spans="1:16" ht="15.6" x14ac:dyDescent="0.3">
      <c r="A883" s="4">
        <v>548348</v>
      </c>
      <c r="B883" s="4" t="s">
        <v>1998</v>
      </c>
      <c r="C883" s="4" t="s">
        <v>1833</v>
      </c>
      <c r="D883" s="4" t="str">
        <f t="shared" si="14"/>
        <v>IPL-2012</v>
      </c>
      <c r="E883" s="4">
        <f>YEAR('IPL Info'!$F883)</f>
        <v>2012</v>
      </c>
      <c r="F883" s="5">
        <v>41030</v>
      </c>
      <c r="G883" s="4" t="s">
        <v>1998</v>
      </c>
      <c r="H883" s="4" t="s">
        <v>31</v>
      </c>
      <c r="I883" s="4" t="s">
        <v>19</v>
      </c>
      <c r="J883" s="4" t="s">
        <v>20</v>
      </c>
      <c r="K883" s="4" t="s">
        <v>1998</v>
      </c>
      <c r="L883" s="4" t="s">
        <v>2062</v>
      </c>
      <c r="M883" s="4" t="s">
        <v>1736</v>
      </c>
      <c r="N883" s="4" t="s">
        <v>1737</v>
      </c>
      <c r="O883" s="4" t="s">
        <v>2063</v>
      </c>
      <c r="P883" s="4" t="s">
        <v>2064</v>
      </c>
    </row>
    <row r="884" spans="1:16" ht="15.6" x14ac:dyDescent="0.3">
      <c r="A884" s="2">
        <v>548347</v>
      </c>
      <c r="B884" s="2" t="s">
        <v>51</v>
      </c>
      <c r="C884" s="2" t="s">
        <v>56</v>
      </c>
      <c r="D884" s="2" t="str">
        <f t="shared" si="14"/>
        <v>IPL-2012</v>
      </c>
      <c r="E884" s="2">
        <f>YEAR('IPL Info'!$F884)</f>
        <v>2012</v>
      </c>
      <c r="F884" s="3">
        <v>41029</v>
      </c>
      <c r="G884" s="2" t="s">
        <v>51</v>
      </c>
      <c r="H884" s="2" t="s">
        <v>31</v>
      </c>
      <c r="I884" s="2" t="s">
        <v>19</v>
      </c>
      <c r="J884" s="2" t="s">
        <v>20</v>
      </c>
      <c r="K884" s="2" t="s">
        <v>56</v>
      </c>
      <c r="L884" s="2" t="s">
        <v>1364</v>
      </c>
      <c r="M884" s="2" t="s">
        <v>1598</v>
      </c>
      <c r="N884" s="2" t="s">
        <v>126</v>
      </c>
      <c r="O884" s="2" t="s">
        <v>2065</v>
      </c>
      <c r="P884" s="2" t="s">
        <v>2066</v>
      </c>
    </row>
    <row r="885" spans="1:16" ht="15.6" x14ac:dyDescent="0.3">
      <c r="A885" s="4">
        <v>548345</v>
      </c>
      <c r="B885" s="4" t="s">
        <v>1182</v>
      </c>
      <c r="C885" s="4" t="s">
        <v>77</v>
      </c>
      <c r="D885" s="4" t="str">
        <f t="shared" si="14"/>
        <v>IPL-2012</v>
      </c>
      <c r="E885" s="4">
        <f>YEAR('IPL Info'!$F885)</f>
        <v>2012</v>
      </c>
      <c r="F885" s="5">
        <v>41028</v>
      </c>
      <c r="G885" s="4" t="s">
        <v>1182</v>
      </c>
      <c r="H885" s="4" t="s">
        <v>31</v>
      </c>
      <c r="I885" s="4" t="s">
        <v>19</v>
      </c>
      <c r="J885" s="4" t="s">
        <v>20</v>
      </c>
      <c r="K885" s="4" t="s">
        <v>1182</v>
      </c>
      <c r="L885" s="4" t="s">
        <v>1696</v>
      </c>
      <c r="M885" s="4" t="s">
        <v>1310</v>
      </c>
      <c r="N885" s="4" t="s">
        <v>59</v>
      </c>
      <c r="O885" s="4" t="s">
        <v>2067</v>
      </c>
      <c r="P885" s="4" t="s">
        <v>2068</v>
      </c>
    </row>
    <row r="886" spans="1:16" ht="15.6" x14ac:dyDescent="0.3">
      <c r="A886" s="2">
        <v>548346</v>
      </c>
      <c r="B886" s="2" t="s">
        <v>26</v>
      </c>
      <c r="C886" s="2" t="s">
        <v>1998</v>
      </c>
      <c r="D886" s="2" t="str">
        <f t="shared" si="14"/>
        <v>IPL-2012</v>
      </c>
      <c r="E886" s="2">
        <f>YEAR('IPL Info'!$F886)</f>
        <v>2012</v>
      </c>
      <c r="F886" s="3">
        <v>41028</v>
      </c>
      <c r="G886" s="2" t="s">
        <v>26</v>
      </c>
      <c r="H886" s="2" t="s">
        <v>18</v>
      </c>
      <c r="I886" s="2" t="s">
        <v>19</v>
      </c>
      <c r="J886" s="2" t="s">
        <v>20</v>
      </c>
      <c r="K886" s="2" t="s">
        <v>26</v>
      </c>
      <c r="L886" s="2" t="s">
        <v>1754</v>
      </c>
      <c r="M886" s="2" t="s">
        <v>1045</v>
      </c>
      <c r="N886" s="2" t="s">
        <v>74</v>
      </c>
      <c r="O886" s="2" t="s">
        <v>2069</v>
      </c>
      <c r="P886" s="2" t="s">
        <v>2070</v>
      </c>
    </row>
    <row r="887" spans="1:16" ht="15.6" x14ac:dyDescent="0.3">
      <c r="A887" s="4">
        <v>548343</v>
      </c>
      <c r="B887" s="4" t="s">
        <v>51</v>
      </c>
      <c r="C887" s="4" t="s">
        <v>925</v>
      </c>
      <c r="D887" s="4" t="str">
        <f t="shared" si="14"/>
        <v>IPL-2012</v>
      </c>
      <c r="E887" s="4">
        <f>YEAR('IPL Info'!$F887)</f>
        <v>2012</v>
      </c>
      <c r="F887" s="5">
        <v>41027</v>
      </c>
      <c r="G887" s="4" t="s">
        <v>925</v>
      </c>
      <c r="H887" s="4" t="s">
        <v>31</v>
      </c>
      <c r="I887" s="4" t="s">
        <v>19</v>
      </c>
      <c r="J887" s="4" t="s">
        <v>20</v>
      </c>
      <c r="K887" s="4" t="s">
        <v>925</v>
      </c>
      <c r="L887" s="4" t="s">
        <v>1623</v>
      </c>
      <c r="M887" s="4" t="s">
        <v>1598</v>
      </c>
      <c r="N887" s="4" t="s">
        <v>126</v>
      </c>
      <c r="O887" s="4" t="s">
        <v>2071</v>
      </c>
      <c r="P887" s="4" t="s">
        <v>2072</v>
      </c>
    </row>
    <row r="888" spans="1:16" ht="15.6" x14ac:dyDescent="0.3">
      <c r="A888" s="2">
        <v>548344</v>
      </c>
      <c r="B888" s="2" t="s">
        <v>56</v>
      </c>
      <c r="C888" s="2" t="s">
        <v>445</v>
      </c>
      <c r="D888" s="2" t="str">
        <f t="shared" si="14"/>
        <v>IPL-2012</v>
      </c>
      <c r="E888" s="2">
        <f>YEAR('IPL Info'!$F888)</f>
        <v>2012</v>
      </c>
      <c r="F888" s="3">
        <v>41027</v>
      </c>
      <c r="G888" s="2" t="s">
        <v>56</v>
      </c>
      <c r="H888" s="2" t="s">
        <v>31</v>
      </c>
      <c r="I888" s="2" t="s">
        <v>19</v>
      </c>
      <c r="J888" s="2" t="s">
        <v>20</v>
      </c>
      <c r="K888" s="2" t="s">
        <v>56</v>
      </c>
      <c r="L888" s="2" t="s">
        <v>1364</v>
      </c>
      <c r="M888" s="2" t="s">
        <v>1064</v>
      </c>
      <c r="N888" s="2" t="s">
        <v>98</v>
      </c>
      <c r="O888" s="2" t="s">
        <v>2073</v>
      </c>
      <c r="P888" s="2" t="s">
        <v>2074</v>
      </c>
    </row>
    <row r="889" spans="1:16" ht="15.6" x14ac:dyDescent="0.3">
      <c r="A889" s="4">
        <v>548342</v>
      </c>
      <c r="B889" s="4" t="s">
        <v>1182</v>
      </c>
      <c r="C889" s="4" t="s">
        <v>26</v>
      </c>
      <c r="D889" s="4" t="str">
        <f t="shared" si="14"/>
        <v>IPL-2012</v>
      </c>
      <c r="E889" s="4">
        <f>YEAR('IPL Info'!$F889)</f>
        <v>2012</v>
      </c>
      <c r="F889" s="5">
        <v>41026</v>
      </c>
      <c r="G889" s="4" t="s">
        <v>26</v>
      </c>
      <c r="H889" s="4" t="s">
        <v>18</v>
      </c>
      <c r="I889" s="4" t="s">
        <v>19</v>
      </c>
      <c r="J889" s="4" t="s">
        <v>20</v>
      </c>
      <c r="K889" s="4" t="s">
        <v>1182</v>
      </c>
      <c r="L889" s="4" t="s">
        <v>1696</v>
      </c>
      <c r="M889" s="4" t="s">
        <v>1310</v>
      </c>
      <c r="N889" s="4" t="s">
        <v>59</v>
      </c>
      <c r="O889" s="4" t="s">
        <v>2075</v>
      </c>
      <c r="P889" s="4" t="s">
        <v>2076</v>
      </c>
    </row>
    <row r="890" spans="1:16" ht="15.6" x14ac:dyDescent="0.3">
      <c r="A890" s="2">
        <v>548341</v>
      </c>
      <c r="B890" s="2" t="s">
        <v>1833</v>
      </c>
      <c r="C890" s="2" t="s">
        <v>1998</v>
      </c>
      <c r="D890" s="2" t="str">
        <f t="shared" si="14"/>
        <v>IPL-2012</v>
      </c>
      <c r="E890" s="2">
        <f>YEAR('IPL Info'!$F890)</f>
        <v>2012</v>
      </c>
      <c r="F890" s="3">
        <v>41025</v>
      </c>
      <c r="G890" s="2" t="s">
        <v>1998</v>
      </c>
      <c r="H890" s="2" t="s">
        <v>31</v>
      </c>
      <c r="I890" s="2" t="s">
        <v>19</v>
      </c>
      <c r="J890" s="2" t="s">
        <v>20</v>
      </c>
      <c r="K890" s="2" t="s">
        <v>1998</v>
      </c>
      <c r="L890" s="2" t="s">
        <v>2077</v>
      </c>
      <c r="M890" s="2" t="s">
        <v>1835</v>
      </c>
      <c r="N890" s="2" t="s">
        <v>635</v>
      </c>
      <c r="O890" s="2" t="s">
        <v>2078</v>
      </c>
      <c r="P890" s="2" t="s">
        <v>2079</v>
      </c>
    </row>
    <row r="891" spans="1:16" ht="15.6" x14ac:dyDescent="0.3">
      <c r="A891" s="4">
        <v>548339</v>
      </c>
      <c r="B891" s="4" t="s">
        <v>925</v>
      </c>
      <c r="C891" s="4" t="s">
        <v>26</v>
      </c>
      <c r="D891" s="4" t="str">
        <f t="shared" si="14"/>
        <v>IPL-2012</v>
      </c>
      <c r="E891" s="4">
        <f>YEAR('IPL Info'!$F891)</f>
        <v>2012</v>
      </c>
      <c r="F891" s="5">
        <v>41024</v>
      </c>
      <c r="G891" s="4" t="s">
        <v>925</v>
      </c>
      <c r="H891" s="4" t="s">
        <v>31</v>
      </c>
      <c r="I891" s="4" t="s">
        <v>19</v>
      </c>
      <c r="J891" s="4" t="s">
        <v>20</v>
      </c>
      <c r="K891" s="4" t="s">
        <v>26</v>
      </c>
      <c r="L891" s="4" t="s">
        <v>1028</v>
      </c>
      <c r="M891" s="4" t="s">
        <v>1580</v>
      </c>
      <c r="N891" s="4" t="s">
        <v>502</v>
      </c>
      <c r="O891" s="4" t="s">
        <v>2080</v>
      </c>
      <c r="P891" s="4" t="s">
        <v>2081</v>
      </c>
    </row>
    <row r="892" spans="1:16" ht="15.6" x14ac:dyDescent="0.3">
      <c r="A892" s="2">
        <v>548337</v>
      </c>
      <c r="B892" s="2" t="s">
        <v>1833</v>
      </c>
      <c r="C892" s="2" t="s">
        <v>1182</v>
      </c>
      <c r="D892" s="2" t="str">
        <f t="shared" si="14"/>
        <v>IPL-2012</v>
      </c>
      <c r="E892" s="2">
        <f>YEAR('IPL Info'!$F892)</f>
        <v>2012</v>
      </c>
      <c r="F892" s="3">
        <v>41023</v>
      </c>
      <c r="G892" s="2" t="s">
        <v>1833</v>
      </c>
      <c r="H892" s="2" t="s">
        <v>31</v>
      </c>
      <c r="I892" s="2" t="s">
        <v>19</v>
      </c>
      <c r="J892" s="2" t="s">
        <v>20</v>
      </c>
      <c r="K892" s="2" t="s">
        <v>1182</v>
      </c>
      <c r="L892" s="2" t="s">
        <v>1696</v>
      </c>
      <c r="M892" s="2" t="s">
        <v>1835</v>
      </c>
      <c r="N892" s="2" t="s">
        <v>635</v>
      </c>
      <c r="O892" s="2" t="s">
        <v>2082</v>
      </c>
      <c r="P892" s="2" t="s">
        <v>2083</v>
      </c>
    </row>
    <row r="893" spans="1:16" ht="15.6" x14ac:dyDescent="0.3">
      <c r="A893" s="4">
        <v>548336</v>
      </c>
      <c r="B893" s="4" t="s">
        <v>77</v>
      </c>
      <c r="C893" s="4" t="s">
        <v>445</v>
      </c>
      <c r="D893" s="4" t="str">
        <f t="shared" si="14"/>
        <v>IPL-2012</v>
      </c>
      <c r="E893" s="4">
        <f>YEAR('IPL Info'!$F893)</f>
        <v>2012</v>
      </c>
      <c r="F893" s="5">
        <v>41022</v>
      </c>
      <c r="G893" s="4" t="s">
        <v>77</v>
      </c>
      <c r="H893" s="4" t="s">
        <v>18</v>
      </c>
      <c r="I893" s="4" t="s">
        <v>19</v>
      </c>
      <c r="J893" s="4" t="s">
        <v>20</v>
      </c>
      <c r="K893" s="4" t="s">
        <v>445</v>
      </c>
      <c r="L893" s="4" t="s">
        <v>861</v>
      </c>
      <c r="M893" s="4" t="s">
        <v>1069</v>
      </c>
      <c r="N893" s="4" t="s">
        <v>48</v>
      </c>
      <c r="O893" s="4" t="s">
        <v>2084</v>
      </c>
      <c r="P893" s="4" t="s">
        <v>2085</v>
      </c>
    </row>
    <row r="894" spans="1:16" ht="15.6" x14ac:dyDescent="0.3">
      <c r="A894" s="2">
        <v>548334</v>
      </c>
      <c r="B894" s="2" t="s">
        <v>26</v>
      </c>
      <c r="C894" s="2" t="s">
        <v>925</v>
      </c>
      <c r="D894" s="2" t="str">
        <f t="shared" si="14"/>
        <v>IPL-2012</v>
      </c>
      <c r="E894" s="2">
        <f>YEAR('IPL Info'!$F894)</f>
        <v>2012</v>
      </c>
      <c r="F894" s="3">
        <v>41021</v>
      </c>
      <c r="G894" s="2" t="s">
        <v>26</v>
      </c>
      <c r="H894" s="2" t="s">
        <v>31</v>
      </c>
      <c r="I894" s="2" t="s">
        <v>19</v>
      </c>
      <c r="J894" s="2" t="s">
        <v>20</v>
      </c>
      <c r="K894" s="2" t="s">
        <v>925</v>
      </c>
      <c r="L894" s="2" t="s">
        <v>1656</v>
      </c>
      <c r="M894" s="2" t="s">
        <v>1045</v>
      </c>
      <c r="N894" s="2" t="s">
        <v>74</v>
      </c>
      <c r="O894" s="2" t="s">
        <v>2086</v>
      </c>
      <c r="P894" s="2" t="s">
        <v>2087</v>
      </c>
    </row>
    <row r="895" spans="1:16" ht="15.6" x14ac:dyDescent="0.3">
      <c r="A895" s="4">
        <v>548335</v>
      </c>
      <c r="B895" s="4" t="s">
        <v>1998</v>
      </c>
      <c r="C895" s="4" t="s">
        <v>56</v>
      </c>
      <c r="D895" s="4" t="str">
        <f t="shared" si="14"/>
        <v>IPL-2012</v>
      </c>
      <c r="E895" s="4">
        <f>YEAR('IPL Info'!$F895)</f>
        <v>2012</v>
      </c>
      <c r="F895" s="5">
        <v>41021</v>
      </c>
      <c r="G895" s="4" t="s">
        <v>56</v>
      </c>
      <c r="H895" s="4" t="s">
        <v>18</v>
      </c>
      <c r="I895" s="4" t="s">
        <v>19</v>
      </c>
      <c r="J895" s="4" t="s">
        <v>20</v>
      </c>
      <c r="K895" s="4" t="s">
        <v>56</v>
      </c>
      <c r="L895" s="4" t="s">
        <v>2088</v>
      </c>
      <c r="M895" s="4" t="s">
        <v>1736</v>
      </c>
      <c r="N895" s="4" t="s">
        <v>1737</v>
      </c>
      <c r="O895" s="4" t="s">
        <v>2089</v>
      </c>
      <c r="P895" s="4" t="s">
        <v>2090</v>
      </c>
    </row>
    <row r="896" spans="1:16" ht="15.6" x14ac:dyDescent="0.3">
      <c r="A896" s="2">
        <v>548333</v>
      </c>
      <c r="B896" s="2" t="s">
        <v>1182</v>
      </c>
      <c r="C896" s="2" t="s">
        <v>1833</v>
      </c>
      <c r="D896" s="2" t="str">
        <f t="shared" si="14"/>
        <v>IPL-2012</v>
      </c>
      <c r="E896" s="2">
        <f>YEAR('IPL Info'!$F896)</f>
        <v>2012</v>
      </c>
      <c r="F896" s="3">
        <v>41020</v>
      </c>
      <c r="G896" s="2" t="s">
        <v>1182</v>
      </c>
      <c r="H896" s="2" t="s">
        <v>18</v>
      </c>
      <c r="I896" s="2" t="s">
        <v>19</v>
      </c>
      <c r="J896" s="2" t="s">
        <v>20</v>
      </c>
      <c r="K896" s="2" t="s">
        <v>1833</v>
      </c>
      <c r="L896" s="2" t="s">
        <v>2091</v>
      </c>
      <c r="M896" s="2" t="s">
        <v>1310</v>
      </c>
      <c r="N896" s="2" t="s">
        <v>59</v>
      </c>
      <c r="O896" s="2" t="s">
        <v>2092</v>
      </c>
      <c r="P896" s="2" t="s">
        <v>2093</v>
      </c>
    </row>
    <row r="897" spans="1:16" ht="15.6" x14ac:dyDescent="0.3">
      <c r="A897" s="4">
        <v>548332</v>
      </c>
      <c r="B897" s="4" t="s">
        <v>51</v>
      </c>
      <c r="C897" s="4" t="s">
        <v>77</v>
      </c>
      <c r="D897" s="4" t="str">
        <f t="shared" si="14"/>
        <v>IPL-2012</v>
      </c>
      <c r="E897" s="4">
        <f>YEAR('IPL Info'!$F897)</f>
        <v>2012</v>
      </c>
      <c r="F897" s="5">
        <v>41020</v>
      </c>
      <c r="G897" s="4" t="s">
        <v>77</v>
      </c>
      <c r="H897" s="4" t="s">
        <v>31</v>
      </c>
      <c r="I897" s="4" t="s">
        <v>19</v>
      </c>
      <c r="J897" s="4" t="s">
        <v>20</v>
      </c>
      <c r="K897" s="4" t="s">
        <v>51</v>
      </c>
      <c r="L897" s="4" t="s">
        <v>271</v>
      </c>
      <c r="M897" s="4" t="s">
        <v>1598</v>
      </c>
      <c r="N897" s="4" t="s">
        <v>126</v>
      </c>
      <c r="O897" s="4" t="s">
        <v>2094</v>
      </c>
      <c r="P897" s="4" t="s">
        <v>2095</v>
      </c>
    </row>
    <row r="898" spans="1:16" ht="15.6" x14ac:dyDescent="0.3">
      <c r="A898" s="2">
        <v>548331</v>
      </c>
      <c r="B898" s="2" t="s">
        <v>925</v>
      </c>
      <c r="C898" s="2" t="s">
        <v>445</v>
      </c>
      <c r="D898" s="2" t="str">
        <f t="shared" si="14"/>
        <v>IPL-2012</v>
      </c>
      <c r="E898" s="2">
        <f>YEAR('IPL Info'!$F898)</f>
        <v>2012</v>
      </c>
      <c r="F898" s="3">
        <v>41019</v>
      </c>
      <c r="G898" s="2" t="s">
        <v>445</v>
      </c>
      <c r="H898" s="2" t="s">
        <v>18</v>
      </c>
      <c r="I898" s="2" t="s">
        <v>19</v>
      </c>
      <c r="J898" s="2" t="s">
        <v>20</v>
      </c>
      <c r="K898" s="2" t="s">
        <v>445</v>
      </c>
      <c r="L898" s="2" t="s">
        <v>941</v>
      </c>
      <c r="M898" s="2" t="s">
        <v>1580</v>
      </c>
      <c r="N898" s="2" t="s">
        <v>502</v>
      </c>
      <c r="O898" s="2" t="s">
        <v>2096</v>
      </c>
      <c r="P898" s="2" t="s">
        <v>2097</v>
      </c>
    </row>
    <row r="899" spans="1:16" ht="15.6" x14ac:dyDescent="0.3">
      <c r="A899" s="4">
        <v>548321</v>
      </c>
      <c r="B899" s="4" t="s">
        <v>1182</v>
      </c>
      <c r="C899" s="4" t="s">
        <v>1998</v>
      </c>
      <c r="D899" s="4" t="str">
        <f t="shared" si="14"/>
        <v>IPL-2012</v>
      </c>
      <c r="E899" s="4">
        <f>YEAR('IPL Info'!$F899)</f>
        <v>2012</v>
      </c>
      <c r="F899" s="5">
        <v>41018</v>
      </c>
      <c r="G899" s="4" t="s">
        <v>1998</v>
      </c>
      <c r="H899" s="4" t="s">
        <v>31</v>
      </c>
      <c r="I899" s="4" t="s">
        <v>19</v>
      </c>
      <c r="J899" s="4" t="s">
        <v>20</v>
      </c>
      <c r="K899" s="4" t="s">
        <v>1182</v>
      </c>
      <c r="L899" s="4" t="s">
        <v>2098</v>
      </c>
      <c r="M899" s="4" t="s">
        <v>1310</v>
      </c>
      <c r="N899" s="4" t="s">
        <v>59</v>
      </c>
      <c r="O899" s="4" t="s">
        <v>2099</v>
      </c>
      <c r="P899" s="4" t="s">
        <v>2100</v>
      </c>
    </row>
    <row r="900" spans="1:16" ht="15.6" x14ac:dyDescent="0.3">
      <c r="A900" s="2">
        <v>548330</v>
      </c>
      <c r="B900" s="2" t="s">
        <v>51</v>
      </c>
      <c r="C900" s="2" t="s">
        <v>1833</v>
      </c>
      <c r="D900" s="2" t="str">
        <f t="shared" si="14"/>
        <v>IPL-2012</v>
      </c>
      <c r="E900" s="2">
        <f>YEAR('IPL Info'!$F900)</f>
        <v>2012</v>
      </c>
      <c r="F900" s="3">
        <v>41018</v>
      </c>
      <c r="G900" s="2" t="s">
        <v>1833</v>
      </c>
      <c r="H900" s="2" t="s">
        <v>18</v>
      </c>
      <c r="I900" s="2" t="s">
        <v>19</v>
      </c>
      <c r="J900" s="2" t="s">
        <v>20</v>
      </c>
      <c r="K900" s="2" t="s">
        <v>51</v>
      </c>
      <c r="L900" s="2" t="s">
        <v>2101</v>
      </c>
      <c r="M900" s="2" t="s">
        <v>1598</v>
      </c>
      <c r="N900" s="2" t="s">
        <v>126</v>
      </c>
      <c r="O900" s="2" t="s">
        <v>2102</v>
      </c>
      <c r="P900" s="2" t="s">
        <v>2103</v>
      </c>
    </row>
    <row r="901" spans="1:16" ht="15.6" x14ac:dyDescent="0.3">
      <c r="A901" s="4">
        <v>548328</v>
      </c>
      <c r="B901" s="4" t="s">
        <v>925</v>
      </c>
      <c r="C901" s="4" t="s">
        <v>56</v>
      </c>
      <c r="D901" s="4" t="str">
        <f t="shared" si="14"/>
        <v>IPL-2012</v>
      </c>
      <c r="E901" s="4">
        <f>YEAR('IPL Info'!$F901)</f>
        <v>2012</v>
      </c>
      <c r="F901" s="5">
        <v>41017</v>
      </c>
      <c r="G901" s="4" t="s">
        <v>925</v>
      </c>
      <c r="H901" s="4" t="s">
        <v>31</v>
      </c>
      <c r="I901" s="4" t="s">
        <v>19</v>
      </c>
      <c r="J901" s="4" t="s">
        <v>20</v>
      </c>
      <c r="K901" s="4" t="s">
        <v>56</v>
      </c>
      <c r="L901" s="4" t="s">
        <v>1364</v>
      </c>
      <c r="M901" s="4" t="s">
        <v>1580</v>
      </c>
      <c r="N901" s="4" t="s">
        <v>502</v>
      </c>
      <c r="O901" s="4" t="s">
        <v>2104</v>
      </c>
      <c r="P901" s="4" t="s">
        <v>2105</v>
      </c>
    </row>
    <row r="902" spans="1:16" ht="15.6" x14ac:dyDescent="0.3">
      <c r="A902" s="2">
        <v>548327</v>
      </c>
      <c r="B902" s="2" t="s">
        <v>445</v>
      </c>
      <c r="C902" s="2" t="s">
        <v>1833</v>
      </c>
      <c r="D902" s="2" t="str">
        <f t="shared" si="14"/>
        <v>IPL-2012</v>
      </c>
      <c r="E902" s="2">
        <f>YEAR('IPL Info'!$F902)</f>
        <v>2012</v>
      </c>
      <c r="F902" s="3">
        <v>41016</v>
      </c>
      <c r="G902" s="2" t="s">
        <v>1833</v>
      </c>
      <c r="H902" s="2" t="s">
        <v>31</v>
      </c>
      <c r="I902" s="2" t="s">
        <v>19</v>
      </c>
      <c r="J902" s="2" t="s">
        <v>20</v>
      </c>
      <c r="K902" s="2" t="s">
        <v>445</v>
      </c>
      <c r="L902" s="2" t="s">
        <v>941</v>
      </c>
      <c r="M902" s="2" t="s">
        <v>1301</v>
      </c>
      <c r="N902" s="2" t="s">
        <v>1302</v>
      </c>
      <c r="O902" s="2" t="s">
        <v>2106</v>
      </c>
      <c r="P902" s="2" t="s">
        <v>2107</v>
      </c>
    </row>
    <row r="903" spans="1:16" ht="15.6" x14ac:dyDescent="0.3">
      <c r="A903" s="4">
        <v>548326</v>
      </c>
      <c r="B903" s="4" t="s">
        <v>77</v>
      </c>
      <c r="C903" s="4" t="s">
        <v>1998</v>
      </c>
      <c r="D903" s="4" t="str">
        <f t="shared" si="14"/>
        <v>IPL-2012</v>
      </c>
      <c r="E903" s="4">
        <f>YEAR('IPL Info'!$F903)</f>
        <v>2012</v>
      </c>
      <c r="F903" s="5">
        <v>41016</v>
      </c>
      <c r="G903" s="4" t="s">
        <v>1998</v>
      </c>
      <c r="H903" s="4" t="s">
        <v>31</v>
      </c>
      <c r="I903" s="4" t="s">
        <v>19</v>
      </c>
      <c r="J903" s="4" t="s">
        <v>20</v>
      </c>
      <c r="K903" s="4" t="s">
        <v>77</v>
      </c>
      <c r="L903" s="4" t="s">
        <v>1826</v>
      </c>
      <c r="M903" s="4" t="s">
        <v>1069</v>
      </c>
      <c r="N903" s="4" t="s">
        <v>48</v>
      </c>
      <c r="O903" s="4" t="s">
        <v>2108</v>
      </c>
      <c r="P903" s="4" t="s">
        <v>2109</v>
      </c>
    </row>
    <row r="904" spans="1:16" ht="15.6" x14ac:dyDescent="0.3">
      <c r="A904" s="2">
        <v>548325</v>
      </c>
      <c r="B904" s="2" t="s">
        <v>26</v>
      </c>
      <c r="C904" s="2" t="s">
        <v>1182</v>
      </c>
      <c r="D904" s="2" t="str">
        <f t="shared" si="14"/>
        <v>IPL-2012</v>
      </c>
      <c r="E904" s="2">
        <f>YEAR('IPL Info'!$F904)</f>
        <v>2012</v>
      </c>
      <c r="F904" s="3">
        <v>41015</v>
      </c>
      <c r="G904" s="2" t="s">
        <v>1182</v>
      </c>
      <c r="H904" s="2" t="s">
        <v>18</v>
      </c>
      <c r="I904" s="2" t="s">
        <v>19</v>
      </c>
      <c r="J904" s="2" t="s">
        <v>20</v>
      </c>
      <c r="K904" s="2" t="s">
        <v>1182</v>
      </c>
      <c r="L904" s="2" t="s">
        <v>918</v>
      </c>
      <c r="M904" s="2" t="s">
        <v>1045</v>
      </c>
      <c r="N904" s="2" t="s">
        <v>74</v>
      </c>
      <c r="O904" s="2" t="s">
        <v>2110</v>
      </c>
      <c r="P904" s="2" t="s">
        <v>2099</v>
      </c>
    </row>
    <row r="905" spans="1:16" ht="15.6" x14ac:dyDescent="0.3">
      <c r="A905" s="4">
        <v>548323</v>
      </c>
      <c r="B905" s="4" t="s">
        <v>56</v>
      </c>
      <c r="C905" s="4" t="s">
        <v>925</v>
      </c>
      <c r="D905" s="4" t="str">
        <f t="shared" si="14"/>
        <v>IPL-2012</v>
      </c>
      <c r="E905" s="4">
        <f>YEAR('IPL Info'!$F905)</f>
        <v>2012</v>
      </c>
      <c r="F905" s="5">
        <v>41014</v>
      </c>
      <c r="G905" s="4" t="s">
        <v>56</v>
      </c>
      <c r="H905" s="4" t="s">
        <v>18</v>
      </c>
      <c r="I905" s="4" t="s">
        <v>19</v>
      </c>
      <c r="J905" s="4" t="s">
        <v>20</v>
      </c>
      <c r="K905" s="4" t="s">
        <v>925</v>
      </c>
      <c r="L905" s="4" t="s">
        <v>129</v>
      </c>
      <c r="M905" s="4" t="s">
        <v>1064</v>
      </c>
      <c r="N905" s="4" t="s">
        <v>98</v>
      </c>
      <c r="O905" s="4" t="s">
        <v>2111</v>
      </c>
      <c r="P905" s="4" t="s">
        <v>2112</v>
      </c>
    </row>
    <row r="906" spans="1:16" ht="15.6" x14ac:dyDescent="0.3">
      <c r="A906" s="2">
        <v>548324</v>
      </c>
      <c r="B906" s="2" t="s">
        <v>445</v>
      </c>
      <c r="C906" s="2" t="s">
        <v>77</v>
      </c>
      <c r="D906" s="2" t="str">
        <f t="shared" si="14"/>
        <v>IPL-2012</v>
      </c>
      <c r="E906" s="2">
        <f>YEAR('IPL Info'!$F906)</f>
        <v>2012</v>
      </c>
      <c r="F906" s="3">
        <v>41014</v>
      </c>
      <c r="G906" s="2" t="s">
        <v>77</v>
      </c>
      <c r="H906" s="2" t="s">
        <v>31</v>
      </c>
      <c r="I906" s="2" t="s">
        <v>19</v>
      </c>
      <c r="J906" s="2" t="s">
        <v>20</v>
      </c>
      <c r="K906" s="2" t="s">
        <v>77</v>
      </c>
      <c r="L906" s="2" t="s">
        <v>530</v>
      </c>
      <c r="M906" s="2" t="s">
        <v>1301</v>
      </c>
      <c r="N906" s="2" t="s">
        <v>1302</v>
      </c>
      <c r="O906" s="2" t="s">
        <v>2113</v>
      </c>
      <c r="P906" s="2" t="s">
        <v>2114</v>
      </c>
    </row>
    <row r="907" spans="1:16" ht="15.6" x14ac:dyDescent="0.3">
      <c r="A907" s="4">
        <v>548322</v>
      </c>
      <c r="B907" s="4" t="s">
        <v>1833</v>
      </c>
      <c r="C907" s="4" t="s">
        <v>51</v>
      </c>
      <c r="D907" s="4" t="str">
        <f t="shared" si="14"/>
        <v>IPL-2012</v>
      </c>
      <c r="E907" s="4">
        <f>YEAR('IPL Info'!$F907)</f>
        <v>2012</v>
      </c>
      <c r="F907" s="5">
        <v>41013</v>
      </c>
      <c r="G907" s="4" t="s">
        <v>51</v>
      </c>
      <c r="H907" s="4" t="s">
        <v>31</v>
      </c>
      <c r="I907" s="4" t="s">
        <v>19</v>
      </c>
      <c r="J907" s="4" t="s">
        <v>20</v>
      </c>
      <c r="K907" s="4" t="s">
        <v>1833</v>
      </c>
      <c r="L907" s="4" t="s">
        <v>2115</v>
      </c>
      <c r="M907" s="4" t="s">
        <v>1835</v>
      </c>
      <c r="N907" s="4" t="s">
        <v>635</v>
      </c>
      <c r="O907" s="4" t="s">
        <v>2116</v>
      </c>
      <c r="P907" s="4" t="s">
        <v>2117</v>
      </c>
    </row>
    <row r="908" spans="1:16" ht="15.6" x14ac:dyDescent="0.3">
      <c r="A908" s="2">
        <v>548320</v>
      </c>
      <c r="B908" s="2" t="s">
        <v>56</v>
      </c>
      <c r="C908" s="2" t="s">
        <v>77</v>
      </c>
      <c r="D908" s="2" t="str">
        <f t="shared" si="14"/>
        <v>IPL-2012</v>
      </c>
      <c r="E908" s="2">
        <f>YEAR('IPL Info'!$F908)</f>
        <v>2012</v>
      </c>
      <c r="F908" s="3">
        <v>41012</v>
      </c>
      <c r="G908" s="2" t="s">
        <v>77</v>
      </c>
      <c r="H908" s="2" t="s">
        <v>31</v>
      </c>
      <c r="I908" s="2" t="s">
        <v>19</v>
      </c>
      <c r="J908" s="2" t="s">
        <v>20</v>
      </c>
      <c r="K908" s="2" t="s">
        <v>56</v>
      </c>
      <c r="L908" s="2" t="s">
        <v>2005</v>
      </c>
      <c r="M908" s="2" t="s">
        <v>1064</v>
      </c>
      <c r="N908" s="2" t="s">
        <v>98</v>
      </c>
      <c r="O908" s="2" t="s">
        <v>2118</v>
      </c>
      <c r="P908" s="2" t="s">
        <v>2119</v>
      </c>
    </row>
    <row r="909" spans="1:16" ht="15.6" x14ac:dyDescent="0.3">
      <c r="A909" s="4">
        <v>548318</v>
      </c>
      <c r="B909" s="4" t="s">
        <v>51</v>
      </c>
      <c r="C909" s="4" t="s">
        <v>445</v>
      </c>
      <c r="D909" s="4" t="str">
        <f t="shared" si="14"/>
        <v>IPL-2012</v>
      </c>
      <c r="E909" s="4">
        <f>YEAR('IPL Info'!$F909)</f>
        <v>2012</v>
      </c>
      <c r="F909" s="5">
        <v>41011</v>
      </c>
      <c r="G909" s="4" t="s">
        <v>445</v>
      </c>
      <c r="H909" s="4" t="s">
        <v>31</v>
      </c>
      <c r="I909" s="4" t="s">
        <v>19</v>
      </c>
      <c r="J909" s="4" t="s">
        <v>20</v>
      </c>
      <c r="K909" s="4" t="s">
        <v>51</v>
      </c>
      <c r="L909" s="4" t="s">
        <v>271</v>
      </c>
      <c r="M909" s="4" t="s">
        <v>1598</v>
      </c>
      <c r="N909" s="4" t="s">
        <v>126</v>
      </c>
      <c r="O909" s="4" t="s">
        <v>2120</v>
      </c>
      <c r="P909" s="4" t="s">
        <v>2121</v>
      </c>
    </row>
    <row r="910" spans="1:16" ht="15.6" x14ac:dyDescent="0.3">
      <c r="A910" s="2">
        <v>548319</v>
      </c>
      <c r="B910" s="2" t="s">
        <v>925</v>
      </c>
      <c r="C910" s="2" t="s">
        <v>1833</v>
      </c>
      <c r="D910" s="2" t="str">
        <f t="shared" si="14"/>
        <v>IPL-2012</v>
      </c>
      <c r="E910" s="2">
        <f>YEAR('IPL Info'!$F910)</f>
        <v>2012</v>
      </c>
      <c r="F910" s="3">
        <v>41011</v>
      </c>
      <c r="G910" s="2" t="s">
        <v>925</v>
      </c>
      <c r="H910" s="2" t="s">
        <v>18</v>
      </c>
      <c r="I910" s="2" t="s">
        <v>19</v>
      </c>
      <c r="J910" s="2" t="s">
        <v>20</v>
      </c>
      <c r="K910" s="2" t="s">
        <v>925</v>
      </c>
      <c r="L910" s="2" t="s">
        <v>2122</v>
      </c>
      <c r="M910" s="2" t="s">
        <v>1580</v>
      </c>
      <c r="N910" s="2" t="s">
        <v>502</v>
      </c>
      <c r="O910" s="2" t="s">
        <v>2123</v>
      </c>
      <c r="P910" s="2" t="s">
        <v>2124</v>
      </c>
    </row>
    <row r="911" spans="1:16" ht="15.6" x14ac:dyDescent="0.3">
      <c r="A911" s="4">
        <v>548317</v>
      </c>
      <c r="B911" s="4" t="s">
        <v>26</v>
      </c>
      <c r="C911" s="4" t="s">
        <v>77</v>
      </c>
      <c r="D911" s="4" t="str">
        <f t="shared" si="14"/>
        <v>IPL-2012</v>
      </c>
      <c r="E911" s="4">
        <f>YEAR('IPL Info'!$F911)</f>
        <v>2012</v>
      </c>
      <c r="F911" s="5">
        <v>41010</v>
      </c>
      <c r="G911" s="4" t="s">
        <v>77</v>
      </c>
      <c r="H911" s="4" t="s">
        <v>18</v>
      </c>
      <c r="I911" s="4" t="s">
        <v>19</v>
      </c>
      <c r="J911" s="4" t="s">
        <v>20</v>
      </c>
      <c r="K911" s="4" t="s">
        <v>26</v>
      </c>
      <c r="L911" s="4" t="s">
        <v>819</v>
      </c>
      <c r="M911" s="4" t="s">
        <v>1045</v>
      </c>
      <c r="N911" s="4" t="s">
        <v>74</v>
      </c>
      <c r="O911" s="4" t="s">
        <v>2125</v>
      </c>
      <c r="P911" s="4" t="s">
        <v>2126</v>
      </c>
    </row>
    <row r="912" spans="1:16" ht="15.6" x14ac:dyDescent="0.3">
      <c r="A912" s="2">
        <v>548316</v>
      </c>
      <c r="B912" s="2" t="s">
        <v>1182</v>
      </c>
      <c r="C912" s="2" t="s">
        <v>51</v>
      </c>
      <c r="D912" s="2" t="str">
        <f t="shared" si="14"/>
        <v>IPL-2012</v>
      </c>
      <c r="E912" s="2">
        <f>YEAR('IPL Info'!$F912)</f>
        <v>2012</v>
      </c>
      <c r="F912" s="3">
        <v>41009</v>
      </c>
      <c r="G912" s="2" t="s">
        <v>1182</v>
      </c>
      <c r="H912" s="2" t="s">
        <v>18</v>
      </c>
      <c r="I912" s="2" t="s">
        <v>19</v>
      </c>
      <c r="J912" s="2" t="s">
        <v>20</v>
      </c>
      <c r="K912" s="2" t="s">
        <v>1182</v>
      </c>
      <c r="L912" s="2" t="s">
        <v>1691</v>
      </c>
      <c r="M912" s="2" t="s">
        <v>1310</v>
      </c>
      <c r="N912" s="2" t="s">
        <v>59</v>
      </c>
      <c r="O912" s="2" t="s">
        <v>2127</v>
      </c>
      <c r="P912" s="2" t="s">
        <v>2128</v>
      </c>
    </row>
    <row r="913" spans="1:16" ht="15.6" x14ac:dyDescent="0.3">
      <c r="A913" s="4">
        <v>548315</v>
      </c>
      <c r="B913" s="4" t="s">
        <v>445</v>
      </c>
      <c r="C913" s="4" t="s">
        <v>56</v>
      </c>
      <c r="D913" s="4" t="str">
        <f t="shared" si="14"/>
        <v>IPL-2012</v>
      </c>
      <c r="E913" s="4">
        <f>YEAR('IPL Info'!$F913)</f>
        <v>2012</v>
      </c>
      <c r="F913" s="5">
        <v>41009</v>
      </c>
      <c r="G913" s="4" t="s">
        <v>445</v>
      </c>
      <c r="H913" s="4" t="s">
        <v>18</v>
      </c>
      <c r="I913" s="4" t="s">
        <v>19</v>
      </c>
      <c r="J913" s="4" t="s">
        <v>20</v>
      </c>
      <c r="K913" s="4" t="s">
        <v>56</v>
      </c>
      <c r="L913" s="4" t="s">
        <v>2129</v>
      </c>
      <c r="M913" s="4" t="s">
        <v>1301</v>
      </c>
      <c r="N913" s="4" t="s">
        <v>1302</v>
      </c>
      <c r="O913" s="4" t="s">
        <v>2130</v>
      </c>
      <c r="P913" s="4" t="s">
        <v>2131</v>
      </c>
    </row>
    <row r="914" spans="1:16" ht="15.6" x14ac:dyDescent="0.3">
      <c r="A914" s="2">
        <v>548314</v>
      </c>
      <c r="B914" s="2" t="s">
        <v>1998</v>
      </c>
      <c r="C914" s="2" t="s">
        <v>26</v>
      </c>
      <c r="D914" s="2" t="str">
        <f t="shared" si="14"/>
        <v>IPL-2012</v>
      </c>
      <c r="E914" s="2">
        <f>YEAR('IPL Info'!$F914)</f>
        <v>2012</v>
      </c>
      <c r="F914" s="3">
        <v>41008</v>
      </c>
      <c r="G914" s="2" t="s">
        <v>1998</v>
      </c>
      <c r="H914" s="2" t="s">
        <v>31</v>
      </c>
      <c r="I914" s="2" t="s">
        <v>19</v>
      </c>
      <c r="J914" s="2" t="s">
        <v>20</v>
      </c>
      <c r="K914" s="2" t="s">
        <v>26</v>
      </c>
      <c r="L914" s="2" t="s">
        <v>32</v>
      </c>
      <c r="M914" s="2" t="s">
        <v>1034</v>
      </c>
      <c r="N914" s="2" t="s">
        <v>232</v>
      </c>
      <c r="O914" s="2" t="s">
        <v>2132</v>
      </c>
      <c r="P914" s="2" t="s">
        <v>2133</v>
      </c>
    </row>
    <row r="915" spans="1:16" ht="15.6" x14ac:dyDescent="0.3">
      <c r="A915" s="4">
        <v>548312</v>
      </c>
      <c r="B915" s="4" t="s">
        <v>77</v>
      </c>
      <c r="C915" s="4" t="s">
        <v>56</v>
      </c>
      <c r="D915" s="4" t="str">
        <f t="shared" si="14"/>
        <v>IPL-2012</v>
      </c>
      <c r="E915" s="4">
        <f>YEAR('IPL Info'!$F915)</f>
        <v>2012</v>
      </c>
      <c r="F915" s="5">
        <v>41007</v>
      </c>
      <c r="G915" s="4" t="s">
        <v>56</v>
      </c>
      <c r="H915" s="4" t="s">
        <v>18</v>
      </c>
      <c r="I915" s="4" t="s">
        <v>19</v>
      </c>
      <c r="J915" s="4" t="s">
        <v>20</v>
      </c>
      <c r="K915" s="4" t="s">
        <v>77</v>
      </c>
      <c r="L915" s="4" t="s">
        <v>1826</v>
      </c>
      <c r="M915" s="4" t="s">
        <v>1069</v>
      </c>
      <c r="N915" s="4" t="s">
        <v>48</v>
      </c>
      <c r="O915" s="4" t="s">
        <v>2134</v>
      </c>
      <c r="P915" s="4" t="s">
        <v>2135</v>
      </c>
    </row>
    <row r="916" spans="1:16" ht="15.6" x14ac:dyDescent="0.3">
      <c r="A916" s="2">
        <v>548313</v>
      </c>
      <c r="B916" s="2" t="s">
        <v>1833</v>
      </c>
      <c r="C916" s="2" t="s">
        <v>925</v>
      </c>
      <c r="D916" s="2" t="str">
        <f t="shared" si="14"/>
        <v>IPL-2012</v>
      </c>
      <c r="E916" s="2">
        <f>YEAR('IPL Info'!$F916)</f>
        <v>2012</v>
      </c>
      <c r="F916" s="3">
        <v>41007</v>
      </c>
      <c r="G916" s="2" t="s">
        <v>1833</v>
      </c>
      <c r="H916" s="2" t="s">
        <v>31</v>
      </c>
      <c r="I916" s="2" t="s">
        <v>19</v>
      </c>
      <c r="J916" s="2" t="s">
        <v>20</v>
      </c>
      <c r="K916" s="2" t="s">
        <v>1833</v>
      </c>
      <c r="L916" s="2" t="s">
        <v>2136</v>
      </c>
      <c r="M916" s="2" t="s">
        <v>1835</v>
      </c>
      <c r="N916" s="2" t="s">
        <v>635</v>
      </c>
      <c r="O916" s="2" t="s">
        <v>2137</v>
      </c>
      <c r="P916" s="2" t="s">
        <v>2138</v>
      </c>
    </row>
    <row r="917" spans="1:16" ht="15.6" x14ac:dyDescent="0.3">
      <c r="A917" s="4">
        <v>548311</v>
      </c>
      <c r="B917" s="4" t="s">
        <v>1998</v>
      </c>
      <c r="C917" s="4" t="s">
        <v>51</v>
      </c>
      <c r="D917" s="4" t="str">
        <f t="shared" si="14"/>
        <v>IPL-2012</v>
      </c>
      <c r="E917" s="4">
        <f>YEAR('IPL Info'!$F917)</f>
        <v>2012</v>
      </c>
      <c r="F917" s="5">
        <v>41006</v>
      </c>
      <c r="G917" s="4" t="s">
        <v>1998</v>
      </c>
      <c r="H917" s="4" t="s">
        <v>18</v>
      </c>
      <c r="I917" s="4" t="s">
        <v>19</v>
      </c>
      <c r="J917" s="4" t="s">
        <v>20</v>
      </c>
      <c r="K917" s="4" t="s">
        <v>51</v>
      </c>
      <c r="L917" s="4" t="s">
        <v>305</v>
      </c>
      <c r="M917" s="4" t="s">
        <v>1034</v>
      </c>
      <c r="N917" s="4" t="s">
        <v>232</v>
      </c>
      <c r="O917" s="4" t="s">
        <v>2139</v>
      </c>
      <c r="P917" s="4" t="s">
        <v>2140</v>
      </c>
    </row>
    <row r="918" spans="1:16" ht="15.6" x14ac:dyDescent="0.3">
      <c r="A918" s="2">
        <v>548310</v>
      </c>
      <c r="B918" s="2" t="s">
        <v>445</v>
      </c>
      <c r="C918" s="2" t="s">
        <v>1182</v>
      </c>
      <c r="D918" s="2" t="str">
        <f t="shared" si="14"/>
        <v>IPL-2012</v>
      </c>
      <c r="E918" s="2">
        <f>YEAR('IPL Info'!$F918)</f>
        <v>2012</v>
      </c>
      <c r="F918" s="3">
        <v>41006</v>
      </c>
      <c r="G918" s="2" t="s">
        <v>1182</v>
      </c>
      <c r="H918" s="2" t="s">
        <v>18</v>
      </c>
      <c r="I918" s="2" t="s">
        <v>19</v>
      </c>
      <c r="J918" s="2" t="s">
        <v>20</v>
      </c>
      <c r="K918" s="2" t="s">
        <v>445</v>
      </c>
      <c r="L918" s="2" t="s">
        <v>861</v>
      </c>
      <c r="M918" s="2" t="s">
        <v>1301</v>
      </c>
      <c r="N918" s="2" t="s">
        <v>1302</v>
      </c>
      <c r="O918" s="2" t="s">
        <v>2141</v>
      </c>
      <c r="P918" s="2" t="s">
        <v>2142</v>
      </c>
    </row>
    <row r="919" spans="1:16" ht="15.6" x14ac:dyDescent="0.3">
      <c r="A919" s="4">
        <v>548308</v>
      </c>
      <c r="B919" s="4" t="s">
        <v>26</v>
      </c>
      <c r="C919" s="4" t="s">
        <v>1833</v>
      </c>
      <c r="D919" s="4" t="str">
        <f t="shared" si="14"/>
        <v>IPL-2012</v>
      </c>
      <c r="E919" s="4">
        <f>YEAR('IPL Info'!$F919)</f>
        <v>2012</v>
      </c>
      <c r="F919" s="5">
        <v>41005</v>
      </c>
      <c r="G919" s="4" t="s">
        <v>26</v>
      </c>
      <c r="H919" s="4" t="s">
        <v>18</v>
      </c>
      <c r="I919" s="4" t="s">
        <v>19</v>
      </c>
      <c r="J919" s="4" t="s">
        <v>20</v>
      </c>
      <c r="K919" s="4" t="s">
        <v>1833</v>
      </c>
      <c r="L919" s="4" t="s">
        <v>1090</v>
      </c>
      <c r="M919" s="4" t="s">
        <v>1045</v>
      </c>
      <c r="N919" s="4" t="s">
        <v>74</v>
      </c>
      <c r="O919" s="4" t="s">
        <v>2143</v>
      </c>
      <c r="P919" s="4" t="s">
        <v>2144</v>
      </c>
    </row>
    <row r="920" spans="1:16" ht="15.6" x14ac:dyDescent="0.3">
      <c r="A920" s="2">
        <v>548309</v>
      </c>
      <c r="B920" s="2" t="s">
        <v>77</v>
      </c>
      <c r="C920" s="2" t="s">
        <v>925</v>
      </c>
      <c r="D920" s="2" t="str">
        <f t="shared" si="14"/>
        <v>IPL-2012</v>
      </c>
      <c r="E920" s="2">
        <f>YEAR('IPL Info'!$F920)</f>
        <v>2012</v>
      </c>
      <c r="F920" s="3">
        <v>41005</v>
      </c>
      <c r="G920" s="2" t="s">
        <v>925</v>
      </c>
      <c r="H920" s="2" t="s">
        <v>18</v>
      </c>
      <c r="I920" s="2" t="s">
        <v>19</v>
      </c>
      <c r="J920" s="2" t="s">
        <v>20</v>
      </c>
      <c r="K920" s="2" t="s">
        <v>77</v>
      </c>
      <c r="L920" s="2" t="s">
        <v>530</v>
      </c>
      <c r="M920" s="2" t="s">
        <v>1069</v>
      </c>
      <c r="N920" s="2" t="s">
        <v>48</v>
      </c>
      <c r="O920" s="2" t="s">
        <v>2145</v>
      </c>
      <c r="P920" s="2" t="s">
        <v>2146</v>
      </c>
    </row>
    <row r="921" spans="1:16" ht="15.6" x14ac:dyDescent="0.3">
      <c r="A921" s="4">
        <v>548307</v>
      </c>
      <c r="B921" s="4" t="s">
        <v>56</v>
      </c>
      <c r="C921" s="4" t="s">
        <v>1182</v>
      </c>
      <c r="D921" s="4" t="str">
        <f t="shared" si="14"/>
        <v>IPL-2012</v>
      </c>
      <c r="E921" s="4">
        <f>YEAR('IPL Info'!$F921)</f>
        <v>2012</v>
      </c>
      <c r="F921" s="5">
        <v>41004</v>
      </c>
      <c r="G921" s="4" t="s">
        <v>1182</v>
      </c>
      <c r="H921" s="4" t="s">
        <v>18</v>
      </c>
      <c r="I921" s="4" t="s">
        <v>19</v>
      </c>
      <c r="J921" s="4" t="s">
        <v>20</v>
      </c>
      <c r="K921" s="4" t="s">
        <v>1182</v>
      </c>
      <c r="L921" s="4" t="s">
        <v>2147</v>
      </c>
      <c r="M921" s="4" t="s">
        <v>1064</v>
      </c>
      <c r="N921" s="4" t="s">
        <v>98</v>
      </c>
      <c r="O921" s="4" t="s">
        <v>2148</v>
      </c>
      <c r="P921" s="4" t="s">
        <v>2149</v>
      </c>
    </row>
    <row r="922" spans="1:16" ht="15.6" x14ac:dyDescent="0.3">
      <c r="A922" s="2">
        <v>548306</v>
      </c>
      <c r="B922" s="2" t="s">
        <v>51</v>
      </c>
      <c r="C922" s="2" t="s">
        <v>26</v>
      </c>
      <c r="D922" s="2" t="str">
        <f t="shared" si="14"/>
        <v>IPL-2012</v>
      </c>
      <c r="E922" s="2">
        <f>YEAR('IPL Info'!$F922)</f>
        <v>2012</v>
      </c>
      <c r="F922" s="3">
        <v>41003</v>
      </c>
      <c r="G922" s="2" t="s">
        <v>26</v>
      </c>
      <c r="H922" s="2" t="s">
        <v>18</v>
      </c>
      <c r="I922" s="2" t="s">
        <v>19</v>
      </c>
      <c r="J922" s="2" t="s">
        <v>20</v>
      </c>
      <c r="K922" s="2" t="s">
        <v>26</v>
      </c>
      <c r="L922" s="2" t="s">
        <v>2150</v>
      </c>
      <c r="M922" s="2" t="s">
        <v>1598</v>
      </c>
      <c r="N922" s="2" t="s">
        <v>126</v>
      </c>
      <c r="O922" s="2" t="s">
        <v>2151</v>
      </c>
      <c r="P922" s="2" t="s">
        <v>2152</v>
      </c>
    </row>
    <row r="923" spans="1:16" ht="15.6" x14ac:dyDescent="0.3">
      <c r="A923" s="4">
        <v>501271</v>
      </c>
      <c r="B923" s="4" t="s">
        <v>51</v>
      </c>
      <c r="C923" s="4" t="s">
        <v>445</v>
      </c>
      <c r="D923" s="4" t="str">
        <f t="shared" si="14"/>
        <v>IPL-2011</v>
      </c>
      <c r="E923" s="4">
        <f>YEAR('IPL Info'!$F923)</f>
        <v>2011</v>
      </c>
      <c r="F923" s="5">
        <v>40691</v>
      </c>
      <c r="G923" s="4" t="s">
        <v>51</v>
      </c>
      <c r="H923" s="4" t="s">
        <v>31</v>
      </c>
      <c r="I923" s="4" t="s">
        <v>19</v>
      </c>
      <c r="J923" s="4" t="s">
        <v>20</v>
      </c>
      <c r="K923" s="4" t="s">
        <v>51</v>
      </c>
      <c r="L923" s="4" t="s">
        <v>1788</v>
      </c>
      <c r="M923" s="4" t="s">
        <v>1598</v>
      </c>
      <c r="N923" s="4" t="s">
        <v>126</v>
      </c>
      <c r="O923" s="4" t="s">
        <v>2153</v>
      </c>
      <c r="P923" s="4" t="s">
        <v>2154</v>
      </c>
    </row>
    <row r="924" spans="1:16" ht="15.6" x14ac:dyDescent="0.3">
      <c r="A924" s="2">
        <v>501270</v>
      </c>
      <c r="B924" s="2" t="s">
        <v>445</v>
      </c>
      <c r="C924" s="2" t="s">
        <v>26</v>
      </c>
      <c r="D924" s="2" t="str">
        <f t="shared" si="14"/>
        <v>IPL-2011</v>
      </c>
      <c r="E924" s="2">
        <f>YEAR('IPL Info'!$F924)</f>
        <v>2011</v>
      </c>
      <c r="F924" s="3">
        <v>40690</v>
      </c>
      <c r="G924" s="2" t="s">
        <v>26</v>
      </c>
      <c r="H924" s="2" t="s">
        <v>18</v>
      </c>
      <c r="I924" s="2" t="s">
        <v>19</v>
      </c>
      <c r="J924" s="2" t="s">
        <v>20</v>
      </c>
      <c r="K924" s="2" t="s">
        <v>445</v>
      </c>
      <c r="L924" s="2" t="s">
        <v>941</v>
      </c>
      <c r="M924" s="2" t="s">
        <v>1598</v>
      </c>
      <c r="N924" s="2" t="s">
        <v>126</v>
      </c>
      <c r="O924" s="2" t="s">
        <v>2155</v>
      </c>
      <c r="P924" s="2" t="s">
        <v>2156</v>
      </c>
    </row>
    <row r="925" spans="1:16" ht="15.6" x14ac:dyDescent="0.3">
      <c r="A925" s="4">
        <v>501269</v>
      </c>
      <c r="B925" s="4" t="s">
        <v>26</v>
      </c>
      <c r="C925" s="4" t="s">
        <v>56</v>
      </c>
      <c r="D925" s="4" t="str">
        <f t="shared" si="14"/>
        <v>IPL-2011</v>
      </c>
      <c r="E925" s="4">
        <f>YEAR('IPL Info'!$F925)</f>
        <v>2011</v>
      </c>
      <c r="F925" s="5">
        <v>40688</v>
      </c>
      <c r="G925" s="4" t="s">
        <v>26</v>
      </c>
      <c r="H925" s="4" t="s">
        <v>18</v>
      </c>
      <c r="I925" s="4" t="s">
        <v>19</v>
      </c>
      <c r="J925" s="4" t="s">
        <v>20</v>
      </c>
      <c r="K925" s="4" t="s">
        <v>26</v>
      </c>
      <c r="L925" s="4" t="s">
        <v>2157</v>
      </c>
      <c r="M925" s="4" t="s">
        <v>1045</v>
      </c>
      <c r="N925" s="4" t="s">
        <v>74</v>
      </c>
      <c r="O925" s="4" t="s">
        <v>2158</v>
      </c>
      <c r="P925" s="4" t="s">
        <v>2159</v>
      </c>
    </row>
    <row r="926" spans="1:16" ht="15.6" x14ac:dyDescent="0.3">
      <c r="A926" s="2">
        <v>501268</v>
      </c>
      <c r="B926" s="2" t="s">
        <v>445</v>
      </c>
      <c r="C926" s="2" t="s">
        <v>51</v>
      </c>
      <c r="D926" s="2" t="str">
        <f t="shared" si="14"/>
        <v>IPL-2011</v>
      </c>
      <c r="E926" s="2">
        <f>YEAR('IPL Info'!$F926)</f>
        <v>2011</v>
      </c>
      <c r="F926" s="3">
        <v>40687</v>
      </c>
      <c r="G926" s="2" t="s">
        <v>51</v>
      </c>
      <c r="H926" s="2" t="s">
        <v>18</v>
      </c>
      <c r="I926" s="2" t="s">
        <v>19</v>
      </c>
      <c r="J926" s="2" t="s">
        <v>20</v>
      </c>
      <c r="K926" s="2" t="s">
        <v>51</v>
      </c>
      <c r="L926" s="2" t="s">
        <v>1386</v>
      </c>
      <c r="M926" s="2" t="s">
        <v>1045</v>
      </c>
      <c r="N926" s="2" t="s">
        <v>74</v>
      </c>
      <c r="O926" s="2" t="s">
        <v>2160</v>
      </c>
      <c r="P926" s="2" t="s">
        <v>2161</v>
      </c>
    </row>
    <row r="927" spans="1:16" ht="15.6" x14ac:dyDescent="0.3">
      <c r="A927" s="4">
        <v>501267</v>
      </c>
      <c r="B927" s="4" t="s">
        <v>56</v>
      </c>
      <c r="C927" s="4" t="s">
        <v>26</v>
      </c>
      <c r="D927" s="4" t="str">
        <f t="shared" si="14"/>
        <v>IPL-2011</v>
      </c>
      <c r="E927" s="4">
        <f>YEAR('IPL Info'!$F927)</f>
        <v>2011</v>
      </c>
      <c r="F927" s="5">
        <v>40685</v>
      </c>
      <c r="G927" s="4" t="s">
        <v>26</v>
      </c>
      <c r="H927" s="4" t="s">
        <v>18</v>
      </c>
      <c r="I927" s="4" t="s">
        <v>19</v>
      </c>
      <c r="J927" s="4" t="s">
        <v>20</v>
      </c>
      <c r="K927" s="4" t="s">
        <v>26</v>
      </c>
      <c r="L927" s="4" t="s">
        <v>2162</v>
      </c>
      <c r="M927" s="4" t="s">
        <v>1064</v>
      </c>
      <c r="N927" s="4" t="s">
        <v>98</v>
      </c>
      <c r="O927" s="4" t="s">
        <v>2163</v>
      </c>
      <c r="P927" s="4" t="s">
        <v>2164</v>
      </c>
    </row>
    <row r="928" spans="1:16" ht="15.6" x14ac:dyDescent="0.3">
      <c r="A928" s="2">
        <v>501266</v>
      </c>
      <c r="B928" s="2" t="s">
        <v>445</v>
      </c>
      <c r="C928" s="2" t="s">
        <v>51</v>
      </c>
      <c r="D928" s="2" t="str">
        <f t="shared" si="14"/>
        <v>IPL-2011</v>
      </c>
      <c r="E928" s="2">
        <f>YEAR('IPL Info'!$F928)</f>
        <v>2011</v>
      </c>
      <c r="F928" s="3">
        <v>40685</v>
      </c>
      <c r="G928" s="2" t="s">
        <v>445</v>
      </c>
      <c r="H928" s="2" t="s">
        <v>18</v>
      </c>
      <c r="I928" s="2" t="s">
        <v>19</v>
      </c>
      <c r="J928" s="2" t="s">
        <v>20</v>
      </c>
      <c r="K928" s="2" t="s">
        <v>445</v>
      </c>
      <c r="L928" s="2" t="s">
        <v>941</v>
      </c>
      <c r="M928" s="2" t="s">
        <v>1301</v>
      </c>
      <c r="N928" s="2" t="s">
        <v>1302</v>
      </c>
      <c r="O928" s="2" t="s">
        <v>2165</v>
      </c>
      <c r="P928" s="2" t="s">
        <v>2166</v>
      </c>
    </row>
    <row r="929" spans="1:16" ht="15.6" x14ac:dyDescent="0.3">
      <c r="A929" s="4">
        <v>501264</v>
      </c>
      <c r="B929" s="4" t="s">
        <v>925</v>
      </c>
      <c r="C929" s="4" t="s">
        <v>1998</v>
      </c>
      <c r="D929" s="4" t="str">
        <f t="shared" si="14"/>
        <v>IPL-2011</v>
      </c>
      <c r="E929" s="4">
        <f>YEAR('IPL Info'!$F929)</f>
        <v>2011</v>
      </c>
      <c r="F929" s="5">
        <v>40684</v>
      </c>
      <c r="G929" s="4" t="s">
        <v>925</v>
      </c>
      <c r="H929" s="4" t="s">
        <v>18</v>
      </c>
      <c r="I929" s="4" t="s">
        <v>19</v>
      </c>
      <c r="J929" s="4" t="s">
        <v>20</v>
      </c>
      <c r="K929" s="4" t="s">
        <v>1998</v>
      </c>
      <c r="L929" s="4" t="s">
        <v>571</v>
      </c>
      <c r="M929" s="4" t="s">
        <v>1841</v>
      </c>
      <c r="N929" s="4" t="s">
        <v>93</v>
      </c>
      <c r="O929" s="4" t="s">
        <v>2167</v>
      </c>
      <c r="P929" s="4" t="s">
        <v>2168</v>
      </c>
    </row>
    <row r="930" spans="1:16" ht="15.6" x14ac:dyDescent="0.3">
      <c r="A930" s="2">
        <v>501265</v>
      </c>
      <c r="B930" s="2" t="s">
        <v>1182</v>
      </c>
      <c r="C930" s="2" t="s">
        <v>1833</v>
      </c>
      <c r="D930" s="2" t="str">
        <f t="shared" si="14"/>
        <v>IPL-2011</v>
      </c>
      <c r="E930" s="2">
        <f>YEAR('IPL Info'!$F930)</f>
        <v>2011</v>
      </c>
      <c r="F930" s="3">
        <v>40684</v>
      </c>
      <c r="G930" s="2" t="s">
        <v>1182</v>
      </c>
      <c r="H930" s="2" t="s">
        <v>31</v>
      </c>
      <c r="I930" s="2" t="s">
        <v>90</v>
      </c>
      <c r="J930" s="2" t="s">
        <v>20</v>
      </c>
      <c r="K930" s="2" t="s">
        <v>20</v>
      </c>
      <c r="L930" s="2" t="s">
        <v>91</v>
      </c>
      <c r="M930" s="2" t="s">
        <v>1310</v>
      </c>
      <c r="N930" s="2" t="s">
        <v>59</v>
      </c>
      <c r="O930" s="2" t="s">
        <v>2169</v>
      </c>
      <c r="P930" s="2" t="s">
        <v>2170</v>
      </c>
    </row>
    <row r="931" spans="1:16" ht="15.6" x14ac:dyDescent="0.3">
      <c r="A931" s="4">
        <v>501263</v>
      </c>
      <c r="B931" s="4" t="s">
        <v>26</v>
      </c>
      <c r="C931" s="4" t="s">
        <v>77</v>
      </c>
      <c r="D931" s="4" t="str">
        <f t="shared" si="14"/>
        <v>IPL-2011</v>
      </c>
      <c r="E931" s="4">
        <f>YEAR('IPL Info'!$F931)</f>
        <v>2011</v>
      </c>
      <c r="F931" s="5">
        <v>40683</v>
      </c>
      <c r="G931" s="4" t="s">
        <v>26</v>
      </c>
      <c r="H931" s="4" t="s">
        <v>31</v>
      </c>
      <c r="I931" s="4" t="s">
        <v>19</v>
      </c>
      <c r="J931" s="4" t="s">
        <v>20</v>
      </c>
      <c r="K931" s="4" t="s">
        <v>77</v>
      </c>
      <c r="L931" s="4" t="s">
        <v>996</v>
      </c>
      <c r="M931" s="4" t="s">
        <v>1045</v>
      </c>
      <c r="N931" s="4" t="s">
        <v>74</v>
      </c>
      <c r="O931" s="4" t="s">
        <v>2171</v>
      </c>
      <c r="P931" s="4" t="s">
        <v>2172</v>
      </c>
    </row>
    <row r="932" spans="1:16" ht="15.6" x14ac:dyDescent="0.3">
      <c r="A932" s="2">
        <v>501262</v>
      </c>
      <c r="B932" s="2" t="s">
        <v>1833</v>
      </c>
      <c r="C932" s="2" t="s">
        <v>56</v>
      </c>
      <c r="D932" s="2" t="str">
        <f t="shared" si="14"/>
        <v>IPL-2011</v>
      </c>
      <c r="E932" s="2">
        <f>YEAR('IPL Info'!$F932)</f>
        <v>2011</v>
      </c>
      <c r="F932" s="3">
        <v>40682</v>
      </c>
      <c r="G932" s="2" t="s">
        <v>56</v>
      </c>
      <c r="H932" s="2" t="s">
        <v>18</v>
      </c>
      <c r="I932" s="2" t="s">
        <v>19</v>
      </c>
      <c r="J932" s="2" t="s">
        <v>20</v>
      </c>
      <c r="K932" s="2" t="s">
        <v>56</v>
      </c>
      <c r="L932" s="2" t="s">
        <v>1445</v>
      </c>
      <c r="M932" s="2" t="s">
        <v>2173</v>
      </c>
      <c r="N932" s="2" t="s">
        <v>74</v>
      </c>
      <c r="O932" s="2" t="s">
        <v>2174</v>
      </c>
      <c r="P932" s="2" t="s">
        <v>2175</v>
      </c>
    </row>
    <row r="933" spans="1:16" ht="15.6" x14ac:dyDescent="0.3">
      <c r="A933" s="4">
        <v>501261</v>
      </c>
      <c r="B933" s="4" t="s">
        <v>51</v>
      </c>
      <c r="C933" s="4" t="s">
        <v>2176</v>
      </c>
      <c r="D933" s="4" t="str">
        <f t="shared" si="14"/>
        <v>IPL-2011</v>
      </c>
      <c r="E933" s="4">
        <f>YEAR('IPL Info'!$F933)</f>
        <v>2011</v>
      </c>
      <c r="F933" s="5">
        <v>40681</v>
      </c>
      <c r="G933" s="4" t="s">
        <v>51</v>
      </c>
      <c r="H933" s="4" t="s">
        <v>31</v>
      </c>
      <c r="I933" s="4" t="s">
        <v>19</v>
      </c>
      <c r="J933" s="4" t="s">
        <v>20</v>
      </c>
      <c r="K933" s="4" t="s">
        <v>51</v>
      </c>
      <c r="L933" s="4" t="s">
        <v>632</v>
      </c>
      <c r="M933" s="4" t="s">
        <v>1598</v>
      </c>
      <c r="N933" s="4" t="s">
        <v>126</v>
      </c>
      <c r="O933" s="4" t="s">
        <v>2177</v>
      </c>
      <c r="P933" s="4" t="s">
        <v>2178</v>
      </c>
    </row>
    <row r="934" spans="1:16" ht="15.6" x14ac:dyDescent="0.3">
      <c r="A934" s="2">
        <v>501260</v>
      </c>
      <c r="B934" s="2" t="s">
        <v>925</v>
      </c>
      <c r="C934" s="2" t="s">
        <v>445</v>
      </c>
      <c r="D934" s="2" t="str">
        <f t="shared" si="14"/>
        <v>IPL-2011</v>
      </c>
      <c r="E934" s="2">
        <f>YEAR('IPL Info'!$F934)</f>
        <v>2011</v>
      </c>
      <c r="F934" s="3">
        <v>40680</v>
      </c>
      <c r="G934" s="2" t="s">
        <v>925</v>
      </c>
      <c r="H934" s="2" t="s">
        <v>31</v>
      </c>
      <c r="I934" s="2" t="s">
        <v>19</v>
      </c>
      <c r="J934" s="2" t="s">
        <v>20</v>
      </c>
      <c r="K934" s="2" t="s">
        <v>925</v>
      </c>
      <c r="L934" s="2" t="s">
        <v>1853</v>
      </c>
      <c r="M934" s="2" t="s">
        <v>1841</v>
      </c>
      <c r="N934" s="2" t="s">
        <v>93</v>
      </c>
      <c r="O934" s="2" t="s">
        <v>2179</v>
      </c>
      <c r="P934" s="2" t="s">
        <v>2180</v>
      </c>
    </row>
    <row r="935" spans="1:16" ht="15.6" x14ac:dyDescent="0.3">
      <c r="A935" s="4">
        <v>501259</v>
      </c>
      <c r="B935" s="4" t="s">
        <v>1833</v>
      </c>
      <c r="C935" s="4" t="s">
        <v>1998</v>
      </c>
      <c r="D935" s="4" t="str">
        <f t="shared" ref="D935:D998" si="15">_xlfn.SINGLE(_xlfn.CONCAT("IPL-",E935))</f>
        <v>IPL-2011</v>
      </c>
      <c r="E935" s="4">
        <f>YEAR('IPL Info'!$F935)</f>
        <v>2011</v>
      </c>
      <c r="F935" s="5">
        <v>40679</v>
      </c>
      <c r="G935" s="4" t="s">
        <v>1998</v>
      </c>
      <c r="H935" s="4" t="s">
        <v>18</v>
      </c>
      <c r="I935" s="4" t="s">
        <v>19</v>
      </c>
      <c r="J935" s="4" t="s">
        <v>20</v>
      </c>
      <c r="K935" s="4" t="s">
        <v>1998</v>
      </c>
      <c r="L935" s="4" t="s">
        <v>882</v>
      </c>
      <c r="M935" s="4" t="s">
        <v>2173</v>
      </c>
      <c r="N935" s="4" t="s">
        <v>74</v>
      </c>
      <c r="O935" s="4" t="s">
        <v>2181</v>
      </c>
      <c r="P935" s="4" t="s">
        <v>2182</v>
      </c>
    </row>
    <row r="936" spans="1:16" ht="15.6" x14ac:dyDescent="0.3">
      <c r="A936" s="2">
        <v>501258</v>
      </c>
      <c r="B936" s="2" t="s">
        <v>2176</v>
      </c>
      <c r="C936" s="2" t="s">
        <v>77</v>
      </c>
      <c r="D936" s="2" t="str">
        <f t="shared" si="15"/>
        <v>IPL-2011</v>
      </c>
      <c r="E936" s="2">
        <f>YEAR('IPL Info'!$F936)</f>
        <v>2011</v>
      </c>
      <c r="F936" s="3">
        <v>40678</v>
      </c>
      <c r="G936" s="2" t="s">
        <v>2176</v>
      </c>
      <c r="H936" s="2" t="s">
        <v>18</v>
      </c>
      <c r="I936" s="2" t="s">
        <v>19</v>
      </c>
      <c r="J936" s="2" t="s">
        <v>20</v>
      </c>
      <c r="K936" s="2" t="s">
        <v>2176</v>
      </c>
      <c r="L936" s="2" t="s">
        <v>1826</v>
      </c>
      <c r="M936" s="2" t="s">
        <v>1198</v>
      </c>
      <c r="N936" s="2" t="s">
        <v>1199</v>
      </c>
      <c r="O936" s="2" t="s">
        <v>2183</v>
      </c>
      <c r="P936" s="2" t="s">
        <v>2184</v>
      </c>
    </row>
    <row r="937" spans="1:16" ht="15.6" x14ac:dyDescent="0.3">
      <c r="A937" s="4">
        <v>501257</v>
      </c>
      <c r="B937" s="4" t="s">
        <v>925</v>
      </c>
      <c r="C937" s="4" t="s">
        <v>1182</v>
      </c>
      <c r="D937" s="4" t="str">
        <f t="shared" si="15"/>
        <v>IPL-2011</v>
      </c>
      <c r="E937" s="4">
        <f>YEAR('IPL Info'!$F937)</f>
        <v>2011</v>
      </c>
      <c r="F937" s="5">
        <v>40678</v>
      </c>
      <c r="G937" s="4" t="s">
        <v>1182</v>
      </c>
      <c r="H937" s="4" t="s">
        <v>18</v>
      </c>
      <c r="I937" s="4" t="s">
        <v>19</v>
      </c>
      <c r="J937" s="4" t="s">
        <v>20</v>
      </c>
      <c r="K937" s="4" t="s">
        <v>925</v>
      </c>
      <c r="L937" s="4" t="s">
        <v>1607</v>
      </c>
      <c r="M937" s="4" t="s">
        <v>1841</v>
      </c>
      <c r="N937" s="4" t="s">
        <v>93</v>
      </c>
      <c r="O937" s="4" t="s">
        <v>2185</v>
      </c>
      <c r="P937" s="4" t="s">
        <v>2186</v>
      </c>
    </row>
    <row r="938" spans="1:16" ht="15.6" x14ac:dyDescent="0.3">
      <c r="A938" s="2">
        <v>501256</v>
      </c>
      <c r="B938" s="2" t="s">
        <v>26</v>
      </c>
      <c r="C938" s="2" t="s">
        <v>1998</v>
      </c>
      <c r="D938" s="2" t="str">
        <f t="shared" si="15"/>
        <v>IPL-2011</v>
      </c>
      <c r="E938" s="2">
        <f>YEAR('IPL Info'!$F938)</f>
        <v>2011</v>
      </c>
      <c r="F938" s="3">
        <v>40677</v>
      </c>
      <c r="G938" s="2" t="s">
        <v>1998</v>
      </c>
      <c r="H938" s="2" t="s">
        <v>31</v>
      </c>
      <c r="I938" s="2" t="s">
        <v>19</v>
      </c>
      <c r="J938" s="2" t="s">
        <v>20</v>
      </c>
      <c r="K938" s="2" t="s">
        <v>1998</v>
      </c>
      <c r="L938" s="2" t="s">
        <v>882</v>
      </c>
      <c r="M938" s="2" t="s">
        <v>1045</v>
      </c>
      <c r="N938" s="2" t="s">
        <v>74</v>
      </c>
      <c r="O938" s="2" t="s">
        <v>2187</v>
      </c>
      <c r="P938" s="2" t="s">
        <v>2188</v>
      </c>
    </row>
    <row r="939" spans="1:16" ht="15.6" x14ac:dyDescent="0.3">
      <c r="A939" s="4">
        <v>501255</v>
      </c>
      <c r="B939" s="4" t="s">
        <v>445</v>
      </c>
      <c r="C939" s="4" t="s">
        <v>56</v>
      </c>
      <c r="D939" s="4" t="str">
        <f t="shared" si="15"/>
        <v>IPL-2011</v>
      </c>
      <c r="E939" s="4">
        <f>YEAR('IPL Info'!$F939)</f>
        <v>2011</v>
      </c>
      <c r="F939" s="5">
        <v>40677</v>
      </c>
      <c r="G939" s="4" t="s">
        <v>445</v>
      </c>
      <c r="H939" s="4" t="s">
        <v>18</v>
      </c>
      <c r="I939" s="4" t="s">
        <v>19</v>
      </c>
      <c r="J939" s="4" t="s">
        <v>20</v>
      </c>
      <c r="K939" s="4" t="s">
        <v>445</v>
      </c>
      <c r="L939" s="4" t="s">
        <v>941</v>
      </c>
      <c r="M939" s="4" t="s">
        <v>1301</v>
      </c>
      <c r="N939" s="4" t="s">
        <v>1302</v>
      </c>
      <c r="O939" s="4" t="s">
        <v>2189</v>
      </c>
      <c r="P939" s="4" t="s">
        <v>2190</v>
      </c>
    </row>
    <row r="940" spans="1:16" ht="15.6" x14ac:dyDescent="0.3">
      <c r="A940" s="2">
        <v>501254</v>
      </c>
      <c r="B940" s="2" t="s">
        <v>2176</v>
      </c>
      <c r="C940" s="2" t="s">
        <v>925</v>
      </c>
      <c r="D940" s="2" t="str">
        <f t="shared" si="15"/>
        <v>IPL-2011</v>
      </c>
      <c r="E940" s="2">
        <f>YEAR('IPL Info'!$F940)</f>
        <v>2011</v>
      </c>
      <c r="F940" s="3">
        <v>40676</v>
      </c>
      <c r="G940" s="2" t="s">
        <v>925</v>
      </c>
      <c r="H940" s="2" t="s">
        <v>18</v>
      </c>
      <c r="I940" s="2" t="s">
        <v>19</v>
      </c>
      <c r="J940" s="2" t="s">
        <v>20</v>
      </c>
      <c r="K940" s="2" t="s">
        <v>925</v>
      </c>
      <c r="L940" s="2" t="s">
        <v>709</v>
      </c>
      <c r="M940" s="2" t="s">
        <v>1198</v>
      </c>
      <c r="N940" s="2" t="s">
        <v>1199</v>
      </c>
      <c r="O940" s="2" t="s">
        <v>2191</v>
      </c>
      <c r="P940" s="2" t="s">
        <v>2192</v>
      </c>
    </row>
    <row r="941" spans="1:16" ht="15.6" x14ac:dyDescent="0.3">
      <c r="A941" s="4">
        <v>501253</v>
      </c>
      <c r="B941" s="4" t="s">
        <v>51</v>
      </c>
      <c r="C941" s="4" t="s">
        <v>1182</v>
      </c>
      <c r="D941" s="4" t="str">
        <f t="shared" si="15"/>
        <v>IPL-2011</v>
      </c>
      <c r="E941" s="4">
        <f>YEAR('IPL Info'!$F941)</f>
        <v>2011</v>
      </c>
      <c r="F941" s="5">
        <v>40675</v>
      </c>
      <c r="G941" s="4" t="s">
        <v>51</v>
      </c>
      <c r="H941" s="4" t="s">
        <v>31</v>
      </c>
      <c r="I941" s="4" t="s">
        <v>19</v>
      </c>
      <c r="J941" s="4" t="s">
        <v>20</v>
      </c>
      <c r="K941" s="4" t="s">
        <v>51</v>
      </c>
      <c r="L941" s="4" t="s">
        <v>180</v>
      </c>
      <c r="M941" s="4" t="s">
        <v>1598</v>
      </c>
      <c r="N941" s="4" t="s">
        <v>126</v>
      </c>
      <c r="O941" s="4" t="s">
        <v>2193</v>
      </c>
      <c r="P941" s="4" t="s">
        <v>2194</v>
      </c>
    </row>
    <row r="942" spans="1:16" ht="15.6" x14ac:dyDescent="0.3">
      <c r="A942" s="2">
        <v>501252</v>
      </c>
      <c r="B942" s="2" t="s">
        <v>77</v>
      </c>
      <c r="C942" s="2" t="s">
        <v>445</v>
      </c>
      <c r="D942" s="2" t="str">
        <f t="shared" si="15"/>
        <v>IPL-2011</v>
      </c>
      <c r="E942" s="2">
        <f>YEAR('IPL Info'!$F942)</f>
        <v>2011</v>
      </c>
      <c r="F942" s="3">
        <v>40674</v>
      </c>
      <c r="G942" s="2" t="s">
        <v>445</v>
      </c>
      <c r="H942" s="2" t="s">
        <v>18</v>
      </c>
      <c r="I942" s="2" t="s">
        <v>19</v>
      </c>
      <c r="J942" s="2" t="s">
        <v>20</v>
      </c>
      <c r="K942" s="2" t="s">
        <v>445</v>
      </c>
      <c r="L942" s="2" t="s">
        <v>2195</v>
      </c>
      <c r="M942" s="2" t="s">
        <v>1069</v>
      </c>
      <c r="N942" s="2" t="s">
        <v>48</v>
      </c>
      <c r="O942" s="2" t="s">
        <v>2196</v>
      </c>
      <c r="P942" s="2" t="s">
        <v>2197</v>
      </c>
    </row>
    <row r="943" spans="1:16" ht="15.6" x14ac:dyDescent="0.3">
      <c r="A943" s="4">
        <v>501250</v>
      </c>
      <c r="B943" s="4" t="s">
        <v>1998</v>
      </c>
      <c r="C943" s="4" t="s">
        <v>1833</v>
      </c>
      <c r="D943" s="4" t="str">
        <f t="shared" si="15"/>
        <v>IPL-2011</v>
      </c>
      <c r="E943" s="4">
        <f>YEAR('IPL Info'!$F943)</f>
        <v>2011</v>
      </c>
      <c r="F943" s="5">
        <v>40673</v>
      </c>
      <c r="G943" s="4" t="s">
        <v>1998</v>
      </c>
      <c r="H943" s="4" t="s">
        <v>31</v>
      </c>
      <c r="I943" s="4" t="s">
        <v>19</v>
      </c>
      <c r="J943" s="4" t="s">
        <v>20</v>
      </c>
      <c r="K943" s="4" t="s">
        <v>1833</v>
      </c>
      <c r="L943" s="4" t="s">
        <v>69</v>
      </c>
      <c r="M943" s="4" t="s">
        <v>1298</v>
      </c>
      <c r="N943" s="4" t="s">
        <v>105</v>
      </c>
      <c r="O943" s="4" t="s">
        <v>2198</v>
      </c>
      <c r="P943" s="4" t="s">
        <v>2199</v>
      </c>
    </row>
    <row r="944" spans="1:16" ht="15.6" x14ac:dyDescent="0.3">
      <c r="A944" s="2">
        <v>501251</v>
      </c>
      <c r="B944" s="2" t="s">
        <v>925</v>
      </c>
      <c r="C944" s="2" t="s">
        <v>26</v>
      </c>
      <c r="D944" s="2" t="str">
        <f t="shared" si="15"/>
        <v>IPL-2011</v>
      </c>
      <c r="E944" s="2">
        <f>YEAR('IPL Info'!$F944)</f>
        <v>2011</v>
      </c>
      <c r="F944" s="3">
        <v>40673</v>
      </c>
      <c r="G944" s="2" t="s">
        <v>26</v>
      </c>
      <c r="H944" s="2" t="s">
        <v>18</v>
      </c>
      <c r="I944" s="2" t="s">
        <v>19</v>
      </c>
      <c r="J944" s="2" t="s">
        <v>20</v>
      </c>
      <c r="K944" s="2" t="s">
        <v>925</v>
      </c>
      <c r="L944" s="2" t="s">
        <v>2200</v>
      </c>
      <c r="M944" s="2" t="s">
        <v>1580</v>
      </c>
      <c r="N944" s="2" t="s">
        <v>502</v>
      </c>
      <c r="O944" s="2" t="s">
        <v>2201</v>
      </c>
      <c r="P944" s="2" t="s">
        <v>2202</v>
      </c>
    </row>
    <row r="945" spans="1:16" ht="15.6" x14ac:dyDescent="0.3">
      <c r="A945" s="4">
        <v>501249</v>
      </c>
      <c r="B945" s="4" t="s">
        <v>77</v>
      </c>
      <c r="C945" s="4" t="s">
        <v>51</v>
      </c>
      <c r="D945" s="4" t="str">
        <f t="shared" si="15"/>
        <v>IPL-2011</v>
      </c>
      <c r="E945" s="4">
        <f>YEAR('IPL Info'!$F945)</f>
        <v>2011</v>
      </c>
      <c r="F945" s="5">
        <v>40672</v>
      </c>
      <c r="G945" s="4" t="s">
        <v>77</v>
      </c>
      <c r="H945" s="4" t="s">
        <v>18</v>
      </c>
      <c r="I945" s="4" t="s">
        <v>19</v>
      </c>
      <c r="J945" s="4" t="s">
        <v>20</v>
      </c>
      <c r="K945" s="4" t="s">
        <v>51</v>
      </c>
      <c r="L945" s="4" t="s">
        <v>1788</v>
      </c>
      <c r="M945" s="4" t="s">
        <v>1069</v>
      </c>
      <c r="N945" s="4" t="s">
        <v>48</v>
      </c>
      <c r="O945" s="4" t="s">
        <v>2203</v>
      </c>
      <c r="P945" s="4" t="s">
        <v>2204</v>
      </c>
    </row>
    <row r="946" spans="1:16" ht="15.6" x14ac:dyDescent="0.3">
      <c r="A946" s="2">
        <v>501247</v>
      </c>
      <c r="B946" s="2" t="s">
        <v>445</v>
      </c>
      <c r="C946" s="2" t="s">
        <v>2176</v>
      </c>
      <c r="D946" s="2" t="str">
        <f t="shared" si="15"/>
        <v>IPL-2011</v>
      </c>
      <c r="E946" s="2">
        <f>YEAR('IPL Info'!$F946)</f>
        <v>2011</v>
      </c>
      <c r="F946" s="3">
        <v>40671</v>
      </c>
      <c r="G946" s="2" t="s">
        <v>2176</v>
      </c>
      <c r="H946" s="2" t="s">
        <v>31</v>
      </c>
      <c r="I946" s="2" t="s">
        <v>19</v>
      </c>
      <c r="J946" s="2" t="s">
        <v>20</v>
      </c>
      <c r="K946" s="2" t="s">
        <v>445</v>
      </c>
      <c r="L946" s="2" t="s">
        <v>941</v>
      </c>
      <c r="M946" s="2" t="s">
        <v>1301</v>
      </c>
      <c r="N946" s="2" t="s">
        <v>1302</v>
      </c>
      <c r="O946" s="2" t="s">
        <v>2205</v>
      </c>
      <c r="P946" s="2" t="s">
        <v>2206</v>
      </c>
    </row>
    <row r="947" spans="1:16" ht="15.6" x14ac:dyDescent="0.3">
      <c r="A947" s="4">
        <v>501248</v>
      </c>
      <c r="B947" s="4" t="s">
        <v>925</v>
      </c>
      <c r="C947" s="4" t="s">
        <v>1833</v>
      </c>
      <c r="D947" s="4" t="str">
        <f t="shared" si="15"/>
        <v>IPL-2011</v>
      </c>
      <c r="E947" s="4">
        <f>YEAR('IPL Info'!$F947)</f>
        <v>2011</v>
      </c>
      <c r="F947" s="5">
        <v>40671</v>
      </c>
      <c r="G947" s="4" t="s">
        <v>925</v>
      </c>
      <c r="H947" s="4" t="s">
        <v>31</v>
      </c>
      <c r="I947" s="4" t="s">
        <v>19</v>
      </c>
      <c r="J947" s="4" t="s">
        <v>20</v>
      </c>
      <c r="K947" s="4" t="s">
        <v>1833</v>
      </c>
      <c r="L947" s="4" t="s">
        <v>2207</v>
      </c>
      <c r="M947" s="4" t="s">
        <v>1580</v>
      </c>
      <c r="N947" s="4" t="s">
        <v>502</v>
      </c>
      <c r="O947" s="4" t="s">
        <v>2208</v>
      </c>
      <c r="P947" s="4" t="s">
        <v>2209</v>
      </c>
    </row>
    <row r="948" spans="1:16" ht="15.6" x14ac:dyDescent="0.3">
      <c r="A948" s="2">
        <v>501245</v>
      </c>
      <c r="B948" s="2" t="s">
        <v>56</v>
      </c>
      <c r="C948" s="2" t="s">
        <v>51</v>
      </c>
      <c r="D948" s="2" t="str">
        <f t="shared" si="15"/>
        <v>IPL-2011</v>
      </c>
      <c r="E948" s="2">
        <f>YEAR('IPL Info'!$F948)</f>
        <v>2011</v>
      </c>
      <c r="F948" s="3">
        <v>40670</v>
      </c>
      <c r="G948" s="2" t="s">
        <v>51</v>
      </c>
      <c r="H948" s="2" t="s">
        <v>31</v>
      </c>
      <c r="I948" s="2" t="s">
        <v>19</v>
      </c>
      <c r="J948" s="2" t="s">
        <v>20</v>
      </c>
      <c r="K948" s="2" t="s">
        <v>56</v>
      </c>
      <c r="L948" s="2" t="s">
        <v>2210</v>
      </c>
      <c r="M948" s="2" t="s">
        <v>1064</v>
      </c>
      <c r="N948" s="2" t="s">
        <v>98</v>
      </c>
      <c r="O948" s="2" t="s">
        <v>2211</v>
      </c>
      <c r="P948" s="2" t="s">
        <v>2212</v>
      </c>
    </row>
    <row r="949" spans="1:16" ht="15.6" x14ac:dyDescent="0.3">
      <c r="A949" s="4">
        <v>501246</v>
      </c>
      <c r="B949" s="4" t="s">
        <v>26</v>
      </c>
      <c r="C949" s="4" t="s">
        <v>1182</v>
      </c>
      <c r="D949" s="4" t="str">
        <f t="shared" si="15"/>
        <v>IPL-2011</v>
      </c>
      <c r="E949" s="4">
        <f>YEAR('IPL Info'!$F949)</f>
        <v>2011</v>
      </c>
      <c r="F949" s="5">
        <v>40670</v>
      </c>
      <c r="G949" s="4" t="s">
        <v>1182</v>
      </c>
      <c r="H949" s="4" t="s">
        <v>18</v>
      </c>
      <c r="I949" s="4" t="s">
        <v>19</v>
      </c>
      <c r="J949" s="4" t="s">
        <v>20</v>
      </c>
      <c r="K949" s="4" t="s">
        <v>26</v>
      </c>
      <c r="L949" s="4" t="s">
        <v>1028</v>
      </c>
      <c r="M949" s="4" t="s">
        <v>1045</v>
      </c>
      <c r="N949" s="4" t="s">
        <v>74</v>
      </c>
      <c r="O949" s="4" t="s">
        <v>2213</v>
      </c>
      <c r="P949" s="4" t="s">
        <v>2214</v>
      </c>
    </row>
    <row r="950" spans="1:16" ht="15.6" x14ac:dyDescent="0.3">
      <c r="A950" s="2">
        <v>501244</v>
      </c>
      <c r="B950" s="2" t="s">
        <v>445</v>
      </c>
      <c r="C950" s="2" t="s">
        <v>925</v>
      </c>
      <c r="D950" s="2" t="str">
        <f t="shared" si="15"/>
        <v>IPL-2011</v>
      </c>
      <c r="E950" s="2">
        <f>YEAR('IPL Info'!$F950)</f>
        <v>2011</v>
      </c>
      <c r="F950" s="3">
        <v>40669</v>
      </c>
      <c r="G950" s="2" t="s">
        <v>925</v>
      </c>
      <c r="H950" s="2" t="s">
        <v>18</v>
      </c>
      <c r="I950" s="2" t="s">
        <v>19</v>
      </c>
      <c r="J950" s="2" t="s">
        <v>20</v>
      </c>
      <c r="K950" s="2" t="s">
        <v>445</v>
      </c>
      <c r="L950" s="2" t="s">
        <v>941</v>
      </c>
      <c r="M950" s="2" t="s">
        <v>1301</v>
      </c>
      <c r="N950" s="2" t="s">
        <v>1302</v>
      </c>
      <c r="O950" s="2" t="s">
        <v>2215</v>
      </c>
      <c r="P950" s="2" t="s">
        <v>2216</v>
      </c>
    </row>
    <row r="951" spans="1:16" ht="15.6" x14ac:dyDescent="0.3">
      <c r="A951" s="4">
        <v>501243</v>
      </c>
      <c r="B951" s="4" t="s">
        <v>1998</v>
      </c>
      <c r="C951" s="4" t="s">
        <v>1182</v>
      </c>
      <c r="D951" s="4" t="str">
        <f t="shared" si="15"/>
        <v>IPL-2011</v>
      </c>
      <c r="E951" s="4">
        <f>YEAR('IPL Info'!$F951)</f>
        <v>2011</v>
      </c>
      <c r="F951" s="5">
        <v>40668</v>
      </c>
      <c r="G951" s="4" t="s">
        <v>1182</v>
      </c>
      <c r="H951" s="4" t="s">
        <v>18</v>
      </c>
      <c r="I951" s="4" t="s">
        <v>19</v>
      </c>
      <c r="J951" s="4" t="s">
        <v>20</v>
      </c>
      <c r="K951" s="4" t="s">
        <v>1182</v>
      </c>
      <c r="L951" s="4" t="s">
        <v>1696</v>
      </c>
      <c r="M951" s="4" t="s">
        <v>1298</v>
      </c>
      <c r="N951" s="4" t="s">
        <v>105</v>
      </c>
      <c r="O951" s="4" t="s">
        <v>2217</v>
      </c>
      <c r="P951" s="4" t="s">
        <v>2218</v>
      </c>
    </row>
    <row r="952" spans="1:16" ht="15.6" x14ac:dyDescent="0.3">
      <c r="A952" s="2">
        <v>501242</v>
      </c>
      <c r="B952" s="2" t="s">
        <v>2176</v>
      </c>
      <c r="C952" s="2" t="s">
        <v>56</v>
      </c>
      <c r="D952" s="2" t="str">
        <f t="shared" si="15"/>
        <v>IPL-2011</v>
      </c>
      <c r="E952" s="2">
        <f>YEAR('IPL Info'!$F952)</f>
        <v>2011</v>
      </c>
      <c r="F952" s="3">
        <v>40668</v>
      </c>
      <c r="G952" s="2" t="s">
        <v>56</v>
      </c>
      <c r="H952" s="2" t="s">
        <v>18</v>
      </c>
      <c r="I952" s="2" t="s">
        <v>19</v>
      </c>
      <c r="J952" s="2" t="s">
        <v>20</v>
      </c>
      <c r="K952" s="2" t="s">
        <v>2176</v>
      </c>
      <c r="L952" s="2" t="s">
        <v>1826</v>
      </c>
      <c r="M952" s="2" t="s">
        <v>2219</v>
      </c>
      <c r="N952" s="2" t="s">
        <v>2220</v>
      </c>
      <c r="O952" s="2" t="s">
        <v>2221</v>
      </c>
      <c r="P952" s="2" t="s">
        <v>2222</v>
      </c>
    </row>
    <row r="953" spans="1:16" ht="15.6" x14ac:dyDescent="0.3">
      <c r="A953" s="4">
        <v>501240</v>
      </c>
      <c r="B953" s="4" t="s">
        <v>51</v>
      </c>
      <c r="C953" s="4" t="s">
        <v>77</v>
      </c>
      <c r="D953" s="4" t="str">
        <f t="shared" si="15"/>
        <v>IPL-2011</v>
      </c>
      <c r="E953" s="4">
        <f>YEAR('IPL Info'!$F953)</f>
        <v>2011</v>
      </c>
      <c r="F953" s="5">
        <v>40667</v>
      </c>
      <c r="G953" s="4" t="s">
        <v>77</v>
      </c>
      <c r="H953" s="4" t="s">
        <v>31</v>
      </c>
      <c r="I953" s="4" t="s">
        <v>19</v>
      </c>
      <c r="J953" s="4" t="s">
        <v>20</v>
      </c>
      <c r="K953" s="4" t="s">
        <v>51</v>
      </c>
      <c r="L953" s="4" t="s">
        <v>1711</v>
      </c>
      <c r="M953" s="4" t="s">
        <v>1598</v>
      </c>
      <c r="N953" s="4" t="s">
        <v>126</v>
      </c>
      <c r="O953" s="4" t="s">
        <v>2223</v>
      </c>
      <c r="P953" s="4" t="s">
        <v>2224</v>
      </c>
    </row>
    <row r="954" spans="1:16" ht="15.6" x14ac:dyDescent="0.3">
      <c r="A954" s="2">
        <v>501241</v>
      </c>
      <c r="B954" s="2" t="s">
        <v>1833</v>
      </c>
      <c r="C954" s="2" t="s">
        <v>26</v>
      </c>
      <c r="D954" s="2" t="str">
        <f t="shared" si="15"/>
        <v>IPL-2011</v>
      </c>
      <c r="E954" s="2">
        <f>YEAR('IPL Info'!$F954)</f>
        <v>2011</v>
      </c>
      <c r="F954" s="3">
        <v>40667</v>
      </c>
      <c r="G954" s="2" t="s">
        <v>1833</v>
      </c>
      <c r="H954" s="2" t="s">
        <v>18</v>
      </c>
      <c r="I954" s="2" t="s">
        <v>19</v>
      </c>
      <c r="J954" s="2" t="s">
        <v>20</v>
      </c>
      <c r="K954" s="2" t="s">
        <v>26</v>
      </c>
      <c r="L954" s="2" t="s">
        <v>2207</v>
      </c>
      <c r="M954" s="2" t="s">
        <v>2173</v>
      </c>
      <c r="N954" s="2" t="s">
        <v>74</v>
      </c>
      <c r="O954" s="2" t="s">
        <v>2225</v>
      </c>
      <c r="P954" s="2" t="s">
        <v>2226</v>
      </c>
    </row>
    <row r="955" spans="1:16" ht="15.6" x14ac:dyDescent="0.3">
      <c r="A955" s="4">
        <v>501239</v>
      </c>
      <c r="B955" s="4" t="s">
        <v>1998</v>
      </c>
      <c r="C955" s="4" t="s">
        <v>56</v>
      </c>
      <c r="D955" s="4" t="str">
        <f t="shared" si="15"/>
        <v>IPL-2011</v>
      </c>
      <c r="E955" s="4">
        <f>YEAR('IPL Info'!$F955)</f>
        <v>2011</v>
      </c>
      <c r="F955" s="5">
        <v>40666</v>
      </c>
      <c r="G955" s="4" t="s">
        <v>1998</v>
      </c>
      <c r="H955" s="4" t="s">
        <v>18</v>
      </c>
      <c r="I955" s="4" t="s">
        <v>19</v>
      </c>
      <c r="J955" s="4" t="s">
        <v>20</v>
      </c>
      <c r="K955" s="4" t="s">
        <v>56</v>
      </c>
      <c r="L955" s="4" t="s">
        <v>1445</v>
      </c>
      <c r="M955" s="4" t="s">
        <v>1298</v>
      </c>
      <c r="N955" s="4" t="s">
        <v>105</v>
      </c>
      <c r="O955" s="4" t="s">
        <v>2227</v>
      </c>
      <c r="P955" s="4" t="s">
        <v>2228</v>
      </c>
    </row>
    <row r="956" spans="1:16" ht="15.6" x14ac:dyDescent="0.3">
      <c r="A956" s="2">
        <v>501237</v>
      </c>
      <c r="B956" s="2" t="s">
        <v>26</v>
      </c>
      <c r="C956" s="2" t="s">
        <v>925</v>
      </c>
      <c r="D956" s="2" t="str">
        <f t="shared" si="15"/>
        <v>IPL-2011</v>
      </c>
      <c r="E956" s="2">
        <f>YEAR('IPL Info'!$F956)</f>
        <v>2011</v>
      </c>
      <c r="F956" s="3">
        <v>40665</v>
      </c>
      <c r="G956" s="2" t="s">
        <v>925</v>
      </c>
      <c r="H956" s="2" t="s">
        <v>18</v>
      </c>
      <c r="I956" s="2" t="s">
        <v>19</v>
      </c>
      <c r="J956" s="2" t="s">
        <v>20</v>
      </c>
      <c r="K956" s="2" t="s">
        <v>26</v>
      </c>
      <c r="L956" s="2" t="s">
        <v>819</v>
      </c>
      <c r="M956" s="2" t="s">
        <v>1045</v>
      </c>
      <c r="N956" s="2" t="s">
        <v>74</v>
      </c>
      <c r="O956" s="2" t="s">
        <v>2229</v>
      </c>
      <c r="P956" s="2" t="s">
        <v>2230</v>
      </c>
    </row>
    <row r="957" spans="1:16" ht="15.6" x14ac:dyDescent="0.3">
      <c r="A957" s="4">
        <v>501238</v>
      </c>
      <c r="B957" s="4" t="s">
        <v>1182</v>
      </c>
      <c r="C957" s="4" t="s">
        <v>2176</v>
      </c>
      <c r="D957" s="4" t="str">
        <f t="shared" si="15"/>
        <v>IPL-2011</v>
      </c>
      <c r="E957" s="4">
        <f>YEAR('IPL Info'!$F957)</f>
        <v>2011</v>
      </c>
      <c r="F957" s="5">
        <v>40665</v>
      </c>
      <c r="G957" s="4" t="s">
        <v>2176</v>
      </c>
      <c r="H957" s="4" t="s">
        <v>18</v>
      </c>
      <c r="I957" s="4" t="s">
        <v>19</v>
      </c>
      <c r="J957" s="4" t="s">
        <v>20</v>
      </c>
      <c r="K957" s="4" t="s">
        <v>2176</v>
      </c>
      <c r="L957" s="4" t="s">
        <v>2231</v>
      </c>
      <c r="M957" s="4" t="s">
        <v>1310</v>
      </c>
      <c r="N957" s="4" t="s">
        <v>59</v>
      </c>
      <c r="O957" s="4" t="s">
        <v>2232</v>
      </c>
      <c r="P957" s="4" t="s">
        <v>2233</v>
      </c>
    </row>
    <row r="958" spans="1:16" ht="15.6" x14ac:dyDescent="0.3">
      <c r="A958" s="2">
        <v>501236</v>
      </c>
      <c r="B958" s="2" t="s">
        <v>51</v>
      </c>
      <c r="C958" s="2" t="s">
        <v>1998</v>
      </c>
      <c r="D958" s="2" t="str">
        <f t="shared" si="15"/>
        <v>IPL-2011</v>
      </c>
      <c r="E958" s="2">
        <f>YEAR('IPL Info'!$F958)</f>
        <v>2011</v>
      </c>
      <c r="F958" s="3">
        <v>40664</v>
      </c>
      <c r="G958" s="2" t="s">
        <v>51</v>
      </c>
      <c r="H958" s="2" t="s">
        <v>31</v>
      </c>
      <c r="I958" s="2" t="s">
        <v>19</v>
      </c>
      <c r="J958" s="2" t="s">
        <v>20</v>
      </c>
      <c r="K958" s="2" t="s">
        <v>51</v>
      </c>
      <c r="L958" s="2" t="s">
        <v>2234</v>
      </c>
      <c r="M958" s="2" t="s">
        <v>1598</v>
      </c>
      <c r="N958" s="2" t="s">
        <v>126</v>
      </c>
      <c r="O958" s="2" t="s">
        <v>2235</v>
      </c>
      <c r="P958" s="2" t="s">
        <v>2236</v>
      </c>
    </row>
    <row r="959" spans="1:16" ht="15.6" x14ac:dyDescent="0.3">
      <c r="A959" s="4">
        <v>501235</v>
      </c>
      <c r="B959" s="4" t="s">
        <v>77</v>
      </c>
      <c r="C959" s="4" t="s">
        <v>1833</v>
      </c>
      <c r="D959" s="4" t="str">
        <f t="shared" si="15"/>
        <v>IPL-2011</v>
      </c>
      <c r="E959" s="4">
        <f>YEAR('IPL Info'!$F959)</f>
        <v>2011</v>
      </c>
      <c r="F959" s="5">
        <v>40664</v>
      </c>
      <c r="G959" s="4" t="s">
        <v>77</v>
      </c>
      <c r="H959" s="4" t="s">
        <v>18</v>
      </c>
      <c r="I959" s="4" t="s">
        <v>19</v>
      </c>
      <c r="J959" s="4" t="s">
        <v>20</v>
      </c>
      <c r="K959" s="4" t="s">
        <v>77</v>
      </c>
      <c r="L959" s="4" t="s">
        <v>2237</v>
      </c>
      <c r="M959" s="4" t="s">
        <v>1069</v>
      </c>
      <c r="N959" s="4" t="s">
        <v>48</v>
      </c>
      <c r="O959" s="4" t="s">
        <v>2238</v>
      </c>
      <c r="P959" s="4" t="s">
        <v>2239</v>
      </c>
    </row>
    <row r="960" spans="1:16" ht="15.6" x14ac:dyDescent="0.3">
      <c r="A960" s="2">
        <v>501234</v>
      </c>
      <c r="B960" s="2" t="s">
        <v>56</v>
      </c>
      <c r="C960" s="2" t="s">
        <v>925</v>
      </c>
      <c r="D960" s="2" t="str">
        <f t="shared" si="15"/>
        <v>IPL-2011</v>
      </c>
      <c r="E960" s="2">
        <f>YEAR('IPL Info'!$F960)</f>
        <v>2011</v>
      </c>
      <c r="F960" s="3">
        <v>40663</v>
      </c>
      <c r="G960" s="2" t="s">
        <v>56</v>
      </c>
      <c r="H960" s="2" t="s">
        <v>18</v>
      </c>
      <c r="I960" s="2" t="s">
        <v>19</v>
      </c>
      <c r="J960" s="2" t="s">
        <v>20</v>
      </c>
      <c r="K960" s="2" t="s">
        <v>56</v>
      </c>
      <c r="L960" s="2" t="s">
        <v>2210</v>
      </c>
      <c r="M960" s="2" t="s">
        <v>1064</v>
      </c>
      <c r="N960" s="2" t="s">
        <v>98</v>
      </c>
      <c r="O960" s="2" t="s">
        <v>2240</v>
      </c>
      <c r="P960" s="2" t="s">
        <v>2241</v>
      </c>
    </row>
    <row r="961" spans="1:16" ht="15.6" x14ac:dyDescent="0.3">
      <c r="A961" s="4">
        <v>501233</v>
      </c>
      <c r="B961" s="4" t="s">
        <v>2176</v>
      </c>
      <c r="C961" s="4" t="s">
        <v>1182</v>
      </c>
      <c r="D961" s="4" t="str">
        <f t="shared" si="15"/>
        <v>IPL-2011</v>
      </c>
      <c r="E961" s="4">
        <f>YEAR('IPL Info'!$F961)</f>
        <v>2011</v>
      </c>
      <c r="F961" s="5">
        <v>40663</v>
      </c>
      <c r="G961" s="4" t="s">
        <v>1182</v>
      </c>
      <c r="H961" s="4" t="s">
        <v>31</v>
      </c>
      <c r="I961" s="4" t="s">
        <v>19</v>
      </c>
      <c r="J961" s="4" t="s">
        <v>20</v>
      </c>
      <c r="K961" s="4" t="s">
        <v>1182</v>
      </c>
      <c r="L961" s="4" t="s">
        <v>1696</v>
      </c>
      <c r="M961" s="4" t="s">
        <v>2219</v>
      </c>
      <c r="N961" s="4" t="s">
        <v>2220</v>
      </c>
      <c r="O961" s="4" t="s">
        <v>2242</v>
      </c>
      <c r="P961" s="4" t="s">
        <v>2243</v>
      </c>
    </row>
    <row r="962" spans="1:16" ht="15.6" x14ac:dyDescent="0.3">
      <c r="A962" s="2">
        <v>501232</v>
      </c>
      <c r="B962" s="2" t="s">
        <v>445</v>
      </c>
      <c r="C962" s="2" t="s">
        <v>1833</v>
      </c>
      <c r="D962" s="2" t="str">
        <f t="shared" si="15"/>
        <v>IPL-2011</v>
      </c>
      <c r="E962" s="2">
        <f>YEAR('IPL Info'!$F962)</f>
        <v>2011</v>
      </c>
      <c r="F962" s="3">
        <v>40662</v>
      </c>
      <c r="G962" s="2" t="s">
        <v>1833</v>
      </c>
      <c r="H962" s="2" t="s">
        <v>18</v>
      </c>
      <c r="I962" s="2" t="s">
        <v>19</v>
      </c>
      <c r="J962" s="2" t="s">
        <v>20</v>
      </c>
      <c r="K962" s="2" t="s">
        <v>445</v>
      </c>
      <c r="L962" s="2" t="s">
        <v>158</v>
      </c>
      <c r="M962" s="2" t="s">
        <v>1301</v>
      </c>
      <c r="N962" s="2" t="s">
        <v>1302</v>
      </c>
      <c r="O962" s="2" t="s">
        <v>2244</v>
      </c>
      <c r="P962" s="2" t="s">
        <v>2245</v>
      </c>
    </row>
    <row r="963" spans="1:16" ht="15.6" x14ac:dyDescent="0.3">
      <c r="A963" s="4">
        <v>501231</v>
      </c>
      <c r="B963" s="4" t="s">
        <v>77</v>
      </c>
      <c r="C963" s="4" t="s">
        <v>26</v>
      </c>
      <c r="D963" s="4" t="str">
        <f t="shared" si="15"/>
        <v>IPL-2011</v>
      </c>
      <c r="E963" s="4">
        <f>YEAR('IPL Info'!$F963)</f>
        <v>2011</v>
      </c>
      <c r="F963" s="5">
        <v>40662</v>
      </c>
      <c r="G963" s="4" t="s">
        <v>77</v>
      </c>
      <c r="H963" s="4" t="s">
        <v>18</v>
      </c>
      <c r="I963" s="4" t="s">
        <v>19</v>
      </c>
      <c r="J963" s="4" t="s">
        <v>20</v>
      </c>
      <c r="K963" s="4" t="s">
        <v>77</v>
      </c>
      <c r="L963" s="4" t="s">
        <v>2246</v>
      </c>
      <c r="M963" s="4" t="s">
        <v>1069</v>
      </c>
      <c r="N963" s="4" t="s">
        <v>48</v>
      </c>
      <c r="O963" s="4" t="s">
        <v>2247</v>
      </c>
      <c r="P963" s="4" t="s">
        <v>2248</v>
      </c>
    </row>
    <row r="964" spans="1:16" ht="15.6" x14ac:dyDescent="0.3">
      <c r="A964" s="2">
        <v>501230</v>
      </c>
      <c r="B964" s="2" t="s">
        <v>1182</v>
      </c>
      <c r="C964" s="2" t="s">
        <v>56</v>
      </c>
      <c r="D964" s="2" t="str">
        <f t="shared" si="15"/>
        <v>IPL-2011</v>
      </c>
      <c r="E964" s="2">
        <f>YEAR('IPL Info'!$F964)</f>
        <v>2011</v>
      </c>
      <c r="F964" s="3">
        <v>40661</v>
      </c>
      <c r="G964" s="2" t="s">
        <v>1182</v>
      </c>
      <c r="H964" s="2" t="s">
        <v>18</v>
      </c>
      <c r="I964" s="2" t="s">
        <v>19</v>
      </c>
      <c r="J964" s="2" t="s">
        <v>20</v>
      </c>
      <c r="K964" s="2" t="s">
        <v>56</v>
      </c>
      <c r="L964" s="2" t="s">
        <v>2249</v>
      </c>
      <c r="M964" s="2" t="s">
        <v>1310</v>
      </c>
      <c r="N964" s="2" t="s">
        <v>59</v>
      </c>
      <c r="O964" s="2" t="s">
        <v>2250</v>
      </c>
      <c r="P964" s="2" t="s">
        <v>2251</v>
      </c>
    </row>
    <row r="965" spans="1:16" ht="15.6" x14ac:dyDescent="0.3">
      <c r="A965" s="4">
        <v>501229</v>
      </c>
      <c r="B965" s="4" t="s">
        <v>2176</v>
      </c>
      <c r="C965" s="4" t="s">
        <v>1998</v>
      </c>
      <c r="D965" s="4" t="str">
        <f t="shared" si="15"/>
        <v>IPL-2011</v>
      </c>
      <c r="E965" s="4">
        <f>YEAR('IPL Info'!$F965)</f>
        <v>2011</v>
      </c>
      <c r="F965" s="5">
        <v>40660</v>
      </c>
      <c r="G965" s="4" t="s">
        <v>2176</v>
      </c>
      <c r="H965" s="4" t="s">
        <v>18</v>
      </c>
      <c r="I965" s="4" t="s">
        <v>19</v>
      </c>
      <c r="J965" s="4" t="s">
        <v>20</v>
      </c>
      <c r="K965" s="4" t="s">
        <v>1998</v>
      </c>
      <c r="L965" s="4" t="s">
        <v>279</v>
      </c>
      <c r="M965" s="4" t="s">
        <v>2219</v>
      </c>
      <c r="N965" s="4" t="s">
        <v>2220</v>
      </c>
      <c r="O965" s="4" t="s">
        <v>2252</v>
      </c>
      <c r="P965" s="4" t="s">
        <v>2253</v>
      </c>
    </row>
    <row r="966" spans="1:16" ht="15.6" x14ac:dyDescent="0.3">
      <c r="A966" s="2">
        <v>501228</v>
      </c>
      <c r="B966" s="2" t="s">
        <v>1833</v>
      </c>
      <c r="C966" s="2" t="s">
        <v>51</v>
      </c>
      <c r="D966" s="2" t="str">
        <f t="shared" si="15"/>
        <v>IPL-2011</v>
      </c>
      <c r="E966" s="2">
        <f>YEAR('IPL Info'!$F966)</f>
        <v>2011</v>
      </c>
      <c r="F966" s="3">
        <v>40660</v>
      </c>
      <c r="G966" s="2" t="s">
        <v>1833</v>
      </c>
      <c r="H966" s="2" t="s">
        <v>31</v>
      </c>
      <c r="I966" s="2" t="s">
        <v>19</v>
      </c>
      <c r="J966" s="2" t="s">
        <v>20</v>
      </c>
      <c r="K966" s="2" t="s">
        <v>51</v>
      </c>
      <c r="L966" s="2" t="s">
        <v>2254</v>
      </c>
      <c r="M966" s="2" t="s">
        <v>2173</v>
      </c>
      <c r="N966" s="2" t="s">
        <v>74</v>
      </c>
      <c r="O966" s="2" t="s">
        <v>2255</v>
      </c>
      <c r="P966" s="2" t="s">
        <v>2256</v>
      </c>
    </row>
    <row r="967" spans="1:16" ht="15.6" x14ac:dyDescent="0.3">
      <c r="A967" s="4">
        <v>501227</v>
      </c>
      <c r="B967" s="4" t="s">
        <v>1182</v>
      </c>
      <c r="C967" s="4" t="s">
        <v>445</v>
      </c>
      <c r="D967" s="4" t="str">
        <f t="shared" si="15"/>
        <v>IPL-2011</v>
      </c>
      <c r="E967" s="4">
        <f>YEAR('IPL Info'!$F967)</f>
        <v>2011</v>
      </c>
      <c r="F967" s="5">
        <v>40659</v>
      </c>
      <c r="G967" s="4" t="s">
        <v>445</v>
      </c>
      <c r="H967" s="4" t="s">
        <v>18</v>
      </c>
      <c r="I967" s="4" t="s">
        <v>19</v>
      </c>
      <c r="J967" s="4" t="s">
        <v>20</v>
      </c>
      <c r="K967" s="4" t="s">
        <v>445</v>
      </c>
      <c r="L967" s="4" t="s">
        <v>158</v>
      </c>
      <c r="M967" s="4" t="s">
        <v>1310</v>
      </c>
      <c r="N967" s="4" t="s">
        <v>59</v>
      </c>
      <c r="O967" s="4" t="s">
        <v>2257</v>
      </c>
      <c r="P967" s="4" t="s">
        <v>2258</v>
      </c>
    </row>
    <row r="968" spans="1:16" ht="15.6" x14ac:dyDescent="0.3">
      <c r="A968" s="2">
        <v>501226</v>
      </c>
      <c r="B968" s="2" t="s">
        <v>51</v>
      </c>
      <c r="C968" s="2" t="s">
        <v>1833</v>
      </c>
      <c r="D968" s="2" t="str">
        <f t="shared" si="15"/>
        <v>IPL-2011</v>
      </c>
      <c r="E968" s="2">
        <f>YEAR('IPL Info'!$F968)</f>
        <v>2011</v>
      </c>
      <c r="F968" s="3">
        <v>40658</v>
      </c>
      <c r="G968" s="2" t="s">
        <v>1833</v>
      </c>
      <c r="H968" s="2" t="s">
        <v>18</v>
      </c>
      <c r="I968" s="2" t="s">
        <v>19</v>
      </c>
      <c r="J968" s="2" t="s">
        <v>20</v>
      </c>
      <c r="K968" s="2" t="s">
        <v>51</v>
      </c>
      <c r="L968" s="2" t="s">
        <v>1711</v>
      </c>
      <c r="M968" s="2" t="s">
        <v>1598</v>
      </c>
      <c r="N968" s="2" t="s">
        <v>126</v>
      </c>
      <c r="O968" s="2" t="s">
        <v>2235</v>
      </c>
      <c r="P968" s="2" t="s">
        <v>2259</v>
      </c>
    </row>
    <row r="969" spans="1:16" ht="15.6" x14ac:dyDescent="0.3">
      <c r="A969" s="4">
        <v>501225</v>
      </c>
      <c r="B969" s="4" t="s">
        <v>77</v>
      </c>
      <c r="C969" s="4" t="s">
        <v>2176</v>
      </c>
      <c r="D969" s="4" t="str">
        <f t="shared" si="15"/>
        <v>IPL-2011</v>
      </c>
      <c r="E969" s="4">
        <f>YEAR('IPL Info'!$F969)</f>
        <v>2011</v>
      </c>
      <c r="F969" s="5">
        <v>40657</v>
      </c>
      <c r="G969" s="4" t="s">
        <v>77</v>
      </c>
      <c r="H969" s="4" t="s">
        <v>18</v>
      </c>
      <c r="I969" s="4" t="s">
        <v>19</v>
      </c>
      <c r="J969" s="4" t="s">
        <v>20</v>
      </c>
      <c r="K969" s="4" t="s">
        <v>77</v>
      </c>
      <c r="L969" s="4" t="s">
        <v>2260</v>
      </c>
      <c r="M969" s="4" t="s">
        <v>1069</v>
      </c>
      <c r="N969" s="4" t="s">
        <v>48</v>
      </c>
      <c r="O969" s="4" t="s">
        <v>2247</v>
      </c>
      <c r="P969" s="4" t="s">
        <v>2261</v>
      </c>
    </row>
    <row r="970" spans="1:16" ht="15.6" x14ac:dyDescent="0.3">
      <c r="A970" s="2">
        <v>501224</v>
      </c>
      <c r="B970" s="2" t="s">
        <v>1998</v>
      </c>
      <c r="C970" s="2" t="s">
        <v>26</v>
      </c>
      <c r="D970" s="2" t="str">
        <f t="shared" si="15"/>
        <v>IPL-2011</v>
      </c>
      <c r="E970" s="2">
        <f>YEAR('IPL Info'!$F970)</f>
        <v>2011</v>
      </c>
      <c r="F970" s="3">
        <v>40657</v>
      </c>
      <c r="G970" s="2" t="s">
        <v>1998</v>
      </c>
      <c r="H970" s="2" t="s">
        <v>18</v>
      </c>
      <c r="I970" s="2" t="s">
        <v>19</v>
      </c>
      <c r="J970" s="2" t="s">
        <v>20</v>
      </c>
      <c r="K970" s="2" t="s">
        <v>26</v>
      </c>
      <c r="L970" s="2" t="s">
        <v>1101</v>
      </c>
      <c r="M970" s="2" t="s">
        <v>1298</v>
      </c>
      <c r="N970" s="2" t="s">
        <v>105</v>
      </c>
      <c r="O970" s="2" t="s">
        <v>2262</v>
      </c>
      <c r="P970" s="2" t="s">
        <v>2263</v>
      </c>
    </row>
    <row r="971" spans="1:16" ht="15.6" x14ac:dyDescent="0.3">
      <c r="A971" s="4">
        <v>501223</v>
      </c>
      <c r="B971" s="4" t="s">
        <v>1182</v>
      </c>
      <c r="C971" s="4" t="s">
        <v>925</v>
      </c>
      <c r="D971" s="4" t="str">
        <f t="shared" si="15"/>
        <v>IPL-2011</v>
      </c>
      <c r="E971" s="4">
        <f>YEAR('IPL Info'!$F971)</f>
        <v>2011</v>
      </c>
      <c r="F971" s="5">
        <v>40656</v>
      </c>
      <c r="G971" s="4" t="s">
        <v>925</v>
      </c>
      <c r="H971" s="4" t="s">
        <v>18</v>
      </c>
      <c r="I971" s="4" t="s">
        <v>19</v>
      </c>
      <c r="J971" s="4" t="s">
        <v>20</v>
      </c>
      <c r="K971" s="4" t="s">
        <v>1182</v>
      </c>
      <c r="L971" s="4" t="s">
        <v>658</v>
      </c>
      <c r="M971" s="4" t="s">
        <v>1310</v>
      </c>
      <c r="N971" s="4" t="s">
        <v>59</v>
      </c>
      <c r="O971" s="4" t="s">
        <v>2264</v>
      </c>
      <c r="P971" s="4" t="s">
        <v>2265</v>
      </c>
    </row>
    <row r="972" spans="1:16" ht="15.6" x14ac:dyDescent="0.3">
      <c r="A972" s="2">
        <v>501221</v>
      </c>
      <c r="B972" s="2" t="s">
        <v>26</v>
      </c>
      <c r="C972" s="2" t="s">
        <v>51</v>
      </c>
      <c r="D972" s="2" t="str">
        <f t="shared" si="15"/>
        <v>IPL-2011</v>
      </c>
      <c r="E972" s="2">
        <f>YEAR('IPL Info'!$F972)</f>
        <v>2011</v>
      </c>
      <c r="F972" s="3">
        <v>40655</v>
      </c>
      <c r="G972" s="2" t="s">
        <v>51</v>
      </c>
      <c r="H972" s="2" t="s">
        <v>18</v>
      </c>
      <c r="I972" s="2" t="s">
        <v>19</v>
      </c>
      <c r="J972" s="2" t="s">
        <v>20</v>
      </c>
      <c r="K972" s="2" t="s">
        <v>26</v>
      </c>
      <c r="L972" s="2" t="s">
        <v>1129</v>
      </c>
      <c r="M972" s="2" t="s">
        <v>1045</v>
      </c>
      <c r="N972" s="2" t="s">
        <v>74</v>
      </c>
      <c r="O972" s="2" t="s">
        <v>2266</v>
      </c>
      <c r="P972" s="2" t="s">
        <v>2267</v>
      </c>
    </row>
    <row r="973" spans="1:16" ht="15.6" x14ac:dyDescent="0.3">
      <c r="A973" s="4">
        <v>501222</v>
      </c>
      <c r="B973" s="4" t="s">
        <v>56</v>
      </c>
      <c r="C973" s="4" t="s">
        <v>445</v>
      </c>
      <c r="D973" s="4" t="str">
        <f t="shared" si="15"/>
        <v>IPL-2011</v>
      </c>
      <c r="E973" s="4">
        <f>YEAR('IPL Info'!$F973)</f>
        <v>2011</v>
      </c>
      <c r="F973" s="5">
        <v>40655</v>
      </c>
      <c r="G973" s="4" t="s">
        <v>445</v>
      </c>
      <c r="H973" s="4" t="s">
        <v>18</v>
      </c>
      <c r="I973" s="4" t="s">
        <v>19</v>
      </c>
      <c r="J973" s="4" t="s">
        <v>20</v>
      </c>
      <c r="K973" s="4" t="s">
        <v>445</v>
      </c>
      <c r="L973" s="4" t="s">
        <v>941</v>
      </c>
      <c r="M973" s="4" t="s">
        <v>1064</v>
      </c>
      <c r="N973" s="4" t="s">
        <v>98</v>
      </c>
      <c r="O973" s="4" t="s">
        <v>2268</v>
      </c>
      <c r="P973" s="4" t="s">
        <v>2269</v>
      </c>
    </row>
    <row r="974" spans="1:16" ht="15.6" x14ac:dyDescent="0.3">
      <c r="A974" s="2">
        <v>501220</v>
      </c>
      <c r="B974" s="2" t="s">
        <v>925</v>
      </c>
      <c r="C974" s="2" t="s">
        <v>77</v>
      </c>
      <c r="D974" s="2" t="str">
        <f t="shared" si="15"/>
        <v>IPL-2011</v>
      </c>
      <c r="E974" s="2">
        <f>YEAR('IPL Info'!$F974)</f>
        <v>2011</v>
      </c>
      <c r="F974" s="3">
        <v>40654</v>
      </c>
      <c r="G974" s="2" t="s">
        <v>77</v>
      </c>
      <c r="H974" s="2" t="s">
        <v>18</v>
      </c>
      <c r="I974" s="2" t="s">
        <v>19</v>
      </c>
      <c r="J974" s="2" t="s">
        <v>20</v>
      </c>
      <c r="K974" s="2" t="s">
        <v>925</v>
      </c>
      <c r="L974" s="2" t="s">
        <v>1656</v>
      </c>
      <c r="M974" s="2" t="s">
        <v>1580</v>
      </c>
      <c r="N974" s="2" t="s">
        <v>502</v>
      </c>
      <c r="O974" s="2" t="s">
        <v>2270</v>
      </c>
      <c r="P974" s="2" t="s">
        <v>2271</v>
      </c>
    </row>
    <row r="975" spans="1:16" ht="15.6" x14ac:dyDescent="0.3">
      <c r="A975" s="4">
        <v>501219</v>
      </c>
      <c r="B975" s="4" t="s">
        <v>56</v>
      </c>
      <c r="C975" s="4" t="s">
        <v>2176</v>
      </c>
      <c r="D975" s="4" t="str">
        <f t="shared" si="15"/>
        <v>IPL-2011</v>
      </c>
      <c r="E975" s="4">
        <f>YEAR('IPL Info'!$F975)</f>
        <v>2011</v>
      </c>
      <c r="F975" s="5">
        <v>40653</v>
      </c>
      <c r="G975" s="4" t="s">
        <v>56</v>
      </c>
      <c r="H975" s="4" t="s">
        <v>18</v>
      </c>
      <c r="I975" s="4" t="s">
        <v>19</v>
      </c>
      <c r="J975" s="4" t="s">
        <v>20</v>
      </c>
      <c r="K975" s="4" t="s">
        <v>2176</v>
      </c>
      <c r="L975" s="4" t="s">
        <v>2272</v>
      </c>
      <c r="M975" s="4" t="s">
        <v>1064</v>
      </c>
      <c r="N975" s="4" t="s">
        <v>98</v>
      </c>
      <c r="O975" s="4" t="s">
        <v>2273</v>
      </c>
      <c r="P975" s="4" t="s">
        <v>2274</v>
      </c>
    </row>
    <row r="976" spans="1:16" ht="15.6" x14ac:dyDescent="0.3">
      <c r="A976" s="2">
        <v>501218</v>
      </c>
      <c r="B976" s="2" t="s">
        <v>26</v>
      </c>
      <c r="C976" s="2" t="s">
        <v>1833</v>
      </c>
      <c r="D976" s="2" t="str">
        <f t="shared" si="15"/>
        <v>IPL-2011</v>
      </c>
      <c r="E976" s="2">
        <f>YEAR('IPL Info'!$F976)</f>
        <v>2011</v>
      </c>
      <c r="F976" s="3">
        <v>40653</v>
      </c>
      <c r="G976" s="2" t="s">
        <v>1833</v>
      </c>
      <c r="H976" s="2" t="s">
        <v>31</v>
      </c>
      <c r="I976" s="2" t="s">
        <v>19</v>
      </c>
      <c r="J976" s="2" t="s">
        <v>20</v>
      </c>
      <c r="K976" s="2" t="s">
        <v>26</v>
      </c>
      <c r="L976" s="2" t="s">
        <v>2157</v>
      </c>
      <c r="M976" s="2" t="s">
        <v>1045</v>
      </c>
      <c r="N976" s="2" t="s">
        <v>74</v>
      </c>
      <c r="O976" s="2" t="s">
        <v>2275</v>
      </c>
      <c r="P976" s="2" t="s">
        <v>2276</v>
      </c>
    </row>
    <row r="977" spans="1:16" ht="15.6" x14ac:dyDescent="0.3">
      <c r="A977" s="4">
        <v>501216</v>
      </c>
      <c r="B977" s="4" t="s">
        <v>1182</v>
      </c>
      <c r="C977" s="4" t="s">
        <v>1998</v>
      </c>
      <c r="D977" s="4" t="str">
        <f t="shared" si="15"/>
        <v>IPL-2011</v>
      </c>
      <c r="E977" s="4">
        <f>YEAR('IPL Info'!$F977)</f>
        <v>2011</v>
      </c>
      <c r="F977" s="5">
        <v>40652</v>
      </c>
      <c r="G977" s="4" t="s">
        <v>1998</v>
      </c>
      <c r="H977" s="4" t="s">
        <v>31</v>
      </c>
      <c r="I977" s="4" t="s">
        <v>19</v>
      </c>
      <c r="J977" s="4" t="s">
        <v>20</v>
      </c>
      <c r="K977" s="4" t="s">
        <v>1998</v>
      </c>
      <c r="L977" s="4" t="s">
        <v>2277</v>
      </c>
      <c r="M977" s="4" t="s">
        <v>1310</v>
      </c>
      <c r="N977" s="4" t="s">
        <v>59</v>
      </c>
      <c r="O977" s="4" t="s">
        <v>2278</v>
      </c>
      <c r="P977" s="4" t="s">
        <v>2279</v>
      </c>
    </row>
    <row r="978" spans="1:16" ht="15.6" x14ac:dyDescent="0.3">
      <c r="A978" s="2">
        <v>501215</v>
      </c>
      <c r="B978" s="2" t="s">
        <v>2176</v>
      </c>
      <c r="C978" s="2" t="s">
        <v>51</v>
      </c>
      <c r="D978" s="2" t="str">
        <f t="shared" si="15"/>
        <v>IPL-2011</v>
      </c>
      <c r="E978" s="2">
        <f>YEAR('IPL Info'!$F978)</f>
        <v>2011</v>
      </c>
      <c r="F978" s="3">
        <v>40651</v>
      </c>
      <c r="G978" s="2" t="s">
        <v>2176</v>
      </c>
      <c r="H978" s="2" t="s">
        <v>18</v>
      </c>
      <c r="I978" s="2" t="s">
        <v>19</v>
      </c>
      <c r="J978" s="2" t="s">
        <v>20</v>
      </c>
      <c r="K978" s="2" t="s">
        <v>2176</v>
      </c>
      <c r="L978" s="2" t="s">
        <v>1642</v>
      </c>
      <c r="M978" s="2" t="s">
        <v>2219</v>
      </c>
      <c r="N978" s="2" t="s">
        <v>2220</v>
      </c>
      <c r="O978" s="2" t="s">
        <v>2280</v>
      </c>
      <c r="P978" s="2" t="s">
        <v>2281</v>
      </c>
    </row>
    <row r="979" spans="1:16" ht="15.6" x14ac:dyDescent="0.3">
      <c r="A979" s="4">
        <v>501213</v>
      </c>
      <c r="B979" s="4" t="s">
        <v>1833</v>
      </c>
      <c r="C979" s="4" t="s">
        <v>1182</v>
      </c>
      <c r="D979" s="4" t="str">
        <f t="shared" si="15"/>
        <v>IPL-2011</v>
      </c>
      <c r="E979" s="4">
        <f>YEAR('IPL Info'!$F979)</f>
        <v>2011</v>
      </c>
      <c r="F979" s="5">
        <v>40650</v>
      </c>
      <c r="G979" s="4" t="s">
        <v>1182</v>
      </c>
      <c r="H979" s="4" t="s">
        <v>18</v>
      </c>
      <c r="I979" s="4" t="s">
        <v>19</v>
      </c>
      <c r="J979" s="4" t="s">
        <v>20</v>
      </c>
      <c r="K979" s="4" t="s">
        <v>1182</v>
      </c>
      <c r="L979" s="4" t="s">
        <v>1433</v>
      </c>
      <c r="M979" s="4" t="s">
        <v>2173</v>
      </c>
      <c r="N979" s="4" t="s">
        <v>74</v>
      </c>
      <c r="O979" s="4" t="s">
        <v>2282</v>
      </c>
      <c r="P979" s="4" t="s">
        <v>2283</v>
      </c>
    </row>
    <row r="980" spans="1:16" ht="15.6" x14ac:dyDescent="0.3">
      <c r="A980" s="2">
        <v>501214</v>
      </c>
      <c r="B980" s="2" t="s">
        <v>56</v>
      </c>
      <c r="C980" s="2" t="s">
        <v>77</v>
      </c>
      <c r="D980" s="2" t="str">
        <f t="shared" si="15"/>
        <v>IPL-2011</v>
      </c>
      <c r="E980" s="2">
        <f>YEAR('IPL Info'!$F980)</f>
        <v>2011</v>
      </c>
      <c r="F980" s="3">
        <v>40650</v>
      </c>
      <c r="G980" s="2" t="s">
        <v>56</v>
      </c>
      <c r="H980" s="2" t="s">
        <v>18</v>
      </c>
      <c r="I980" s="2" t="s">
        <v>19</v>
      </c>
      <c r="J980" s="2" t="s">
        <v>20</v>
      </c>
      <c r="K980" s="2" t="s">
        <v>56</v>
      </c>
      <c r="L980" s="2" t="s">
        <v>2129</v>
      </c>
      <c r="M980" s="2" t="s">
        <v>1064</v>
      </c>
      <c r="N980" s="2" t="s">
        <v>98</v>
      </c>
      <c r="O980" s="2" t="s">
        <v>2284</v>
      </c>
      <c r="P980" s="2" t="s">
        <v>2285</v>
      </c>
    </row>
    <row r="981" spans="1:16" ht="15.6" x14ac:dyDescent="0.3">
      <c r="A981" s="4">
        <v>501211</v>
      </c>
      <c r="B981" s="4" t="s">
        <v>51</v>
      </c>
      <c r="C981" s="4" t="s">
        <v>445</v>
      </c>
      <c r="D981" s="4" t="str">
        <f t="shared" si="15"/>
        <v>IPL-2011</v>
      </c>
      <c r="E981" s="4">
        <f>YEAR('IPL Info'!$F981)</f>
        <v>2011</v>
      </c>
      <c r="F981" s="5">
        <v>40649</v>
      </c>
      <c r="G981" s="4" t="s">
        <v>51</v>
      </c>
      <c r="H981" s="4" t="s">
        <v>31</v>
      </c>
      <c r="I981" s="4" t="s">
        <v>19</v>
      </c>
      <c r="J981" s="4" t="s">
        <v>20</v>
      </c>
      <c r="K981" s="4" t="s">
        <v>51</v>
      </c>
      <c r="L981" s="4" t="s">
        <v>1711</v>
      </c>
      <c r="M981" s="4" t="s">
        <v>1598</v>
      </c>
      <c r="N981" s="4" t="s">
        <v>126</v>
      </c>
      <c r="O981" s="4" t="s">
        <v>2286</v>
      </c>
      <c r="P981" s="4" t="s">
        <v>2287</v>
      </c>
    </row>
    <row r="982" spans="1:16" ht="15.6" x14ac:dyDescent="0.3">
      <c r="A982" s="2">
        <v>501212</v>
      </c>
      <c r="B982" s="2" t="s">
        <v>1998</v>
      </c>
      <c r="C982" s="2" t="s">
        <v>925</v>
      </c>
      <c r="D982" s="2" t="str">
        <f t="shared" si="15"/>
        <v>IPL-2011</v>
      </c>
      <c r="E982" s="2">
        <f>YEAR('IPL Info'!$F982)</f>
        <v>2011</v>
      </c>
      <c r="F982" s="3">
        <v>40649</v>
      </c>
      <c r="G982" s="2" t="s">
        <v>925</v>
      </c>
      <c r="H982" s="2" t="s">
        <v>18</v>
      </c>
      <c r="I982" s="2" t="s">
        <v>19</v>
      </c>
      <c r="J982" s="2" t="s">
        <v>20</v>
      </c>
      <c r="K982" s="2" t="s">
        <v>925</v>
      </c>
      <c r="L982" s="2" t="s">
        <v>2288</v>
      </c>
      <c r="M982" s="2" t="s">
        <v>1298</v>
      </c>
      <c r="N982" s="2" t="s">
        <v>105</v>
      </c>
      <c r="O982" s="2" t="s">
        <v>2289</v>
      </c>
      <c r="P982" s="2" t="s">
        <v>2290</v>
      </c>
    </row>
    <row r="983" spans="1:16" ht="15.6" x14ac:dyDescent="0.3">
      <c r="A983" s="4">
        <v>501210</v>
      </c>
      <c r="B983" s="4" t="s">
        <v>26</v>
      </c>
      <c r="C983" s="4" t="s">
        <v>2176</v>
      </c>
      <c r="D983" s="4" t="str">
        <f t="shared" si="15"/>
        <v>IPL-2011</v>
      </c>
      <c r="E983" s="4">
        <f>YEAR('IPL Info'!$F983)</f>
        <v>2011</v>
      </c>
      <c r="F983" s="5">
        <v>40648</v>
      </c>
      <c r="G983" s="4" t="s">
        <v>2176</v>
      </c>
      <c r="H983" s="4" t="s">
        <v>18</v>
      </c>
      <c r="I983" s="4" t="s">
        <v>19</v>
      </c>
      <c r="J983" s="4" t="s">
        <v>20</v>
      </c>
      <c r="K983" s="4" t="s">
        <v>2176</v>
      </c>
      <c r="L983" s="4" t="s">
        <v>1642</v>
      </c>
      <c r="M983" s="4" t="s">
        <v>1045</v>
      </c>
      <c r="N983" s="4" t="s">
        <v>74</v>
      </c>
      <c r="O983" s="4" t="s">
        <v>2291</v>
      </c>
      <c r="P983" s="4" t="s">
        <v>2292</v>
      </c>
    </row>
    <row r="984" spans="1:16" ht="15.6" x14ac:dyDescent="0.3">
      <c r="A984" s="2">
        <v>501209</v>
      </c>
      <c r="B984" s="2" t="s">
        <v>77</v>
      </c>
      <c r="C984" s="2" t="s">
        <v>56</v>
      </c>
      <c r="D984" s="2" t="str">
        <f t="shared" si="15"/>
        <v>IPL-2011</v>
      </c>
      <c r="E984" s="2">
        <f>YEAR('IPL Info'!$F984)</f>
        <v>2011</v>
      </c>
      <c r="F984" s="3">
        <v>40648</v>
      </c>
      <c r="G984" s="2" t="s">
        <v>56</v>
      </c>
      <c r="H984" s="2" t="s">
        <v>18</v>
      </c>
      <c r="I984" s="2" t="s">
        <v>19</v>
      </c>
      <c r="J984" s="2" t="s">
        <v>20</v>
      </c>
      <c r="K984" s="2" t="s">
        <v>56</v>
      </c>
      <c r="L984" s="2" t="s">
        <v>1364</v>
      </c>
      <c r="M984" s="2" t="s">
        <v>1069</v>
      </c>
      <c r="N984" s="2" t="s">
        <v>48</v>
      </c>
      <c r="O984" s="2" t="s">
        <v>2293</v>
      </c>
      <c r="P984" s="2" t="s">
        <v>2294</v>
      </c>
    </row>
    <row r="985" spans="1:16" ht="15.6" x14ac:dyDescent="0.3">
      <c r="A985" s="4">
        <v>501208</v>
      </c>
      <c r="B985" s="4" t="s">
        <v>1998</v>
      </c>
      <c r="C985" s="4" t="s">
        <v>445</v>
      </c>
      <c r="D985" s="4" t="str">
        <f t="shared" si="15"/>
        <v>IPL-2011</v>
      </c>
      <c r="E985" s="4">
        <f>YEAR('IPL Info'!$F985)</f>
        <v>2011</v>
      </c>
      <c r="F985" s="5">
        <v>40647</v>
      </c>
      <c r="G985" s="4" t="s">
        <v>445</v>
      </c>
      <c r="H985" s="4" t="s">
        <v>18</v>
      </c>
      <c r="I985" s="4" t="s">
        <v>19</v>
      </c>
      <c r="J985" s="4" t="s">
        <v>20</v>
      </c>
      <c r="K985" s="4" t="s">
        <v>1998</v>
      </c>
      <c r="L985" s="4" t="s">
        <v>1754</v>
      </c>
      <c r="M985" s="4" t="s">
        <v>1298</v>
      </c>
      <c r="N985" s="4" t="s">
        <v>105</v>
      </c>
      <c r="O985" s="4" t="s">
        <v>2295</v>
      </c>
      <c r="P985" s="4" t="s">
        <v>2296</v>
      </c>
    </row>
    <row r="986" spans="1:16" ht="15.6" x14ac:dyDescent="0.3">
      <c r="A986" s="2">
        <v>501207</v>
      </c>
      <c r="B986" s="2" t="s">
        <v>1833</v>
      </c>
      <c r="C986" s="2" t="s">
        <v>2176</v>
      </c>
      <c r="D986" s="2" t="str">
        <f t="shared" si="15"/>
        <v>IPL-2011</v>
      </c>
      <c r="E986" s="2">
        <f>YEAR('IPL Info'!$F986)</f>
        <v>2011</v>
      </c>
      <c r="F986" s="3">
        <v>40646</v>
      </c>
      <c r="G986" s="2" t="s">
        <v>2176</v>
      </c>
      <c r="H986" s="2" t="s">
        <v>31</v>
      </c>
      <c r="I986" s="2" t="s">
        <v>19</v>
      </c>
      <c r="J986" s="2" t="s">
        <v>20</v>
      </c>
      <c r="K986" s="2" t="s">
        <v>1833</v>
      </c>
      <c r="L986" s="2" t="s">
        <v>2297</v>
      </c>
      <c r="M986" s="2" t="s">
        <v>2173</v>
      </c>
      <c r="N986" s="2" t="s">
        <v>74</v>
      </c>
      <c r="O986" s="2" t="s">
        <v>2298</v>
      </c>
      <c r="P986" s="2" t="s">
        <v>2299</v>
      </c>
    </row>
    <row r="987" spans="1:16" ht="15.6" x14ac:dyDescent="0.3">
      <c r="A987" s="4">
        <v>501206</v>
      </c>
      <c r="B987" s="4" t="s">
        <v>925</v>
      </c>
      <c r="C987" s="4" t="s">
        <v>51</v>
      </c>
      <c r="D987" s="4" t="str">
        <f t="shared" si="15"/>
        <v>IPL-2011</v>
      </c>
      <c r="E987" s="4">
        <f>YEAR('IPL Info'!$F987)</f>
        <v>2011</v>
      </c>
      <c r="F987" s="5">
        <v>40646</v>
      </c>
      <c r="G987" s="4" t="s">
        <v>925</v>
      </c>
      <c r="H987" s="4" t="s">
        <v>18</v>
      </c>
      <c r="I987" s="4" t="s">
        <v>19</v>
      </c>
      <c r="J987" s="4" t="s">
        <v>20</v>
      </c>
      <c r="K987" s="4" t="s">
        <v>925</v>
      </c>
      <c r="L987" s="4" t="s">
        <v>2288</v>
      </c>
      <c r="M987" s="4" t="s">
        <v>1580</v>
      </c>
      <c r="N987" s="4" t="s">
        <v>502</v>
      </c>
      <c r="O987" s="4" t="s">
        <v>2300</v>
      </c>
      <c r="P987" s="4" t="s">
        <v>2301</v>
      </c>
    </row>
    <row r="988" spans="1:16" ht="15.6" x14ac:dyDescent="0.3">
      <c r="A988" s="2">
        <v>501205</v>
      </c>
      <c r="B988" s="2" t="s">
        <v>445</v>
      </c>
      <c r="C988" s="2" t="s">
        <v>26</v>
      </c>
      <c r="D988" s="2" t="str">
        <f t="shared" si="15"/>
        <v>IPL-2011</v>
      </c>
      <c r="E988" s="2">
        <f>YEAR('IPL Info'!$F988)</f>
        <v>2011</v>
      </c>
      <c r="F988" s="3">
        <v>40645</v>
      </c>
      <c r="G988" s="2" t="s">
        <v>26</v>
      </c>
      <c r="H988" s="2" t="s">
        <v>18</v>
      </c>
      <c r="I988" s="2" t="s">
        <v>19</v>
      </c>
      <c r="J988" s="2" t="s">
        <v>20</v>
      </c>
      <c r="K988" s="2" t="s">
        <v>26</v>
      </c>
      <c r="L988" s="2" t="s">
        <v>1880</v>
      </c>
      <c r="M988" s="2" t="s">
        <v>1301</v>
      </c>
      <c r="N988" s="2" t="s">
        <v>1302</v>
      </c>
      <c r="O988" s="2" t="s">
        <v>2302</v>
      </c>
      <c r="P988" s="2" t="s">
        <v>2303</v>
      </c>
    </row>
    <row r="989" spans="1:16" ht="15.6" x14ac:dyDescent="0.3">
      <c r="A989" s="4">
        <v>501204</v>
      </c>
      <c r="B989" s="4" t="s">
        <v>77</v>
      </c>
      <c r="C989" s="4" t="s">
        <v>1182</v>
      </c>
      <c r="D989" s="4" t="str">
        <f t="shared" si="15"/>
        <v>IPL-2011</v>
      </c>
      <c r="E989" s="4">
        <f>YEAR('IPL Info'!$F989)</f>
        <v>2011</v>
      </c>
      <c r="F989" s="5">
        <v>40645</v>
      </c>
      <c r="G989" s="4" t="s">
        <v>1182</v>
      </c>
      <c r="H989" s="4" t="s">
        <v>31</v>
      </c>
      <c r="I989" s="4" t="s">
        <v>19</v>
      </c>
      <c r="J989" s="4" t="s">
        <v>20</v>
      </c>
      <c r="K989" s="4" t="s">
        <v>77</v>
      </c>
      <c r="L989" s="4" t="s">
        <v>2260</v>
      </c>
      <c r="M989" s="4" t="s">
        <v>1069</v>
      </c>
      <c r="N989" s="4" t="s">
        <v>48</v>
      </c>
      <c r="O989" s="4" t="s">
        <v>2304</v>
      </c>
      <c r="P989" s="4" t="s">
        <v>2305</v>
      </c>
    </row>
    <row r="990" spans="1:16" ht="15.6" x14ac:dyDescent="0.3">
      <c r="A990" s="2">
        <v>501203</v>
      </c>
      <c r="B990" s="2" t="s">
        <v>56</v>
      </c>
      <c r="C990" s="2" t="s">
        <v>1998</v>
      </c>
      <c r="D990" s="2" t="str">
        <f t="shared" si="15"/>
        <v>IPL-2011</v>
      </c>
      <c r="E990" s="2">
        <f>YEAR('IPL Info'!$F990)</f>
        <v>2011</v>
      </c>
      <c r="F990" s="3">
        <v>40644</v>
      </c>
      <c r="G990" s="2" t="s">
        <v>56</v>
      </c>
      <c r="H990" s="2" t="s">
        <v>31</v>
      </c>
      <c r="I990" s="2" t="s">
        <v>19</v>
      </c>
      <c r="J990" s="2" t="s">
        <v>20</v>
      </c>
      <c r="K990" s="2" t="s">
        <v>56</v>
      </c>
      <c r="L990" s="2" t="s">
        <v>1819</v>
      </c>
      <c r="M990" s="2" t="s">
        <v>1064</v>
      </c>
      <c r="N990" s="2" t="s">
        <v>98</v>
      </c>
      <c r="O990" s="2" t="s">
        <v>2306</v>
      </c>
      <c r="P990" s="2" t="s">
        <v>2307</v>
      </c>
    </row>
    <row r="991" spans="1:16" ht="15.6" x14ac:dyDescent="0.3">
      <c r="A991" s="4">
        <v>501202</v>
      </c>
      <c r="B991" s="4" t="s">
        <v>1833</v>
      </c>
      <c r="C991" s="4" t="s">
        <v>925</v>
      </c>
      <c r="D991" s="4" t="str">
        <f t="shared" si="15"/>
        <v>IPL-2011</v>
      </c>
      <c r="E991" s="4">
        <f>YEAR('IPL Info'!$F991)</f>
        <v>2011</v>
      </c>
      <c r="F991" s="5">
        <v>40643</v>
      </c>
      <c r="G991" s="4" t="s">
        <v>925</v>
      </c>
      <c r="H991" s="4" t="s">
        <v>31</v>
      </c>
      <c r="I991" s="4" t="s">
        <v>19</v>
      </c>
      <c r="J991" s="4" t="s">
        <v>20</v>
      </c>
      <c r="K991" s="4" t="s">
        <v>1833</v>
      </c>
      <c r="L991" s="4" t="s">
        <v>2308</v>
      </c>
      <c r="M991" s="4" t="s">
        <v>2173</v>
      </c>
      <c r="N991" s="4" t="s">
        <v>74</v>
      </c>
      <c r="O991" s="4" t="s">
        <v>2309</v>
      </c>
      <c r="P991" s="4" t="s">
        <v>2310</v>
      </c>
    </row>
    <row r="992" spans="1:16" ht="15.6" x14ac:dyDescent="0.3">
      <c r="A992" s="2">
        <v>501201</v>
      </c>
      <c r="B992" s="2" t="s">
        <v>1182</v>
      </c>
      <c r="C992" s="2" t="s">
        <v>26</v>
      </c>
      <c r="D992" s="2" t="str">
        <f t="shared" si="15"/>
        <v>IPL-2011</v>
      </c>
      <c r="E992" s="2">
        <f>YEAR('IPL Info'!$F992)</f>
        <v>2011</v>
      </c>
      <c r="F992" s="3">
        <v>40643</v>
      </c>
      <c r="G992" s="2" t="s">
        <v>1182</v>
      </c>
      <c r="H992" s="2" t="s">
        <v>31</v>
      </c>
      <c r="I992" s="2" t="s">
        <v>19</v>
      </c>
      <c r="J992" s="2" t="s">
        <v>20</v>
      </c>
      <c r="K992" s="2" t="s">
        <v>26</v>
      </c>
      <c r="L992" s="2" t="s">
        <v>1101</v>
      </c>
      <c r="M992" s="2" t="s">
        <v>1310</v>
      </c>
      <c r="N992" s="2" t="s">
        <v>59</v>
      </c>
      <c r="O992" s="2" t="s">
        <v>2311</v>
      </c>
      <c r="P992" s="2" t="s">
        <v>2303</v>
      </c>
    </row>
    <row r="993" spans="1:16" ht="15.6" x14ac:dyDescent="0.3">
      <c r="A993" s="4">
        <v>501200</v>
      </c>
      <c r="B993" s="4" t="s">
        <v>2176</v>
      </c>
      <c r="C993" s="4" t="s">
        <v>445</v>
      </c>
      <c r="D993" s="4" t="str">
        <f t="shared" si="15"/>
        <v>IPL-2011</v>
      </c>
      <c r="E993" s="4">
        <f>YEAR('IPL Info'!$F993)</f>
        <v>2011</v>
      </c>
      <c r="F993" s="5">
        <v>40642</v>
      </c>
      <c r="G993" s="4" t="s">
        <v>2176</v>
      </c>
      <c r="H993" s="4" t="s">
        <v>31</v>
      </c>
      <c r="I993" s="4" t="s">
        <v>19</v>
      </c>
      <c r="J993" s="4" t="s">
        <v>20</v>
      </c>
      <c r="K993" s="4" t="s">
        <v>445</v>
      </c>
      <c r="L993" s="4" t="s">
        <v>861</v>
      </c>
      <c r="M993" s="4" t="s">
        <v>2219</v>
      </c>
      <c r="N993" s="4" t="s">
        <v>2220</v>
      </c>
      <c r="O993" s="4" t="s">
        <v>2312</v>
      </c>
      <c r="P993" s="4" t="s">
        <v>2313</v>
      </c>
    </row>
    <row r="994" spans="1:16" ht="15.6" x14ac:dyDescent="0.3">
      <c r="A994" s="2">
        <v>501199</v>
      </c>
      <c r="B994" s="2" t="s">
        <v>1998</v>
      </c>
      <c r="C994" s="2" t="s">
        <v>77</v>
      </c>
      <c r="D994" s="2" t="str">
        <f t="shared" si="15"/>
        <v>IPL-2011</v>
      </c>
      <c r="E994" s="2">
        <f>YEAR('IPL Info'!$F994)</f>
        <v>2011</v>
      </c>
      <c r="F994" s="3">
        <v>40642</v>
      </c>
      <c r="G994" s="2" t="s">
        <v>77</v>
      </c>
      <c r="H994" s="2" t="s">
        <v>18</v>
      </c>
      <c r="I994" s="2" t="s">
        <v>19</v>
      </c>
      <c r="J994" s="2" t="s">
        <v>20</v>
      </c>
      <c r="K994" s="2" t="s">
        <v>77</v>
      </c>
      <c r="L994" s="2" t="s">
        <v>1971</v>
      </c>
      <c r="M994" s="2" t="s">
        <v>1298</v>
      </c>
      <c r="N994" s="2" t="s">
        <v>105</v>
      </c>
      <c r="O994" s="2" t="s">
        <v>2314</v>
      </c>
      <c r="P994" s="2" t="s">
        <v>2315</v>
      </c>
    </row>
    <row r="995" spans="1:16" ht="15.6" x14ac:dyDescent="0.3">
      <c r="A995" s="4">
        <v>501198</v>
      </c>
      <c r="B995" s="4" t="s">
        <v>51</v>
      </c>
      <c r="C995" s="4" t="s">
        <v>56</v>
      </c>
      <c r="D995" s="4" t="str">
        <f t="shared" si="15"/>
        <v>IPL-2011</v>
      </c>
      <c r="E995" s="4">
        <f>YEAR('IPL Info'!$F995)</f>
        <v>2011</v>
      </c>
      <c r="F995" s="5">
        <v>40641</v>
      </c>
      <c r="G995" s="4" t="s">
        <v>51</v>
      </c>
      <c r="H995" s="4" t="s">
        <v>31</v>
      </c>
      <c r="I995" s="4" t="s">
        <v>19</v>
      </c>
      <c r="J995" s="4" t="s">
        <v>20</v>
      </c>
      <c r="K995" s="4" t="s">
        <v>51</v>
      </c>
      <c r="L995" s="4" t="s">
        <v>2316</v>
      </c>
      <c r="M995" s="4" t="s">
        <v>1598</v>
      </c>
      <c r="N995" s="4" t="s">
        <v>126</v>
      </c>
      <c r="O995" s="4" t="s">
        <v>2317</v>
      </c>
      <c r="P995" s="4" t="s">
        <v>2318</v>
      </c>
    </row>
    <row r="996" spans="1:16" ht="15.6" x14ac:dyDescent="0.3">
      <c r="A996" s="2">
        <v>419165</v>
      </c>
      <c r="B996" s="2" t="s">
        <v>51</v>
      </c>
      <c r="C996" s="2" t="s">
        <v>26</v>
      </c>
      <c r="D996" s="2" t="str">
        <f t="shared" si="15"/>
        <v>IPL-2010</v>
      </c>
      <c r="E996" s="2">
        <f>YEAR('IPL Info'!$F996)</f>
        <v>2010</v>
      </c>
      <c r="F996" s="3">
        <v>40293</v>
      </c>
      <c r="G996" s="2" t="s">
        <v>51</v>
      </c>
      <c r="H996" s="2" t="s">
        <v>31</v>
      </c>
      <c r="I996" s="2" t="s">
        <v>19</v>
      </c>
      <c r="J996" s="2" t="s">
        <v>20</v>
      </c>
      <c r="K996" s="2" t="s">
        <v>51</v>
      </c>
      <c r="L996" s="2" t="s">
        <v>1386</v>
      </c>
      <c r="M996" s="2" t="s">
        <v>2173</v>
      </c>
      <c r="N996" s="2" t="s">
        <v>74</v>
      </c>
      <c r="O996" s="2" t="s">
        <v>2319</v>
      </c>
      <c r="P996" s="2" t="s">
        <v>2320</v>
      </c>
    </row>
    <row r="997" spans="1:16" ht="15.6" x14ac:dyDescent="0.3">
      <c r="A997" s="4">
        <v>419164</v>
      </c>
      <c r="B997" s="4" t="s">
        <v>445</v>
      </c>
      <c r="C997" s="4" t="s">
        <v>1998</v>
      </c>
      <c r="D997" s="4" t="str">
        <f t="shared" si="15"/>
        <v>IPL-2010</v>
      </c>
      <c r="E997" s="4">
        <f>YEAR('IPL Info'!$F997)</f>
        <v>2010</v>
      </c>
      <c r="F997" s="5">
        <v>40292</v>
      </c>
      <c r="G997" s="4" t="s">
        <v>1998</v>
      </c>
      <c r="H997" s="4" t="s">
        <v>31</v>
      </c>
      <c r="I997" s="4" t="s">
        <v>19</v>
      </c>
      <c r="J997" s="4" t="s">
        <v>20</v>
      </c>
      <c r="K997" s="4" t="s">
        <v>445</v>
      </c>
      <c r="L997" s="4" t="s">
        <v>2321</v>
      </c>
      <c r="M997" s="4" t="s">
        <v>2173</v>
      </c>
      <c r="N997" s="4" t="s">
        <v>74</v>
      </c>
      <c r="O997" s="4" t="s">
        <v>2322</v>
      </c>
      <c r="P997" s="4" t="s">
        <v>2323</v>
      </c>
    </row>
    <row r="998" spans="1:16" ht="15.6" x14ac:dyDescent="0.3">
      <c r="A998" s="2">
        <v>419163</v>
      </c>
      <c r="B998" s="2" t="s">
        <v>51</v>
      </c>
      <c r="C998" s="2" t="s">
        <v>1998</v>
      </c>
      <c r="D998" s="2" t="str">
        <f t="shared" si="15"/>
        <v>IPL-2010</v>
      </c>
      <c r="E998" s="2">
        <f>YEAR('IPL Info'!$F998)</f>
        <v>2010</v>
      </c>
      <c r="F998" s="3">
        <v>40290</v>
      </c>
      <c r="G998" s="2" t="s">
        <v>51</v>
      </c>
      <c r="H998" s="2" t="s">
        <v>31</v>
      </c>
      <c r="I998" s="2" t="s">
        <v>19</v>
      </c>
      <c r="J998" s="2" t="s">
        <v>20</v>
      </c>
      <c r="K998" s="2" t="s">
        <v>51</v>
      </c>
      <c r="L998" s="2" t="s">
        <v>2254</v>
      </c>
      <c r="M998" s="2" t="s">
        <v>2173</v>
      </c>
      <c r="N998" s="2" t="s">
        <v>74</v>
      </c>
      <c r="O998" s="2" t="s">
        <v>2319</v>
      </c>
      <c r="P998" s="2" t="s">
        <v>2324</v>
      </c>
    </row>
    <row r="999" spans="1:16" ht="15.6" x14ac:dyDescent="0.3">
      <c r="A999" s="4">
        <v>419162</v>
      </c>
      <c r="B999" s="4" t="s">
        <v>445</v>
      </c>
      <c r="C999" s="4" t="s">
        <v>26</v>
      </c>
      <c r="D999" s="4" t="str">
        <f t="shared" ref="D999:D1062" si="16">_xlfn.SINGLE(_xlfn.CONCAT("IPL-",E999))</f>
        <v>IPL-2010</v>
      </c>
      <c r="E999" s="4">
        <f>YEAR('IPL Info'!$F999)</f>
        <v>2010</v>
      </c>
      <c r="F999" s="5">
        <v>40289</v>
      </c>
      <c r="G999" s="4" t="s">
        <v>26</v>
      </c>
      <c r="H999" s="4" t="s">
        <v>31</v>
      </c>
      <c r="I999" s="4" t="s">
        <v>19</v>
      </c>
      <c r="J999" s="4" t="s">
        <v>20</v>
      </c>
      <c r="K999" s="4" t="s">
        <v>26</v>
      </c>
      <c r="L999" s="4" t="s">
        <v>819</v>
      </c>
      <c r="M999" s="4" t="s">
        <v>2173</v>
      </c>
      <c r="N999" s="4" t="s">
        <v>74</v>
      </c>
      <c r="O999" s="4" t="s">
        <v>2325</v>
      </c>
      <c r="P999" s="4" t="s">
        <v>2326</v>
      </c>
    </row>
    <row r="1000" spans="1:16" ht="15.6" x14ac:dyDescent="0.3">
      <c r="A1000" s="2">
        <v>419161</v>
      </c>
      <c r="B1000" s="2" t="s">
        <v>56</v>
      </c>
      <c r="C1000" s="2" t="s">
        <v>26</v>
      </c>
      <c r="D1000" s="2" t="str">
        <f t="shared" si="16"/>
        <v>IPL-2010</v>
      </c>
      <c r="E1000" s="2">
        <f>YEAR('IPL Info'!$F1000)</f>
        <v>2010</v>
      </c>
      <c r="F1000" s="3">
        <v>40287</v>
      </c>
      <c r="G1000" s="2" t="s">
        <v>26</v>
      </c>
      <c r="H1000" s="2" t="s">
        <v>31</v>
      </c>
      <c r="I1000" s="2" t="s">
        <v>19</v>
      </c>
      <c r="J1000" s="2" t="s">
        <v>20</v>
      </c>
      <c r="K1000" s="2" t="s">
        <v>56</v>
      </c>
      <c r="L1000" s="2" t="s">
        <v>2327</v>
      </c>
      <c r="M1000" s="2" t="s">
        <v>1064</v>
      </c>
      <c r="N1000" s="2" t="s">
        <v>98</v>
      </c>
      <c r="O1000" s="2" t="s">
        <v>2328</v>
      </c>
      <c r="P1000" s="2" t="s">
        <v>2329</v>
      </c>
    </row>
    <row r="1001" spans="1:16" ht="15.6" x14ac:dyDescent="0.3">
      <c r="A1001" s="4">
        <v>419160</v>
      </c>
      <c r="B1001" s="4" t="s">
        <v>1182</v>
      </c>
      <c r="C1001" s="4" t="s">
        <v>1998</v>
      </c>
      <c r="D1001" s="4" t="str">
        <f t="shared" si="16"/>
        <v>IPL-2010</v>
      </c>
      <c r="E1001" s="4">
        <f>YEAR('IPL Info'!$F1001)</f>
        <v>2010</v>
      </c>
      <c r="F1001" s="5">
        <v>40286</v>
      </c>
      <c r="G1001" s="4" t="s">
        <v>1998</v>
      </c>
      <c r="H1001" s="4" t="s">
        <v>31</v>
      </c>
      <c r="I1001" s="4" t="s">
        <v>19</v>
      </c>
      <c r="J1001" s="4" t="s">
        <v>20</v>
      </c>
      <c r="K1001" s="4" t="s">
        <v>1998</v>
      </c>
      <c r="L1001" s="4" t="s">
        <v>2330</v>
      </c>
      <c r="M1001" s="4" t="s">
        <v>1310</v>
      </c>
      <c r="N1001" s="4" t="s">
        <v>59</v>
      </c>
      <c r="O1001" s="4" t="s">
        <v>2331</v>
      </c>
      <c r="P1001" s="4" t="s">
        <v>2332</v>
      </c>
    </row>
    <row r="1002" spans="1:16" ht="15.6" x14ac:dyDescent="0.3">
      <c r="A1002" s="2">
        <v>419159</v>
      </c>
      <c r="B1002" s="2" t="s">
        <v>925</v>
      </c>
      <c r="C1002" s="2" t="s">
        <v>51</v>
      </c>
      <c r="D1002" s="2" t="str">
        <f t="shared" si="16"/>
        <v>IPL-2010</v>
      </c>
      <c r="E1002" s="2">
        <f>YEAR('IPL Info'!$F1002)</f>
        <v>2010</v>
      </c>
      <c r="F1002" s="3">
        <v>40286</v>
      </c>
      <c r="G1002" s="2" t="s">
        <v>51</v>
      </c>
      <c r="H1002" s="2" t="s">
        <v>18</v>
      </c>
      <c r="I1002" s="2" t="s">
        <v>19</v>
      </c>
      <c r="J1002" s="2" t="s">
        <v>20</v>
      </c>
      <c r="K1002" s="2" t="s">
        <v>51</v>
      </c>
      <c r="L1002" s="2" t="s">
        <v>180</v>
      </c>
      <c r="M1002" s="2" t="s">
        <v>1841</v>
      </c>
      <c r="N1002" s="2" t="s">
        <v>93</v>
      </c>
      <c r="O1002" s="2" t="s">
        <v>2333</v>
      </c>
      <c r="P1002" s="2" t="s">
        <v>2334</v>
      </c>
    </row>
    <row r="1003" spans="1:16" ht="15.6" x14ac:dyDescent="0.3">
      <c r="A1003" s="4">
        <v>419157</v>
      </c>
      <c r="B1003" s="4" t="s">
        <v>445</v>
      </c>
      <c r="C1003" s="4" t="s">
        <v>26</v>
      </c>
      <c r="D1003" s="4" t="str">
        <f t="shared" si="16"/>
        <v>IPL-2010</v>
      </c>
      <c r="E1003" s="4">
        <f>YEAR('IPL Info'!$F1003)</f>
        <v>2010</v>
      </c>
      <c r="F1003" s="5">
        <v>40285</v>
      </c>
      <c r="G1003" s="4" t="s">
        <v>445</v>
      </c>
      <c r="H1003" s="4" t="s">
        <v>18</v>
      </c>
      <c r="I1003" s="4" t="s">
        <v>19</v>
      </c>
      <c r="J1003" s="4" t="s">
        <v>20</v>
      </c>
      <c r="K1003" s="4" t="s">
        <v>26</v>
      </c>
      <c r="L1003" s="4" t="s">
        <v>2335</v>
      </c>
      <c r="M1003" s="4" t="s">
        <v>1301</v>
      </c>
      <c r="N1003" s="4" t="s">
        <v>1302</v>
      </c>
      <c r="O1003" s="4" t="s">
        <v>2336</v>
      </c>
      <c r="P1003" s="4" t="s">
        <v>2337</v>
      </c>
    </row>
    <row r="1004" spans="1:16" ht="15.6" x14ac:dyDescent="0.3">
      <c r="A1004" s="2">
        <v>419158</v>
      </c>
      <c r="B1004" s="2" t="s">
        <v>56</v>
      </c>
      <c r="C1004" s="2" t="s">
        <v>77</v>
      </c>
      <c r="D1004" s="2" t="str">
        <f t="shared" si="16"/>
        <v>IPL-2010</v>
      </c>
      <c r="E1004" s="2">
        <f>YEAR('IPL Info'!$F1004)</f>
        <v>2010</v>
      </c>
      <c r="F1004" s="3">
        <v>40285</v>
      </c>
      <c r="G1004" s="2" t="s">
        <v>77</v>
      </c>
      <c r="H1004" s="2" t="s">
        <v>31</v>
      </c>
      <c r="I1004" s="2" t="s">
        <v>19</v>
      </c>
      <c r="J1004" s="2" t="s">
        <v>20</v>
      </c>
      <c r="K1004" s="2" t="s">
        <v>56</v>
      </c>
      <c r="L1004" s="2" t="s">
        <v>896</v>
      </c>
      <c r="M1004" s="2" t="s">
        <v>1064</v>
      </c>
      <c r="N1004" s="2" t="s">
        <v>98</v>
      </c>
      <c r="O1004" s="2" t="s">
        <v>2338</v>
      </c>
      <c r="P1004" s="2" t="s">
        <v>2339</v>
      </c>
    </row>
    <row r="1005" spans="1:16" ht="15.6" x14ac:dyDescent="0.3">
      <c r="A1005" s="4">
        <v>419156</v>
      </c>
      <c r="B1005" s="4" t="s">
        <v>925</v>
      </c>
      <c r="C1005" s="4" t="s">
        <v>1998</v>
      </c>
      <c r="D1005" s="4" t="str">
        <f t="shared" si="16"/>
        <v>IPL-2010</v>
      </c>
      <c r="E1005" s="4">
        <f>YEAR('IPL Info'!$F1005)</f>
        <v>2010</v>
      </c>
      <c r="F1005" s="5">
        <v>40284</v>
      </c>
      <c r="G1005" s="4" t="s">
        <v>1998</v>
      </c>
      <c r="H1005" s="4" t="s">
        <v>18</v>
      </c>
      <c r="I1005" s="4" t="s">
        <v>19</v>
      </c>
      <c r="J1005" s="4" t="s">
        <v>20</v>
      </c>
      <c r="K1005" s="4" t="s">
        <v>1998</v>
      </c>
      <c r="L1005" s="4" t="s">
        <v>32</v>
      </c>
      <c r="M1005" s="4" t="s">
        <v>1841</v>
      </c>
      <c r="N1005" s="4" t="s">
        <v>93</v>
      </c>
      <c r="O1005" s="4" t="s">
        <v>2340</v>
      </c>
      <c r="P1005" s="4" t="s">
        <v>2341</v>
      </c>
    </row>
    <row r="1006" spans="1:16" ht="15.6" x14ac:dyDescent="0.3">
      <c r="A1006" s="2">
        <v>419155</v>
      </c>
      <c r="B1006" s="2" t="s">
        <v>51</v>
      </c>
      <c r="C1006" s="2" t="s">
        <v>1182</v>
      </c>
      <c r="D1006" s="2" t="str">
        <f t="shared" si="16"/>
        <v>IPL-2010</v>
      </c>
      <c r="E1006" s="2">
        <f>YEAR('IPL Info'!$F1006)</f>
        <v>2010</v>
      </c>
      <c r="F1006" s="3">
        <v>40283</v>
      </c>
      <c r="G1006" s="2" t="s">
        <v>51</v>
      </c>
      <c r="H1006" s="2" t="s">
        <v>31</v>
      </c>
      <c r="I1006" s="2" t="s">
        <v>19</v>
      </c>
      <c r="J1006" s="2" t="s">
        <v>20</v>
      </c>
      <c r="K1006" s="2" t="s">
        <v>1182</v>
      </c>
      <c r="L1006" s="2" t="s">
        <v>1364</v>
      </c>
      <c r="M1006" s="2" t="s">
        <v>1598</v>
      </c>
      <c r="N1006" s="2" t="s">
        <v>126</v>
      </c>
      <c r="O1006" s="2" t="s">
        <v>2342</v>
      </c>
      <c r="P1006" s="2" t="s">
        <v>2343</v>
      </c>
    </row>
    <row r="1007" spans="1:16" ht="15.6" x14ac:dyDescent="0.3">
      <c r="A1007" s="4">
        <v>419154</v>
      </c>
      <c r="B1007" s="4" t="s">
        <v>77</v>
      </c>
      <c r="C1007" s="4" t="s">
        <v>445</v>
      </c>
      <c r="D1007" s="4" t="str">
        <f t="shared" si="16"/>
        <v>IPL-2010</v>
      </c>
      <c r="E1007" s="4">
        <f>YEAR('IPL Info'!$F1007)</f>
        <v>2010</v>
      </c>
      <c r="F1007" s="5">
        <v>40282</v>
      </c>
      <c r="G1007" s="4" t="s">
        <v>77</v>
      </c>
      <c r="H1007" s="4" t="s">
        <v>31</v>
      </c>
      <c r="I1007" s="4" t="s">
        <v>19</v>
      </c>
      <c r="J1007" s="4" t="s">
        <v>20</v>
      </c>
      <c r="K1007" s="4" t="s">
        <v>445</v>
      </c>
      <c r="L1007" s="4" t="s">
        <v>2098</v>
      </c>
      <c r="M1007" s="4" t="s">
        <v>1069</v>
      </c>
      <c r="N1007" s="4" t="s">
        <v>48</v>
      </c>
      <c r="O1007" s="4" t="s">
        <v>2344</v>
      </c>
      <c r="P1007" s="4" t="s">
        <v>2345</v>
      </c>
    </row>
    <row r="1008" spans="1:16" ht="15.6" x14ac:dyDescent="0.3">
      <c r="A1008" s="2">
        <v>419152</v>
      </c>
      <c r="B1008" s="2" t="s">
        <v>26</v>
      </c>
      <c r="C1008" s="2" t="s">
        <v>1182</v>
      </c>
      <c r="D1008" s="2" t="str">
        <f t="shared" si="16"/>
        <v>IPL-2010</v>
      </c>
      <c r="E1008" s="2">
        <f>YEAR('IPL Info'!$F1008)</f>
        <v>2010</v>
      </c>
      <c r="F1008" s="3">
        <v>40281</v>
      </c>
      <c r="G1008" s="2" t="s">
        <v>26</v>
      </c>
      <c r="H1008" s="2" t="s">
        <v>31</v>
      </c>
      <c r="I1008" s="2" t="s">
        <v>19</v>
      </c>
      <c r="J1008" s="2" t="s">
        <v>20</v>
      </c>
      <c r="K1008" s="2" t="s">
        <v>26</v>
      </c>
      <c r="L1008" s="2" t="s">
        <v>819</v>
      </c>
      <c r="M1008" s="2" t="s">
        <v>1583</v>
      </c>
      <c r="N1008" s="2" t="s">
        <v>74</v>
      </c>
      <c r="O1008" s="2" t="s">
        <v>2346</v>
      </c>
      <c r="P1008" s="2" t="s">
        <v>2347</v>
      </c>
    </row>
    <row r="1009" spans="1:16" ht="15.6" x14ac:dyDescent="0.3">
      <c r="A1009" s="4">
        <v>419153</v>
      </c>
      <c r="B1009" s="4" t="s">
        <v>51</v>
      </c>
      <c r="C1009" s="4" t="s">
        <v>56</v>
      </c>
      <c r="D1009" s="4" t="str">
        <f t="shared" si="16"/>
        <v>IPL-2010</v>
      </c>
      <c r="E1009" s="4">
        <f>YEAR('IPL Info'!$F1009)</f>
        <v>2010</v>
      </c>
      <c r="F1009" s="5">
        <v>40281</v>
      </c>
      <c r="G1009" s="4" t="s">
        <v>56</v>
      </c>
      <c r="H1009" s="4" t="s">
        <v>31</v>
      </c>
      <c r="I1009" s="4" t="s">
        <v>19</v>
      </c>
      <c r="J1009" s="4" t="s">
        <v>20</v>
      </c>
      <c r="K1009" s="4" t="s">
        <v>51</v>
      </c>
      <c r="L1009" s="4" t="s">
        <v>265</v>
      </c>
      <c r="M1009" s="4" t="s">
        <v>1598</v>
      </c>
      <c r="N1009" s="4" t="s">
        <v>126</v>
      </c>
      <c r="O1009" s="4" t="s">
        <v>2348</v>
      </c>
      <c r="P1009" s="4" t="s">
        <v>2349</v>
      </c>
    </row>
    <row r="1010" spans="1:16" ht="15.6" x14ac:dyDescent="0.3">
      <c r="A1010" s="2">
        <v>419151</v>
      </c>
      <c r="B1010" s="2" t="s">
        <v>1998</v>
      </c>
      <c r="C1010" s="2" t="s">
        <v>445</v>
      </c>
      <c r="D1010" s="2" t="str">
        <f t="shared" si="16"/>
        <v>IPL-2010</v>
      </c>
      <c r="E1010" s="2">
        <f>YEAR('IPL Info'!$F1010)</f>
        <v>2010</v>
      </c>
      <c r="F1010" s="3">
        <v>40280</v>
      </c>
      <c r="G1010" s="2" t="s">
        <v>445</v>
      </c>
      <c r="H1010" s="2" t="s">
        <v>18</v>
      </c>
      <c r="I1010" s="2" t="s">
        <v>19</v>
      </c>
      <c r="J1010" s="2" t="s">
        <v>20</v>
      </c>
      <c r="K1010" s="2" t="s">
        <v>1998</v>
      </c>
      <c r="L1010" s="2" t="s">
        <v>1922</v>
      </c>
      <c r="M1010" s="2" t="s">
        <v>2350</v>
      </c>
      <c r="N1010" s="2" t="s">
        <v>2351</v>
      </c>
      <c r="O1010" s="2" t="s">
        <v>2352</v>
      </c>
      <c r="P1010" s="2" t="s">
        <v>2353</v>
      </c>
    </row>
    <row r="1011" spans="1:16" ht="15.6" x14ac:dyDescent="0.3">
      <c r="A1011" s="4">
        <v>419149</v>
      </c>
      <c r="B1011" s="4" t="s">
        <v>1182</v>
      </c>
      <c r="C1011" s="4" t="s">
        <v>925</v>
      </c>
      <c r="D1011" s="4" t="str">
        <f t="shared" si="16"/>
        <v>IPL-2010</v>
      </c>
      <c r="E1011" s="4">
        <f>YEAR('IPL Info'!$F1011)</f>
        <v>2010</v>
      </c>
      <c r="F1011" s="5">
        <v>40279</v>
      </c>
      <c r="G1011" s="4" t="s">
        <v>1182</v>
      </c>
      <c r="H1011" s="4" t="s">
        <v>31</v>
      </c>
      <c r="I1011" s="4" t="s">
        <v>19</v>
      </c>
      <c r="J1011" s="4" t="s">
        <v>20</v>
      </c>
      <c r="K1011" s="4" t="s">
        <v>925</v>
      </c>
      <c r="L1011" s="4" t="s">
        <v>1607</v>
      </c>
      <c r="M1011" s="4" t="s">
        <v>1310</v>
      </c>
      <c r="N1011" s="4" t="s">
        <v>59</v>
      </c>
      <c r="O1011" s="4" t="s">
        <v>2354</v>
      </c>
      <c r="P1011" s="4" t="s">
        <v>2355</v>
      </c>
    </row>
    <row r="1012" spans="1:16" ht="15.6" x14ac:dyDescent="0.3">
      <c r="A1012" s="2">
        <v>419150</v>
      </c>
      <c r="B1012" s="2" t="s">
        <v>77</v>
      </c>
      <c r="C1012" s="2" t="s">
        <v>26</v>
      </c>
      <c r="D1012" s="2" t="str">
        <f t="shared" si="16"/>
        <v>IPL-2010</v>
      </c>
      <c r="E1012" s="2">
        <f>YEAR('IPL Info'!$F1012)</f>
        <v>2010</v>
      </c>
      <c r="F1012" s="3">
        <v>40279</v>
      </c>
      <c r="G1012" s="2" t="s">
        <v>77</v>
      </c>
      <c r="H1012" s="2" t="s">
        <v>18</v>
      </c>
      <c r="I1012" s="2" t="s">
        <v>19</v>
      </c>
      <c r="J1012" s="2" t="s">
        <v>20</v>
      </c>
      <c r="K1012" s="2" t="s">
        <v>26</v>
      </c>
      <c r="L1012" s="2" t="s">
        <v>1880</v>
      </c>
      <c r="M1012" s="2" t="s">
        <v>1069</v>
      </c>
      <c r="N1012" s="2" t="s">
        <v>48</v>
      </c>
      <c r="O1012" s="2" t="s">
        <v>2356</v>
      </c>
      <c r="P1012" s="2" t="s">
        <v>2357</v>
      </c>
    </row>
    <row r="1013" spans="1:16" ht="15.6" x14ac:dyDescent="0.3">
      <c r="A1013" s="4">
        <v>419147</v>
      </c>
      <c r="B1013" s="4" t="s">
        <v>1998</v>
      </c>
      <c r="C1013" s="4" t="s">
        <v>51</v>
      </c>
      <c r="D1013" s="4" t="str">
        <f t="shared" si="16"/>
        <v>IPL-2010</v>
      </c>
      <c r="E1013" s="4">
        <f>YEAR('IPL Info'!$F1013)</f>
        <v>2010</v>
      </c>
      <c r="F1013" s="5">
        <v>40278</v>
      </c>
      <c r="G1013" s="4" t="s">
        <v>51</v>
      </c>
      <c r="H1013" s="4" t="s">
        <v>31</v>
      </c>
      <c r="I1013" s="4" t="s">
        <v>19</v>
      </c>
      <c r="J1013" s="4" t="s">
        <v>20</v>
      </c>
      <c r="K1013" s="4" t="s">
        <v>1998</v>
      </c>
      <c r="L1013" s="4" t="s">
        <v>2358</v>
      </c>
      <c r="M1013" s="4" t="s">
        <v>2350</v>
      </c>
      <c r="N1013" s="4" t="s">
        <v>2351</v>
      </c>
      <c r="O1013" s="4" t="s">
        <v>2359</v>
      </c>
      <c r="P1013" s="4" t="s">
        <v>2360</v>
      </c>
    </row>
    <row r="1014" spans="1:16" ht="15.6" x14ac:dyDescent="0.3">
      <c r="A1014" s="2">
        <v>419148</v>
      </c>
      <c r="B1014" s="2" t="s">
        <v>445</v>
      </c>
      <c r="C1014" s="2" t="s">
        <v>56</v>
      </c>
      <c r="D1014" s="2" t="str">
        <f t="shared" si="16"/>
        <v>IPL-2010</v>
      </c>
      <c r="E1014" s="2">
        <f>YEAR('IPL Info'!$F1014)</f>
        <v>2010</v>
      </c>
      <c r="F1014" s="3">
        <v>40278</v>
      </c>
      <c r="G1014" s="2" t="s">
        <v>445</v>
      </c>
      <c r="H1014" s="2" t="s">
        <v>18</v>
      </c>
      <c r="I1014" s="2" t="s">
        <v>19</v>
      </c>
      <c r="J1014" s="2" t="s">
        <v>20</v>
      </c>
      <c r="K1014" s="2" t="s">
        <v>445</v>
      </c>
      <c r="L1014" s="2" t="s">
        <v>1933</v>
      </c>
      <c r="M1014" s="2" t="s">
        <v>1301</v>
      </c>
      <c r="N1014" s="2" t="s">
        <v>1302</v>
      </c>
      <c r="O1014" s="2" t="s">
        <v>2361</v>
      </c>
      <c r="P1014" s="2" t="s">
        <v>2362</v>
      </c>
    </row>
    <row r="1015" spans="1:16" ht="15.6" x14ac:dyDescent="0.3">
      <c r="A1015" s="4">
        <v>419146</v>
      </c>
      <c r="B1015" s="4" t="s">
        <v>925</v>
      </c>
      <c r="C1015" s="4" t="s">
        <v>26</v>
      </c>
      <c r="D1015" s="4" t="str">
        <f t="shared" si="16"/>
        <v>IPL-2010</v>
      </c>
      <c r="E1015" s="4">
        <f>YEAR('IPL Info'!$F1015)</f>
        <v>2010</v>
      </c>
      <c r="F1015" s="5">
        <v>40277</v>
      </c>
      <c r="G1015" s="4" t="s">
        <v>26</v>
      </c>
      <c r="H1015" s="4" t="s">
        <v>31</v>
      </c>
      <c r="I1015" s="4" t="s">
        <v>19</v>
      </c>
      <c r="J1015" s="4" t="s">
        <v>20</v>
      </c>
      <c r="K1015" s="4" t="s">
        <v>925</v>
      </c>
      <c r="L1015" s="4" t="s">
        <v>2062</v>
      </c>
      <c r="M1015" s="4" t="s">
        <v>1580</v>
      </c>
      <c r="N1015" s="4" t="s">
        <v>502</v>
      </c>
      <c r="O1015" s="4" t="s">
        <v>2363</v>
      </c>
      <c r="P1015" s="4" t="s">
        <v>2364</v>
      </c>
    </row>
    <row r="1016" spans="1:16" ht="15.6" x14ac:dyDescent="0.3">
      <c r="A1016" s="2">
        <v>419145</v>
      </c>
      <c r="B1016" s="2" t="s">
        <v>445</v>
      </c>
      <c r="C1016" s="2" t="s">
        <v>1998</v>
      </c>
      <c r="D1016" s="2" t="str">
        <f t="shared" si="16"/>
        <v>IPL-2010</v>
      </c>
      <c r="E1016" s="2">
        <f>YEAR('IPL Info'!$F1016)</f>
        <v>2010</v>
      </c>
      <c r="F1016" s="3">
        <v>40276</v>
      </c>
      <c r="G1016" s="2" t="s">
        <v>1998</v>
      </c>
      <c r="H1016" s="2" t="s">
        <v>18</v>
      </c>
      <c r="I1016" s="2" t="s">
        <v>19</v>
      </c>
      <c r="J1016" s="2" t="s">
        <v>20</v>
      </c>
      <c r="K1016" s="2" t="s">
        <v>1998</v>
      </c>
      <c r="L1016" s="2" t="s">
        <v>2365</v>
      </c>
      <c r="M1016" s="2" t="s">
        <v>1301</v>
      </c>
      <c r="N1016" s="2" t="s">
        <v>1302</v>
      </c>
      <c r="O1016" s="2" t="s">
        <v>2366</v>
      </c>
      <c r="P1016" s="2" t="s">
        <v>2367</v>
      </c>
    </row>
    <row r="1017" spans="1:16" ht="15.6" x14ac:dyDescent="0.3">
      <c r="A1017" s="4">
        <v>419143</v>
      </c>
      <c r="B1017" s="4" t="s">
        <v>77</v>
      </c>
      <c r="C1017" s="4" t="s">
        <v>925</v>
      </c>
      <c r="D1017" s="4" t="str">
        <f t="shared" si="16"/>
        <v>IPL-2010</v>
      </c>
      <c r="E1017" s="4">
        <f>YEAR('IPL Info'!$F1017)</f>
        <v>2010</v>
      </c>
      <c r="F1017" s="5">
        <v>40275</v>
      </c>
      <c r="G1017" s="4" t="s">
        <v>925</v>
      </c>
      <c r="H1017" s="4" t="s">
        <v>31</v>
      </c>
      <c r="I1017" s="4" t="s">
        <v>19</v>
      </c>
      <c r="J1017" s="4" t="s">
        <v>20</v>
      </c>
      <c r="K1017" s="4" t="s">
        <v>77</v>
      </c>
      <c r="L1017" s="4" t="s">
        <v>2368</v>
      </c>
      <c r="M1017" s="4" t="s">
        <v>1069</v>
      </c>
      <c r="N1017" s="4" t="s">
        <v>48</v>
      </c>
      <c r="O1017" s="4" t="s">
        <v>2369</v>
      </c>
      <c r="P1017" s="4" t="s">
        <v>2370</v>
      </c>
    </row>
    <row r="1018" spans="1:16" ht="15.6" x14ac:dyDescent="0.3">
      <c r="A1018" s="2">
        <v>419144</v>
      </c>
      <c r="B1018" s="2" t="s">
        <v>56</v>
      </c>
      <c r="C1018" s="2" t="s">
        <v>1182</v>
      </c>
      <c r="D1018" s="2" t="str">
        <f t="shared" si="16"/>
        <v>IPL-2010</v>
      </c>
      <c r="E1018" s="2">
        <f>YEAR('IPL Info'!$F1018)</f>
        <v>2010</v>
      </c>
      <c r="F1018" s="3">
        <v>40275</v>
      </c>
      <c r="G1018" s="2" t="s">
        <v>56</v>
      </c>
      <c r="H1018" s="2" t="s">
        <v>31</v>
      </c>
      <c r="I1018" s="2" t="s">
        <v>19</v>
      </c>
      <c r="J1018" s="2" t="s">
        <v>20</v>
      </c>
      <c r="K1018" s="2" t="s">
        <v>56</v>
      </c>
      <c r="L1018" s="2" t="s">
        <v>2091</v>
      </c>
      <c r="M1018" s="2" t="s">
        <v>1064</v>
      </c>
      <c r="N1018" s="2" t="s">
        <v>98</v>
      </c>
      <c r="O1018" s="2" t="s">
        <v>2371</v>
      </c>
      <c r="P1018" s="2" t="s">
        <v>2372</v>
      </c>
    </row>
    <row r="1019" spans="1:16" ht="15.6" x14ac:dyDescent="0.3">
      <c r="A1019" s="4">
        <v>419142</v>
      </c>
      <c r="B1019" s="4" t="s">
        <v>51</v>
      </c>
      <c r="C1019" s="4" t="s">
        <v>26</v>
      </c>
      <c r="D1019" s="4" t="str">
        <f t="shared" si="16"/>
        <v>IPL-2010</v>
      </c>
      <c r="E1019" s="4">
        <f>YEAR('IPL Info'!$F1019)</f>
        <v>2010</v>
      </c>
      <c r="F1019" s="5">
        <v>40274</v>
      </c>
      <c r="G1019" s="4" t="s">
        <v>51</v>
      </c>
      <c r="H1019" s="4" t="s">
        <v>31</v>
      </c>
      <c r="I1019" s="4" t="s">
        <v>19</v>
      </c>
      <c r="J1019" s="4" t="s">
        <v>20</v>
      </c>
      <c r="K1019" s="4" t="s">
        <v>51</v>
      </c>
      <c r="L1019" s="4" t="s">
        <v>1386</v>
      </c>
      <c r="M1019" s="4" t="s">
        <v>1598</v>
      </c>
      <c r="N1019" s="4" t="s">
        <v>126</v>
      </c>
      <c r="O1019" s="4" t="s">
        <v>2373</v>
      </c>
      <c r="P1019" s="4" t="s">
        <v>2374</v>
      </c>
    </row>
    <row r="1020" spans="1:16" ht="15.6" x14ac:dyDescent="0.3">
      <c r="A1020" s="2">
        <v>419141</v>
      </c>
      <c r="B1020" s="2" t="s">
        <v>1998</v>
      </c>
      <c r="C1020" s="2" t="s">
        <v>77</v>
      </c>
      <c r="D1020" s="2" t="str">
        <f t="shared" si="16"/>
        <v>IPL-2010</v>
      </c>
      <c r="E1020" s="2">
        <f>YEAR('IPL Info'!$F1020)</f>
        <v>2010</v>
      </c>
      <c r="F1020" s="3">
        <v>40273</v>
      </c>
      <c r="G1020" s="2" t="s">
        <v>77</v>
      </c>
      <c r="H1020" s="2" t="s">
        <v>31</v>
      </c>
      <c r="I1020" s="2" t="s">
        <v>19</v>
      </c>
      <c r="J1020" s="2" t="s">
        <v>20</v>
      </c>
      <c r="K1020" s="2" t="s">
        <v>77</v>
      </c>
      <c r="L1020" s="2" t="s">
        <v>2260</v>
      </c>
      <c r="M1020" s="2" t="s">
        <v>2350</v>
      </c>
      <c r="N1020" s="2" t="s">
        <v>2351</v>
      </c>
      <c r="O1020" s="2" t="s">
        <v>2375</v>
      </c>
      <c r="P1020" s="2" t="s">
        <v>2376</v>
      </c>
    </row>
    <row r="1021" spans="1:16" ht="15.6" x14ac:dyDescent="0.3">
      <c r="A1021" s="4">
        <v>419140</v>
      </c>
      <c r="B1021" s="4" t="s">
        <v>1182</v>
      </c>
      <c r="C1021" s="4" t="s">
        <v>445</v>
      </c>
      <c r="D1021" s="4" t="str">
        <f t="shared" si="16"/>
        <v>IPL-2010</v>
      </c>
      <c r="E1021" s="4">
        <f>YEAR('IPL Info'!$F1021)</f>
        <v>2010</v>
      </c>
      <c r="F1021" s="5">
        <v>40272</v>
      </c>
      <c r="G1021" s="4" t="s">
        <v>1182</v>
      </c>
      <c r="H1021" s="4" t="s">
        <v>31</v>
      </c>
      <c r="I1021" s="4" t="s">
        <v>19</v>
      </c>
      <c r="J1021" s="4" t="s">
        <v>20</v>
      </c>
      <c r="K1021" s="4" t="s">
        <v>1182</v>
      </c>
      <c r="L1021" s="4" t="s">
        <v>2377</v>
      </c>
      <c r="M1021" s="4" t="s">
        <v>1310</v>
      </c>
      <c r="N1021" s="4" t="s">
        <v>59</v>
      </c>
      <c r="O1021" s="4" t="s">
        <v>2378</v>
      </c>
      <c r="P1021" s="4" t="s">
        <v>2379</v>
      </c>
    </row>
    <row r="1022" spans="1:16" ht="15.6" x14ac:dyDescent="0.3">
      <c r="A1022" s="2">
        <v>419139</v>
      </c>
      <c r="B1022" s="2" t="s">
        <v>56</v>
      </c>
      <c r="C1022" s="2" t="s">
        <v>925</v>
      </c>
      <c r="D1022" s="2" t="str">
        <f t="shared" si="16"/>
        <v>IPL-2010</v>
      </c>
      <c r="E1022" s="2">
        <f>YEAR('IPL Info'!$F1022)</f>
        <v>2010</v>
      </c>
      <c r="F1022" s="3">
        <v>40272</v>
      </c>
      <c r="G1022" s="2" t="s">
        <v>56</v>
      </c>
      <c r="H1022" s="2" t="s">
        <v>31</v>
      </c>
      <c r="I1022" s="2" t="s">
        <v>19</v>
      </c>
      <c r="J1022" s="2" t="s">
        <v>20</v>
      </c>
      <c r="K1022" s="2" t="s">
        <v>925</v>
      </c>
      <c r="L1022" s="2" t="s">
        <v>2272</v>
      </c>
      <c r="M1022" s="2" t="s">
        <v>1064</v>
      </c>
      <c r="N1022" s="2" t="s">
        <v>98</v>
      </c>
      <c r="O1022" s="2" t="s">
        <v>2380</v>
      </c>
      <c r="P1022" s="2" t="s">
        <v>2381</v>
      </c>
    </row>
    <row r="1023" spans="1:16" ht="15.6" x14ac:dyDescent="0.3">
      <c r="A1023" s="4">
        <v>419138</v>
      </c>
      <c r="B1023" s="4" t="s">
        <v>26</v>
      </c>
      <c r="C1023" s="4" t="s">
        <v>1998</v>
      </c>
      <c r="D1023" s="4" t="str">
        <f t="shared" si="16"/>
        <v>IPL-2010</v>
      </c>
      <c r="E1023" s="4">
        <f>YEAR('IPL Info'!$F1023)</f>
        <v>2010</v>
      </c>
      <c r="F1023" s="5">
        <v>40271</v>
      </c>
      <c r="G1023" s="4" t="s">
        <v>26</v>
      </c>
      <c r="H1023" s="4" t="s">
        <v>31</v>
      </c>
      <c r="I1023" s="4" t="s">
        <v>19</v>
      </c>
      <c r="J1023" s="4" t="s">
        <v>20</v>
      </c>
      <c r="K1023" s="4" t="s">
        <v>26</v>
      </c>
      <c r="L1023" s="4" t="s">
        <v>1028</v>
      </c>
      <c r="M1023" s="4" t="s">
        <v>1583</v>
      </c>
      <c r="N1023" s="4" t="s">
        <v>74</v>
      </c>
      <c r="O1023" s="4" t="s">
        <v>2382</v>
      </c>
      <c r="P1023" s="4" t="s">
        <v>2383</v>
      </c>
    </row>
    <row r="1024" spans="1:16" ht="15.6" x14ac:dyDescent="0.3">
      <c r="A1024" s="2">
        <v>419137</v>
      </c>
      <c r="B1024" s="2" t="s">
        <v>51</v>
      </c>
      <c r="C1024" s="2" t="s">
        <v>77</v>
      </c>
      <c r="D1024" s="2" t="str">
        <f t="shared" si="16"/>
        <v>IPL-2010</v>
      </c>
      <c r="E1024" s="2">
        <f>YEAR('IPL Info'!$F1024)</f>
        <v>2010</v>
      </c>
      <c r="F1024" s="3">
        <v>40271</v>
      </c>
      <c r="G1024" s="2" t="s">
        <v>51</v>
      </c>
      <c r="H1024" s="2" t="s">
        <v>31</v>
      </c>
      <c r="I1024" s="2" t="s">
        <v>19</v>
      </c>
      <c r="J1024" s="2" t="s">
        <v>20</v>
      </c>
      <c r="K1024" s="2" t="s">
        <v>51</v>
      </c>
      <c r="L1024" s="2" t="s">
        <v>1788</v>
      </c>
      <c r="M1024" s="2" t="s">
        <v>1598</v>
      </c>
      <c r="N1024" s="2" t="s">
        <v>126</v>
      </c>
      <c r="O1024" s="2" t="s">
        <v>2384</v>
      </c>
      <c r="P1024" s="2" t="s">
        <v>2385</v>
      </c>
    </row>
    <row r="1025" spans="1:16" ht="15.6" x14ac:dyDescent="0.3">
      <c r="A1025" s="4">
        <v>419136</v>
      </c>
      <c r="B1025" s="4" t="s">
        <v>925</v>
      </c>
      <c r="C1025" s="4" t="s">
        <v>445</v>
      </c>
      <c r="D1025" s="4" t="str">
        <f t="shared" si="16"/>
        <v>IPL-2010</v>
      </c>
      <c r="E1025" s="4">
        <f>YEAR('IPL Info'!$F1025)</f>
        <v>2010</v>
      </c>
      <c r="F1025" s="5">
        <v>40270</v>
      </c>
      <c r="G1025" s="4" t="s">
        <v>925</v>
      </c>
      <c r="H1025" s="4" t="s">
        <v>31</v>
      </c>
      <c r="I1025" s="4" t="s">
        <v>19</v>
      </c>
      <c r="J1025" s="4" t="s">
        <v>20</v>
      </c>
      <c r="K1025" s="4" t="s">
        <v>445</v>
      </c>
      <c r="L1025" s="4" t="s">
        <v>2098</v>
      </c>
      <c r="M1025" s="4" t="s">
        <v>1580</v>
      </c>
      <c r="N1025" s="4" t="s">
        <v>502</v>
      </c>
      <c r="O1025" s="4" t="s">
        <v>2386</v>
      </c>
      <c r="P1025" s="4" t="s">
        <v>2387</v>
      </c>
    </row>
    <row r="1026" spans="1:16" ht="15.6" x14ac:dyDescent="0.3">
      <c r="A1026" s="2">
        <v>419135</v>
      </c>
      <c r="B1026" s="2" t="s">
        <v>56</v>
      </c>
      <c r="C1026" s="2" t="s">
        <v>1998</v>
      </c>
      <c r="D1026" s="2" t="str">
        <f t="shared" si="16"/>
        <v>IPL-2010</v>
      </c>
      <c r="E1026" s="2">
        <f>YEAR('IPL Info'!$F1026)</f>
        <v>2010</v>
      </c>
      <c r="F1026" s="3">
        <v>40269</v>
      </c>
      <c r="G1026" s="2" t="s">
        <v>56</v>
      </c>
      <c r="H1026" s="2" t="s">
        <v>31</v>
      </c>
      <c r="I1026" s="2" t="s">
        <v>19</v>
      </c>
      <c r="J1026" s="2" t="s">
        <v>20</v>
      </c>
      <c r="K1026" s="2" t="s">
        <v>56</v>
      </c>
      <c r="L1026" s="2" t="s">
        <v>2091</v>
      </c>
      <c r="M1026" s="2" t="s">
        <v>1064</v>
      </c>
      <c r="N1026" s="2" t="s">
        <v>98</v>
      </c>
      <c r="O1026" s="2" t="s">
        <v>2388</v>
      </c>
      <c r="P1026" s="2" t="s">
        <v>2389</v>
      </c>
    </row>
    <row r="1027" spans="1:16" ht="15.6" x14ac:dyDescent="0.3">
      <c r="A1027" s="4">
        <v>419133</v>
      </c>
      <c r="B1027" s="4" t="s">
        <v>51</v>
      </c>
      <c r="C1027" s="4" t="s">
        <v>445</v>
      </c>
      <c r="D1027" s="4" t="str">
        <f t="shared" si="16"/>
        <v>IPL-2010</v>
      </c>
      <c r="E1027" s="4">
        <f>YEAR('IPL Info'!$F1027)</f>
        <v>2010</v>
      </c>
      <c r="F1027" s="5">
        <v>40268</v>
      </c>
      <c r="G1027" s="4" t="s">
        <v>445</v>
      </c>
      <c r="H1027" s="4" t="s">
        <v>31</v>
      </c>
      <c r="I1027" s="4" t="s">
        <v>19</v>
      </c>
      <c r="J1027" s="4" t="s">
        <v>20</v>
      </c>
      <c r="K1027" s="4" t="s">
        <v>51</v>
      </c>
      <c r="L1027" s="4" t="s">
        <v>1788</v>
      </c>
      <c r="M1027" s="4" t="s">
        <v>1598</v>
      </c>
      <c r="N1027" s="4" t="s">
        <v>126</v>
      </c>
      <c r="O1027" s="4" t="s">
        <v>2390</v>
      </c>
      <c r="P1027" s="4" t="s">
        <v>2391</v>
      </c>
    </row>
    <row r="1028" spans="1:16" ht="15.6" x14ac:dyDescent="0.3">
      <c r="A1028" s="2">
        <v>419134</v>
      </c>
      <c r="B1028" s="2" t="s">
        <v>1182</v>
      </c>
      <c r="C1028" s="2" t="s">
        <v>77</v>
      </c>
      <c r="D1028" s="2" t="str">
        <f t="shared" si="16"/>
        <v>IPL-2010</v>
      </c>
      <c r="E1028" s="2">
        <f>YEAR('IPL Info'!$F1028)</f>
        <v>2010</v>
      </c>
      <c r="F1028" s="3">
        <v>40268</v>
      </c>
      <c r="G1028" s="2" t="s">
        <v>1182</v>
      </c>
      <c r="H1028" s="2" t="s">
        <v>31</v>
      </c>
      <c r="I1028" s="2" t="s">
        <v>19</v>
      </c>
      <c r="J1028" s="2" t="s">
        <v>20</v>
      </c>
      <c r="K1028" s="2" t="s">
        <v>1182</v>
      </c>
      <c r="L1028" s="2" t="s">
        <v>709</v>
      </c>
      <c r="M1028" s="2" t="s">
        <v>1310</v>
      </c>
      <c r="N1028" s="2" t="s">
        <v>59</v>
      </c>
      <c r="O1028" s="2" t="s">
        <v>2392</v>
      </c>
      <c r="P1028" s="2" t="s">
        <v>2393</v>
      </c>
    </row>
    <row r="1029" spans="1:16" ht="15.6" x14ac:dyDescent="0.3">
      <c r="A1029" s="4">
        <v>419132</v>
      </c>
      <c r="B1029" s="4" t="s">
        <v>26</v>
      </c>
      <c r="C1029" s="4" t="s">
        <v>925</v>
      </c>
      <c r="D1029" s="4" t="str">
        <f t="shared" si="16"/>
        <v>IPL-2010</v>
      </c>
      <c r="E1029" s="4">
        <f>YEAR('IPL Info'!$F1029)</f>
        <v>2010</v>
      </c>
      <c r="F1029" s="5">
        <v>40267</v>
      </c>
      <c r="G1029" s="4" t="s">
        <v>26</v>
      </c>
      <c r="H1029" s="4" t="s">
        <v>18</v>
      </c>
      <c r="I1029" s="4" t="s">
        <v>19</v>
      </c>
      <c r="J1029" s="4" t="s">
        <v>20</v>
      </c>
      <c r="K1029" s="4" t="s">
        <v>26</v>
      </c>
      <c r="L1029" s="4" t="s">
        <v>1101</v>
      </c>
      <c r="M1029" s="4" t="s">
        <v>1583</v>
      </c>
      <c r="N1029" s="4" t="s">
        <v>74</v>
      </c>
      <c r="O1029" s="4" t="s">
        <v>2394</v>
      </c>
      <c r="P1029" s="4" t="s">
        <v>2395</v>
      </c>
    </row>
    <row r="1030" spans="1:16" ht="15.6" x14ac:dyDescent="0.3">
      <c r="A1030" s="2">
        <v>419131</v>
      </c>
      <c r="B1030" s="2" t="s">
        <v>1182</v>
      </c>
      <c r="C1030" s="2" t="s">
        <v>56</v>
      </c>
      <c r="D1030" s="2" t="str">
        <f t="shared" si="16"/>
        <v>IPL-2010</v>
      </c>
      <c r="E1030" s="2">
        <f>YEAR('IPL Info'!$F1030)</f>
        <v>2010</v>
      </c>
      <c r="F1030" s="3">
        <v>40266</v>
      </c>
      <c r="G1030" s="2" t="s">
        <v>1182</v>
      </c>
      <c r="H1030" s="2" t="s">
        <v>31</v>
      </c>
      <c r="I1030" s="2" t="s">
        <v>19</v>
      </c>
      <c r="J1030" s="2" t="s">
        <v>20</v>
      </c>
      <c r="K1030" s="2" t="s">
        <v>1182</v>
      </c>
      <c r="L1030" s="2" t="s">
        <v>658</v>
      </c>
      <c r="M1030" s="2" t="s">
        <v>1310</v>
      </c>
      <c r="N1030" s="2" t="s">
        <v>59</v>
      </c>
      <c r="O1030" s="2" t="s">
        <v>2396</v>
      </c>
      <c r="P1030" s="2" t="s">
        <v>2397</v>
      </c>
    </row>
    <row r="1031" spans="1:16" ht="15.6" x14ac:dyDescent="0.3">
      <c r="A1031" s="4">
        <v>419130</v>
      </c>
      <c r="B1031" s="4" t="s">
        <v>1998</v>
      </c>
      <c r="C1031" s="4" t="s">
        <v>26</v>
      </c>
      <c r="D1031" s="4" t="str">
        <f t="shared" si="16"/>
        <v>IPL-2010</v>
      </c>
      <c r="E1031" s="4">
        <f>YEAR('IPL Info'!$F1031)</f>
        <v>2010</v>
      </c>
      <c r="F1031" s="5">
        <v>40265</v>
      </c>
      <c r="G1031" s="4" t="s">
        <v>1998</v>
      </c>
      <c r="H1031" s="4" t="s">
        <v>18</v>
      </c>
      <c r="I1031" s="4" t="s">
        <v>19</v>
      </c>
      <c r="J1031" s="4" t="s">
        <v>20</v>
      </c>
      <c r="K1031" s="4" t="s">
        <v>26</v>
      </c>
      <c r="L1031" s="4" t="s">
        <v>1129</v>
      </c>
      <c r="M1031" s="4" t="s">
        <v>2173</v>
      </c>
      <c r="N1031" s="4" t="s">
        <v>74</v>
      </c>
      <c r="O1031" s="4" t="s">
        <v>2398</v>
      </c>
      <c r="P1031" s="4" t="s">
        <v>2399</v>
      </c>
    </row>
    <row r="1032" spans="1:16" ht="15.6" x14ac:dyDescent="0.3">
      <c r="A1032" s="2">
        <v>419129</v>
      </c>
      <c r="B1032" s="2" t="s">
        <v>77</v>
      </c>
      <c r="C1032" s="2" t="s">
        <v>51</v>
      </c>
      <c r="D1032" s="2" t="str">
        <f t="shared" si="16"/>
        <v>IPL-2010</v>
      </c>
      <c r="E1032" s="2">
        <f>YEAR('IPL Info'!$F1032)</f>
        <v>2010</v>
      </c>
      <c r="F1032" s="3">
        <v>40265</v>
      </c>
      <c r="G1032" s="2" t="s">
        <v>77</v>
      </c>
      <c r="H1032" s="2" t="s">
        <v>31</v>
      </c>
      <c r="I1032" s="2" t="s">
        <v>19</v>
      </c>
      <c r="J1032" s="2" t="s">
        <v>20</v>
      </c>
      <c r="K1032" s="2" t="s">
        <v>77</v>
      </c>
      <c r="L1032" s="2" t="s">
        <v>2400</v>
      </c>
      <c r="M1032" s="2" t="s">
        <v>1647</v>
      </c>
      <c r="N1032" s="2" t="s">
        <v>23</v>
      </c>
      <c r="O1032" s="2" t="s">
        <v>2401</v>
      </c>
      <c r="P1032" s="2" t="s">
        <v>2402</v>
      </c>
    </row>
    <row r="1033" spans="1:16" ht="15.6" x14ac:dyDescent="0.3">
      <c r="A1033" s="4">
        <v>419127</v>
      </c>
      <c r="B1033" s="4" t="s">
        <v>925</v>
      </c>
      <c r="C1033" s="4" t="s">
        <v>56</v>
      </c>
      <c r="D1033" s="4" t="str">
        <f t="shared" si="16"/>
        <v>IPL-2010</v>
      </c>
      <c r="E1033" s="4">
        <f>YEAR('IPL Info'!$F1033)</f>
        <v>2010</v>
      </c>
      <c r="F1033" s="5">
        <v>40264</v>
      </c>
      <c r="G1033" s="4" t="s">
        <v>56</v>
      </c>
      <c r="H1033" s="4" t="s">
        <v>31</v>
      </c>
      <c r="I1033" s="4" t="s">
        <v>19</v>
      </c>
      <c r="J1033" s="4" t="s">
        <v>20</v>
      </c>
      <c r="K1033" s="4" t="s">
        <v>56</v>
      </c>
      <c r="L1033" s="4" t="s">
        <v>2249</v>
      </c>
      <c r="M1033" s="4" t="s">
        <v>1580</v>
      </c>
      <c r="N1033" s="4" t="s">
        <v>502</v>
      </c>
      <c r="O1033" s="4" t="s">
        <v>2403</v>
      </c>
      <c r="P1033" s="4" t="s">
        <v>2404</v>
      </c>
    </row>
    <row r="1034" spans="1:16" ht="15.6" x14ac:dyDescent="0.3">
      <c r="A1034" s="2">
        <v>419126</v>
      </c>
      <c r="B1034" s="2" t="s">
        <v>77</v>
      </c>
      <c r="C1034" s="2" t="s">
        <v>1998</v>
      </c>
      <c r="D1034" s="2" t="str">
        <f t="shared" si="16"/>
        <v>IPL-2010</v>
      </c>
      <c r="E1034" s="2">
        <f>YEAR('IPL Info'!$F1034)</f>
        <v>2010</v>
      </c>
      <c r="F1034" s="3">
        <v>40263</v>
      </c>
      <c r="G1034" s="2" t="s">
        <v>1998</v>
      </c>
      <c r="H1034" s="2" t="s">
        <v>31</v>
      </c>
      <c r="I1034" s="2" t="s">
        <v>19</v>
      </c>
      <c r="J1034" s="2" t="s">
        <v>20</v>
      </c>
      <c r="K1034" s="2" t="s">
        <v>77</v>
      </c>
      <c r="L1034" s="2" t="s">
        <v>1445</v>
      </c>
      <c r="M1034" s="2" t="s">
        <v>1647</v>
      </c>
      <c r="N1034" s="2" t="s">
        <v>23</v>
      </c>
      <c r="O1034" s="2" t="s">
        <v>2405</v>
      </c>
      <c r="P1034" s="2" t="s">
        <v>2406</v>
      </c>
    </row>
    <row r="1035" spans="1:16" ht="15.6" x14ac:dyDescent="0.3">
      <c r="A1035" s="4">
        <v>419125</v>
      </c>
      <c r="B1035" s="4" t="s">
        <v>51</v>
      </c>
      <c r="C1035" s="4" t="s">
        <v>26</v>
      </c>
      <c r="D1035" s="4" t="str">
        <f t="shared" si="16"/>
        <v>IPL-2010</v>
      </c>
      <c r="E1035" s="4">
        <f>YEAR('IPL Info'!$F1035)</f>
        <v>2010</v>
      </c>
      <c r="F1035" s="5">
        <v>40262</v>
      </c>
      <c r="G1035" s="4" t="s">
        <v>26</v>
      </c>
      <c r="H1035" s="4" t="s">
        <v>18</v>
      </c>
      <c r="I1035" s="4" t="s">
        <v>19</v>
      </c>
      <c r="J1035" s="4" t="s">
        <v>20</v>
      </c>
      <c r="K1035" s="4" t="s">
        <v>26</v>
      </c>
      <c r="L1035" s="4" t="s">
        <v>1880</v>
      </c>
      <c r="M1035" s="4" t="s">
        <v>617</v>
      </c>
      <c r="N1035" s="4" t="s">
        <v>74</v>
      </c>
      <c r="O1035" s="4" t="s">
        <v>2407</v>
      </c>
      <c r="P1035" s="4" t="s">
        <v>2408</v>
      </c>
    </row>
    <row r="1036" spans="1:16" ht="15.6" x14ac:dyDescent="0.3">
      <c r="A1036" s="2">
        <v>419128</v>
      </c>
      <c r="B1036" s="2" t="s">
        <v>445</v>
      </c>
      <c r="C1036" s="2" t="s">
        <v>1182</v>
      </c>
      <c r="D1036" s="2" t="str">
        <f t="shared" si="16"/>
        <v>IPL-2010</v>
      </c>
      <c r="E1036" s="2">
        <f>YEAR('IPL Info'!$F1036)</f>
        <v>2010</v>
      </c>
      <c r="F1036" s="3">
        <v>40262</v>
      </c>
      <c r="G1036" s="2" t="s">
        <v>445</v>
      </c>
      <c r="H1036" s="2" t="s">
        <v>18</v>
      </c>
      <c r="I1036" s="2" t="s">
        <v>19</v>
      </c>
      <c r="J1036" s="2" t="s">
        <v>20</v>
      </c>
      <c r="K1036" s="2" t="s">
        <v>1182</v>
      </c>
      <c r="L1036" s="2" t="s">
        <v>1424</v>
      </c>
      <c r="M1036" s="2" t="s">
        <v>1301</v>
      </c>
      <c r="N1036" s="2" t="s">
        <v>1302</v>
      </c>
      <c r="O1036" s="2" t="s">
        <v>2409</v>
      </c>
      <c r="P1036" s="2" t="s">
        <v>2410</v>
      </c>
    </row>
    <row r="1037" spans="1:16" ht="15.6" x14ac:dyDescent="0.3">
      <c r="A1037" s="4">
        <v>419124</v>
      </c>
      <c r="B1037" s="4" t="s">
        <v>925</v>
      </c>
      <c r="C1037" s="4" t="s">
        <v>77</v>
      </c>
      <c r="D1037" s="4" t="str">
        <f t="shared" si="16"/>
        <v>IPL-2010</v>
      </c>
      <c r="E1037" s="4">
        <f>YEAR('IPL Info'!$F1037)</f>
        <v>2010</v>
      </c>
      <c r="F1037" s="5">
        <v>40261</v>
      </c>
      <c r="G1037" s="4" t="s">
        <v>925</v>
      </c>
      <c r="H1037" s="4" t="s">
        <v>18</v>
      </c>
      <c r="I1037" s="4" t="s">
        <v>19</v>
      </c>
      <c r="J1037" s="4" t="s">
        <v>20</v>
      </c>
      <c r="K1037" s="4" t="s">
        <v>77</v>
      </c>
      <c r="L1037" s="4" t="s">
        <v>2411</v>
      </c>
      <c r="M1037" s="4" t="s">
        <v>1580</v>
      </c>
      <c r="N1037" s="4" t="s">
        <v>502</v>
      </c>
      <c r="O1037" s="4" t="s">
        <v>2412</v>
      </c>
      <c r="P1037" s="4" t="s">
        <v>2413</v>
      </c>
    </row>
    <row r="1038" spans="1:16" ht="15.6" x14ac:dyDescent="0.3">
      <c r="A1038" s="2">
        <v>419123</v>
      </c>
      <c r="B1038" s="2" t="s">
        <v>445</v>
      </c>
      <c r="C1038" s="2" t="s">
        <v>51</v>
      </c>
      <c r="D1038" s="2" t="str">
        <f t="shared" si="16"/>
        <v>IPL-2010</v>
      </c>
      <c r="E1038" s="2">
        <f>YEAR('IPL Info'!$F1038)</f>
        <v>2010</v>
      </c>
      <c r="F1038" s="3">
        <v>40260</v>
      </c>
      <c r="G1038" s="2" t="s">
        <v>51</v>
      </c>
      <c r="H1038" s="2" t="s">
        <v>18</v>
      </c>
      <c r="I1038" s="2" t="s">
        <v>19</v>
      </c>
      <c r="J1038" s="2" t="s">
        <v>20</v>
      </c>
      <c r="K1038" s="2" t="s">
        <v>445</v>
      </c>
      <c r="L1038" s="2" t="s">
        <v>1372</v>
      </c>
      <c r="M1038" s="2" t="s">
        <v>1301</v>
      </c>
      <c r="N1038" s="2" t="s">
        <v>1302</v>
      </c>
      <c r="O1038" s="2" t="s">
        <v>2414</v>
      </c>
      <c r="P1038" s="2" t="s">
        <v>2415</v>
      </c>
    </row>
    <row r="1039" spans="1:16" ht="15.6" x14ac:dyDescent="0.3">
      <c r="A1039" s="4">
        <v>419122</v>
      </c>
      <c r="B1039" s="4" t="s">
        <v>26</v>
      </c>
      <c r="C1039" s="4" t="s">
        <v>56</v>
      </c>
      <c r="D1039" s="4" t="str">
        <f t="shared" si="16"/>
        <v>IPL-2010</v>
      </c>
      <c r="E1039" s="4">
        <f>YEAR('IPL Info'!$F1039)</f>
        <v>2010</v>
      </c>
      <c r="F1039" s="5">
        <v>40259</v>
      </c>
      <c r="G1039" s="4" t="s">
        <v>56</v>
      </c>
      <c r="H1039" s="4" t="s">
        <v>31</v>
      </c>
      <c r="I1039" s="4" t="s">
        <v>19</v>
      </c>
      <c r="J1039" s="4" t="s">
        <v>20</v>
      </c>
      <c r="K1039" s="4" t="s">
        <v>26</v>
      </c>
      <c r="L1039" s="4" t="s">
        <v>1880</v>
      </c>
      <c r="M1039" s="4" t="s">
        <v>1583</v>
      </c>
      <c r="N1039" s="4" t="s">
        <v>74</v>
      </c>
      <c r="O1039" s="4" t="s">
        <v>2416</v>
      </c>
      <c r="P1039" s="4" t="s">
        <v>2417</v>
      </c>
    </row>
    <row r="1040" spans="1:16" ht="15.6" x14ac:dyDescent="0.3">
      <c r="A1040" s="2">
        <v>419120</v>
      </c>
      <c r="B1040" s="2" t="s">
        <v>1998</v>
      </c>
      <c r="C1040" s="2" t="s">
        <v>1182</v>
      </c>
      <c r="D1040" s="2" t="str">
        <f t="shared" si="16"/>
        <v>IPL-2010</v>
      </c>
      <c r="E1040" s="2">
        <f>YEAR('IPL Info'!$F1040)</f>
        <v>2010</v>
      </c>
      <c r="F1040" s="3">
        <v>40258</v>
      </c>
      <c r="G1040" s="2" t="s">
        <v>1998</v>
      </c>
      <c r="H1040" s="2" t="s">
        <v>31</v>
      </c>
      <c r="I1040" s="2" t="s">
        <v>19</v>
      </c>
      <c r="J1040" s="2" t="s">
        <v>20</v>
      </c>
      <c r="K1040" s="2" t="s">
        <v>1998</v>
      </c>
      <c r="L1040" s="2" t="s">
        <v>2330</v>
      </c>
      <c r="M1040" s="2" t="s">
        <v>1736</v>
      </c>
      <c r="N1040" s="2" t="s">
        <v>1737</v>
      </c>
      <c r="O1040" s="2" t="s">
        <v>2418</v>
      </c>
      <c r="P1040" s="2" t="s">
        <v>2419</v>
      </c>
    </row>
    <row r="1041" spans="1:16" ht="15.6" x14ac:dyDescent="0.3">
      <c r="A1041" s="4">
        <v>419121</v>
      </c>
      <c r="B1041" s="4" t="s">
        <v>51</v>
      </c>
      <c r="C1041" s="4" t="s">
        <v>925</v>
      </c>
      <c r="D1041" s="4" t="str">
        <f t="shared" si="16"/>
        <v>IPL-2010</v>
      </c>
      <c r="E1041" s="4">
        <f>YEAR('IPL Info'!$F1041)</f>
        <v>2010</v>
      </c>
      <c r="F1041" s="5">
        <v>40258</v>
      </c>
      <c r="G1041" s="4" t="s">
        <v>51</v>
      </c>
      <c r="H1041" s="4" t="s">
        <v>18</v>
      </c>
      <c r="I1041" s="4" t="s">
        <v>173</v>
      </c>
      <c r="J1041" s="4" t="s">
        <v>925</v>
      </c>
      <c r="K1041" s="4" t="s">
        <v>20</v>
      </c>
      <c r="L1041" s="4" t="s">
        <v>2420</v>
      </c>
      <c r="M1041" s="4" t="s">
        <v>1598</v>
      </c>
      <c r="N1041" s="4" t="s">
        <v>126</v>
      </c>
      <c r="O1041" s="4" t="s">
        <v>2421</v>
      </c>
      <c r="P1041" s="4" t="s">
        <v>2422</v>
      </c>
    </row>
    <row r="1042" spans="1:16" ht="15.6" x14ac:dyDescent="0.3">
      <c r="A1042" s="2">
        <v>419118</v>
      </c>
      <c r="B1042" s="2" t="s">
        <v>77</v>
      </c>
      <c r="C1042" s="2" t="s">
        <v>56</v>
      </c>
      <c r="D1042" s="2" t="str">
        <f t="shared" si="16"/>
        <v>IPL-2010</v>
      </c>
      <c r="E1042" s="2">
        <f>YEAR('IPL Info'!$F1042)</f>
        <v>2010</v>
      </c>
      <c r="F1042" s="3">
        <v>40257</v>
      </c>
      <c r="G1042" s="2" t="s">
        <v>77</v>
      </c>
      <c r="H1042" s="2" t="s">
        <v>31</v>
      </c>
      <c r="I1042" s="2" t="s">
        <v>19</v>
      </c>
      <c r="J1042" s="2" t="s">
        <v>20</v>
      </c>
      <c r="K1042" s="2" t="s">
        <v>77</v>
      </c>
      <c r="L1042" s="2" t="s">
        <v>2423</v>
      </c>
      <c r="M1042" s="2" t="s">
        <v>1647</v>
      </c>
      <c r="N1042" s="2" t="s">
        <v>23</v>
      </c>
      <c r="O1042" s="2" t="s">
        <v>2424</v>
      </c>
      <c r="P1042" s="2" t="s">
        <v>2425</v>
      </c>
    </row>
    <row r="1043" spans="1:16" ht="15.6" x14ac:dyDescent="0.3">
      <c r="A1043" s="4">
        <v>419119</v>
      </c>
      <c r="B1043" s="4" t="s">
        <v>26</v>
      </c>
      <c r="C1043" s="4" t="s">
        <v>445</v>
      </c>
      <c r="D1043" s="4" t="str">
        <f t="shared" si="16"/>
        <v>IPL-2010</v>
      </c>
      <c r="E1043" s="4">
        <f>YEAR('IPL Info'!$F1043)</f>
        <v>2010</v>
      </c>
      <c r="F1043" s="5">
        <v>40257</v>
      </c>
      <c r="G1043" s="4" t="s">
        <v>26</v>
      </c>
      <c r="H1043" s="4" t="s">
        <v>31</v>
      </c>
      <c r="I1043" s="4" t="s">
        <v>19</v>
      </c>
      <c r="J1043" s="4" t="s">
        <v>20</v>
      </c>
      <c r="K1043" s="4" t="s">
        <v>445</v>
      </c>
      <c r="L1043" s="4" t="s">
        <v>1819</v>
      </c>
      <c r="M1043" s="4" t="s">
        <v>1583</v>
      </c>
      <c r="N1043" s="4" t="s">
        <v>74</v>
      </c>
      <c r="O1043" s="4" t="s">
        <v>2426</v>
      </c>
      <c r="P1043" s="4" t="s">
        <v>2427</v>
      </c>
    </row>
    <row r="1044" spans="1:16" ht="15.6" x14ac:dyDescent="0.3">
      <c r="A1044" s="2">
        <v>419116</v>
      </c>
      <c r="B1044" s="2" t="s">
        <v>1182</v>
      </c>
      <c r="C1044" s="2" t="s">
        <v>51</v>
      </c>
      <c r="D1044" s="2" t="str">
        <f t="shared" si="16"/>
        <v>IPL-2010</v>
      </c>
      <c r="E1044" s="2">
        <f>YEAR('IPL Info'!$F1044)</f>
        <v>2010</v>
      </c>
      <c r="F1044" s="3">
        <v>40256</v>
      </c>
      <c r="G1044" s="2" t="s">
        <v>1182</v>
      </c>
      <c r="H1044" s="2" t="s">
        <v>31</v>
      </c>
      <c r="I1044" s="2" t="s">
        <v>19</v>
      </c>
      <c r="J1044" s="2" t="s">
        <v>20</v>
      </c>
      <c r="K1044" s="2" t="s">
        <v>51</v>
      </c>
      <c r="L1044" s="2" t="s">
        <v>2428</v>
      </c>
      <c r="M1044" s="2" t="s">
        <v>1310</v>
      </c>
      <c r="N1044" s="2" t="s">
        <v>59</v>
      </c>
      <c r="O1044" s="2" t="s">
        <v>2429</v>
      </c>
      <c r="P1044" s="2" t="s">
        <v>2430</v>
      </c>
    </row>
    <row r="1045" spans="1:16" ht="15.6" x14ac:dyDescent="0.3">
      <c r="A1045" s="4">
        <v>419117</v>
      </c>
      <c r="B1045" s="4" t="s">
        <v>1998</v>
      </c>
      <c r="C1045" s="4" t="s">
        <v>925</v>
      </c>
      <c r="D1045" s="4" t="str">
        <f t="shared" si="16"/>
        <v>IPL-2010</v>
      </c>
      <c r="E1045" s="4">
        <f>YEAR('IPL Info'!$F1045)</f>
        <v>2010</v>
      </c>
      <c r="F1045" s="5">
        <v>40256</v>
      </c>
      <c r="G1045" s="4" t="s">
        <v>925</v>
      </c>
      <c r="H1045" s="4" t="s">
        <v>18</v>
      </c>
      <c r="I1045" s="4" t="s">
        <v>19</v>
      </c>
      <c r="J1045" s="4" t="s">
        <v>20</v>
      </c>
      <c r="K1045" s="4" t="s">
        <v>1998</v>
      </c>
      <c r="L1045" s="4" t="s">
        <v>2330</v>
      </c>
      <c r="M1045" s="4" t="s">
        <v>1736</v>
      </c>
      <c r="N1045" s="4" t="s">
        <v>1737</v>
      </c>
      <c r="O1045" s="4" t="s">
        <v>2431</v>
      </c>
      <c r="P1045" s="4" t="s">
        <v>2432</v>
      </c>
    </row>
    <row r="1046" spans="1:16" ht="15.6" x14ac:dyDescent="0.3">
      <c r="A1046" s="2">
        <v>419115</v>
      </c>
      <c r="B1046" s="2" t="s">
        <v>445</v>
      </c>
      <c r="C1046" s="2" t="s">
        <v>77</v>
      </c>
      <c r="D1046" s="2" t="str">
        <f t="shared" si="16"/>
        <v>IPL-2010</v>
      </c>
      <c r="E1046" s="2">
        <f>YEAR('IPL Info'!$F1046)</f>
        <v>2010</v>
      </c>
      <c r="F1046" s="3">
        <v>40255</v>
      </c>
      <c r="G1046" s="2" t="s">
        <v>445</v>
      </c>
      <c r="H1046" s="2" t="s">
        <v>18</v>
      </c>
      <c r="I1046" s="2" t="s">
        <v>19</v>
      </c>
      <c r="J1046" s="2" t="s">
        <v>20</v>
      </c>
      <c r="K1046" s="2" t="s">
        <v>445</v>
      </c>
      <c r="L1046" s="2" t="s">
        <v>1819</v>
      </c>
      <c r="M1046" s="2" t="s">
        <v>1301</v>
      </c>
      <c r="N1046" s="2" t="s">
        <v>1302</v>
      </c>
      <c r="O1046" s="2" t="s">
        <v>2433</v>
      </c>
      <c r="P1046" s="2" t="s">
        <v>2434</v>
      </c>
    </row>
    <row r="1047" spans="1:16" ht="15.6" x14ac:dyDescent="0.3">
      <c r="A1047" s="4">
        <v>419114</v>
      </c>
      <c r="B1047" s="4" t="s">
        <v>1182</v>
      </c>
      <c r="C1047" s="4" t="s">
        <v>26</v>
      </c>
      <c r="D1047" s="4" t="str">
        <f t="shared" si="16"/>
        <v>IPL-2010</v>
      </c>
      <c r="E1047" s="4">
        <f>YEAR('IPL Info'!$F1047)</f>
        <v>2010</v>
      </c>
      <c r="F1047" s="5">
        <v>40254</v>
      </c>
      <c r="G1047" s="4" t="s">
        <v>1182</v>
      </c>
      <c r="H1047" s="4" t="s">
        <v>18</v>
      </c>
      <c r="I1047" s="4" t="s">
        <v>19</v>
      </c>
      <c r="J1047" s="4" t="s">
        <v>20</v>
      </c>
      <c r="K1047" s="4" t="s">
        <v>26</v>
      </c>
      <c r="L1047" s="4" t="s">
        <v>1880</v>
      </c>
      <c r="M1047" s="4" t="s">
        <v>1310</v>
      </c>
      <c r="N1047" s="4" t="s">
        <v>59</v>
      </c>
      <c r="O1047" s="4" t="s">
        <v>2435</v>
      </c>
      <c r="P1047" s="4" t="s">
        <v>2436</v>
      </c>
    </row>
    <row r="1048" spans="1:16" ht="15.6" x14ac:dyDescent="0.3">
      <c r="A1048" s="2">
        <v>419112</v>
      </c>
      <c r="B1048" s="2" t="s">
        <v>445</v>
      </c>
      <c r="C1048" s="2" t="s">
        <v>925</v>
      </c>
      <c r="D1048" s="2" t="str">
        <f t="shared" si="16"/>
        <v>IPL-2010</v>
      </c>
      <c r="E1048" s="2">
        <f>YEAR('IPL Info'!$F1048)</f>
        <v>2010</v>
      </c>
      <c r="F1048" s="3">
        <v>40253</v>
      </c>
      <c r="G1048" s="2" t="s">
        <v>925</v>
      </c>
      <c r="H1048" s="2" t="s">
        <v>31</v>
      </c>
      <c r="I1048" s="2" t="s">
        <v>19</v>
      </c>
      <c r="J1048" s="2" t="s">
        <v>20</v>
      </c>
      <c r="K1048" s="2" t="s">
        <v>445</v>
      </c>
      <c r="L1048" s="2" t="s">
        <v>1819</v>
      </c>
      <c r="M1048" s="2" t="s">
        <v>1301</v>
      </c>
      <c r="N1048" s="2" t="s">
        <v>1302</v>
      </c>
      <c r="O1048" s="2" t="s">
        <v>2433</v>
      </c>
      <c r="P1048" s="2" t="s">
        <v>2437</v>
      </c>
    </row>
    <row r="1049" spans="1:16" ht="15.6" x14ac:dyDescent="0.3">
      <c r="A1049" s="4">
        <v>419113</v>
      </c>
      <c r="B1049" s="4" t="s">
        <v>56</v>
      </c>
      <c r="C1049" s="4" t="s">
        <v>51</v>
      </c>
      <c r="D1049" s="4" t="str">
        <f t="shared" si="16"/>
        <v>IPL-2010</v>
      </c>
      <c r="E1049" s="4">
        <f>YEAR('IPL Info'!$F1049)</f>
        <v>2010</v>
      </c>
      <c r="F1049" s="5">
        <v>40253</v>
      </c>
      <c r="G1049" s="4" t="s">
        <v>51</v>
      </c>
      <c r="H1049" s="4" t="s">
        <v>31</v>
      </c>
      <c r="I1049" s="4" t="s">
        <v>19</v>
      </c>
      <c r="J1049" s="4" t="s">
        <v>20</v>
      </c>
      <c r="K1049" s="4" t="s">
        <v>51</v>
      </c>
      <c r="L1049" s="4" t="s">
        <v>180</v>
      </c>
      <c r="M1049" s="4" t="s">
        <v>1064</v>
      </c>
      <c r="N1049" s="4" t="s">
        <v>98</v>
      </c>
      <c r="O1049" s="4" t="s">
        <v>2438</v>
      </c>
      <c r="P1049" s="4" t="s">
        <v>2439</v>
      </c>
    </row>
    <row r="1050" spans="1:16" ht="15.6" x14ac:dyDescent="0.3">
      <c r="A1050" s="2">
        <v>419111</v>
      </c>
      <c r="B1050" s="2" t="s">
        <v>77</v>
      </c>
      <c r="C1050" s="2" t="s">
        <v>1182</v>
      </c>
      <c r="D1050" s="2" t="str">
        <f t="shared" si="16"/>
        <v>IPL-2010</v>
      </c>
      <c r="E1050" s="2">
        <f>YEAR('IPL Info'!$F1050)</f>
        <v>2010</v>
      </c>
      <c r="F1050" s="3">
        <v>40252</v>
      </c>
      <c r="G1050" s="2" t="s">
        <v>1182</v>
      </c>
      <c r="H1050" s="2" t="s">
        <v>18</v>
      </c>
      <c r="I1050" s="2" t="s">
        <v>19</v>
      </c>
      <c r="J1050" s="2" t="s">
        <v>20</v>
      </c>
      <c r="K1050" s="2" t="s">
        <v>1182</v>
      </c>
      <c r="L1050" s="2" t="s">
        <v>1696</v>
      </c>
      <c r="M1050" s="2" t="s">
        <v>1647</v>
      </c>
      <c r="N1050" s="2" t="s">
        <v>23</v>
      </c>
      <c r="O1050" s="2" t="s">
        <v>2440</v>
      </c>
      <c r="P1050" s="2" t="s">
        <v>2441</v>
      </c>
    </row>
    <row r="1051" spans="1:16" ht="15.6" x14ac:dyDescent="0.3">
      <c r="A1051" s="4">
        <v>419109</v>
      </c>
      <c r="B1051" s="4" t="s">
        <v>56</v>
      </c>
      <c r="C1051" s="4" t="s">
        <v>445</v>
      </c>
      <c r="D1051" s="4" t="str">
        <f t="shared" si="16"/>
        <v>IPL-2010</v>
      </c>
      <c r="E1051" s="4">
        <f>YEAR('IPL Info'!$F1051)</f>
        <v>2010</v>
      </c>
      <c r="F1051" s="5">
        <v>40251</v>
      </c>
      <c r="G1051" s="4" t="s">
        <v>56</v>
      </c>
      <c r="H1051" s="4" t="s">
        <v>18</v>
      </c>
      <c r="I1051" s="4" t="s">
        <v>19</v>
      </c>
      <c r="J1051" s="4" t="s">
        <v>20</v>
      </c>
      <c r="K1051" s="4" t="s">
        <v>56</v>
      </c>
      <c r="L1051" s="4" t="s">
        <v>2249</v>
      </c>
      <c r="M1051" s="4" t="s">
        <v>1064</v>
      </c>
      <c r="N1051" s="4" t="s">
        <v>98</v>
      </c>
      <c r="O1051" s="4" t="s">
        <v>2442</v>
      </c>
      <c r="P1051" s="4" t="s">
        <v>2443</v>
      </c>
    </row>
    <row r="1052" spans="1:16" ht="15.6" x14ac:dyDescent="0.3">
      <c r="A1052" s="2">
        <v>419110</v>
      </c>
      <c r="B1052" s="2" t="s">
        <v>51</v>
      </c>
      <c r="C1052" s="2" t="s">
        <v>1998</v>
      </c>
      <c r="D1052" s="2" t="str">
        <f t="shared" si="16"/>
        <v>IPL-2010</v>
      </c>
      <c r="E1052" s="2">
        <f>YEAR('IPL Info'!$F1052)</f>
        <v>2010</v>
      </c>
      <c r="F1052" s="3">
        <v>40251</v>
      </c>
      <c r="G1052" s="2" t="s">
        <v>1998</v>
      </c>
      <c r="H1052" s="2" t="s">
        <v>31</v>
      </c>
      <c r="I1052" s="2" t="s">
        <v>19</v>
      </c>
      <c r="J1052" s="2" t="s">
        <v>20</v>
      </c>
      <c r="K1052" s="2" t="s">
        <v>1998</v>
      </c>
      <c r="L1052" s="2" t="s">
        <v>2444</v>
      </c>
      <c r="M1052" s="2" t="s">
        <v>1598</v>
      </c>
      <c r="N1052" s="2" t="s">
        <v>126</v>
      </c>
      <c r="O1052" s="2" t="s">
        <v>2445</v>
      </c>
      <c r="P1052" s="2" t="s">
        <v>2446</v>
      </c>
    </row>
    <row r="1053" spans="1:16" ht="15.6" x14ac:dyDescent="0.3">
      <c r="A1053" s="4">
        <v>419107</v>
      </c>
      <c r="B1053" s="4" t="s">
        <v>26</v>
      </c>
      <c r="C1053" s="4" t="s">
        <v>77</v>
      </c>
      <c r="D1053" s="4" t="str">
        <f t="shared" si="16"/>
        <v>IPL-2010</v>
      </c>
      <c r="E1053" s="4">
        <f>YEAR('IPL Info'!$F1053)</f>
        <v>2010</v>
      </c>
      <c r="F1053" s="5">
        <v>40250</v>
      </c>
      <c r="G1053" s="4" t="s">
        <v>26</v>
      </c>
      <c r="H1053" s="4" t="s">
        <v>31</v>
      </c>
      <c r="I1053" s="4" t="s">
        <v>19</v>
      </c>
      <c r="J1053" s="4" t="s">
        <v>20</v>
      </c>
      <c r="K1053" s="4" t="s">
        <v>26</v>
      </c>
      <c r="L1053" s="4" t="s">
        <v>1445</v>
      </c>
      <c r="M1053" s="4" t="s">
        <v>1583</v>
      </c>
      <c r="N1053" s="4" t="s">
        <v>74</v>
      </c>
      <c r="O1053" s="4" t="s">
        <v>2447</v>
      </c>
      <c r="P1053" s="4" t="s">
        <v>2448</v>
      </c>
    </row>
    <row r="1054" spans="1:16" ht="15.6" x14ac:dyDescent="0.3">
      <c r="A1054" s="2">
        <v>419108</v>
      </c>
      <c r="B1054" s="2" t="s">
        <v>925</v>
      </c>
      <c r="C1054" s="2" t="s">
        <v>1182</v>
      </c>
      <c r="D1054" s="2" t="str">
        <f t="shared" si="16"/>
        <v>IPL-2010</v>
      </c>
      <c r="E1054" s="2">
        <f>YEAR('IPL Info'!$F1054)</f>
        <v>2010</v>
      </c>
      <c r="F1054" s="3">
        <v>40250</v>
      </c>
      <c r="G1054" s="2" t="s">
        <v>1182</v>
      </c>
      <c r="H1054" s="2" t="s">
        <v>18</v>
      </c>
      <c r="I1054" s="2" t="s">
        <v>19</v>
      </c>
      <c r="J1054" s="2" t="s">
        <v>20</v>
      </c>
      <c r="K1054" s="2" t="s">
        <v>1182</v>
      </c>
      <c r="L1054" s="2" t="s">
        <v>1364</v>
      </c>
      <c r="M1054" s="2" t="s">
        <v>1580</v>
      </c>
      <c r="N1054" s="2" t="s">
        <v>502</v>
      </c>
      <c r="O1054" s="2" t="s">
        <v>2449</v>
      </c>
      <c r="P1054" s="2" t="s">
        <v>2450</v>
      </c>
    </row>
    <row r="1055" spans="1:16" ht="15.6" x14ac:dyDescent="0.3">
      <c r="A1055" s="4">
        <v>419106</v>
      </c>
      <c r="B1055" s="4" t="s">
        <v>1998</v>
      </c>
      <c r="C1055" s="4" t="s">
        <v>56</v>
      </c>
      <c r="D1055" s="4" t="str">
        <f t="shared" si="16"/>
        <v>IPL-2010</v>
      </c>
      <c r="E1055" s="4">
        <f>YEAR('IPL Info'!$F1055)</f>
        <v>2010</v>
      </c>
      <c r="F1055" s="5">
        <v>40249</v>
      </c>
      <c r="G1055" s="4" t="s">
        <v>1998</v>
      </c>
      <c r="H1055" s="4" t="s">
        <v>18</v>
      </c>
      <c r="I1055" s="4" t="s">
        <v>19</v>
      </c>
      <c r="J1055" s="4" t="s">
        <v>20</v>
      </c>
      <c r="K1055" s="4" t="s">
        <v>56</v>
      </c>
      <c r="L1055" s="4" t="s">
        <v>2451</v>
      </c>
      <c r="M1055" s="4" t="s">
        <v>2173</v>
      </c>
      <c r="N1055" s="4" t="s">
        <v>74</v>
      </c>
      <c r="O1055" s="4" t="s">
        <v>2431</v>
      </c>
      <c r="P1055" s="4" t="s">
        <v>2452</v>
      </c>
    </row>
    <row r="1056" spans="1:16" ht="15.6" x14ac:dyDescent="0.3">
      <c r="A1056" s="2">
        <v>392239</v>
      </c>
      <c r="B1056" s="2" t="s">
        <v>445</v>
      </c>
      <c r="C1056" s="2" t="s">
        <v>1998</v>
      </c>
      <c r="D1056" s="2" t="str">
        <f t="shared" si="16"/>
        <v>IPL-2009</v>
      </c>
      <c r="E1056" s="2">
        <f>YEAR('IPL Info'!$F1056)</f>
        <v>2009</v>
      </c>
      <c r="F1056" s="3">
        <v>39957</v>
      </c>
      <c r="G1056" s="2" t="s">
        <v>445</v>
      </c>
      <c r="H1056" s="2" t="s">
        <v>18</v>
      </c>
      <c r="I1056" s="2" t="s">
        <v>19</v>
      </c>
      <c r="J1056" s="2" t="s">
        <v>20</v>
      </c>
      <c r="K1056" s="2" t="s">
        <v>1998</v>
      </c>
      <c r="L1056" s="2" t="s">
        <v>2321</v>
      </c>
      <c r="M1056" s="2" t="s">
        <v>2453</v>
      </c>
      <c r="N1056" s="2" t="s">
        <v>2454</v>
      </c>
      <c r="O1056" s="2" t="s">
        <v>2455</v>
      </c>
      <c r="P1056" s="2" t="s">
        <v>2456</v>
      </c>
    </row>
    <row r="1057" spans="1:16" ht="15.6" x14ac:dyDescent="0.3">
      <c r="A1057" s="4">
        <v>392238</v>
      </c>
      <c r="B1057" s="4" t="s">
        <v>445</v>
      </c>
      <c r="C1057" s="4" t="s">
        <v>51</v>
      </c>
      <c r="D1057" s="4" t="str">
        <f t="shared" si="16"/>
        <v>IPL-2009</v>
      </c>
      <c r="E1057" s="4">
        <f>YEAR('IPL Info'!$F1057)</f>
        <v>2009</v>
      </c>
      <c r="F1057" s="5">
        <v>39956</v>
      </c>
      <c r="G1057" s="4" t="s">
        <v>445</v>
      </c>
      <c r="H1057" s="4" t="s">
        <v>18</v>
      </c>
      <c r="I1057" s="4" t="s">
        <v>19</v>
      </c>
      <c r="J1057" s="4" t="s">
        <v>20</v>
      </c>
      <c r="K1057" s="4" t="s">
        <v>445</v>
      </c>
      <c r="L1057" s="4" t="s">
        <v>953</v>
      </c>
      <c r="M1057" s="4" t="s">
        <v>2453</v>
      </c>
      <c r="N1057" s="4" t="s">
        <v>2454</v>
      </c>
      <c r="O1057" s="4" t="s">
        <v>2457</v>
      </c>
      <c r="P1057" s="4" t="s">
        <v>2458</v>
      </c>
    </row>
    <row r="1058" spans="1:16" ht="15.6" x14ac:dyDescent="0.3">
      <c r="A1058" s="2">
        <v>392237</v>
      </c>
      <c r="B1058" s="2" t="s">
        <v>1182</v>
      </c>
      <c r="C1058" s="2" t="s">
        <v>1998</v>
      </c>
      <c r="D1058" s="2" t="str">
        <f t="shared" si="16"/>
        <v>IPL-2009</v>
      </c>
      <c r="E1058" s="2">
        <f>YEAR('IPL Info'!$F1058)</f>
        <v>2009</v>
      </c>
      <c r="F1058" s="3">
        <v>39955</v>
      </c>
      <c r="G1058" s="2" t="s">
        <v>1998</v>
      </c>
      <c r="H1058" s="2" t="s">
        <v>18</v>
      </c>
      <c r="I1058" s="2" t="s">
        <v>19</v>
      </c>
      <c r="J1058" s="2" t="s">
        <v>20</v>
      </c>
      <c r="K1058" s="2" t="s">
        <v>1998</v>
      </c>
      <c r="L1058" s="2" t="s">
        <v>1853</v>
      </c>
      <c r="M1058" s="2" t="s">
        <v>2459</v>
      </c>
      <c r="N1058" s="2" t="s">
        <v>2460</v>
      </c>
      <c r="O1058" s="2" t="s">
        <v>2461</v>
      </c>
      <c r="P1058" s="2" t="s">
        <v>2462</v>
      </c>
    </row>
    <row r="1059" spans="1:16" ht="15.6" x14ac:dyDescent="0.3">
      <c r="A1059" s="4">
        <v>392235</v>
      </c>
      <c r="B1059" s="4" t="s">
        <v>1182</v>
      </c>
      <c r="C1059" s="4" t="s">
        <v>26</v>
      </c>
      <c r="D1059" s="4" t="str">
        <f t="shared" si="16"/>
        <v>IPL-2009</v>
      </c>
      <c r="E1059" s="4">
        <f>YEAR('IPL Info'!$F1059)</f>
        <v>2009</v>
      </c>
      <c r="F1059" s="5">
        <v>39954</v>
      </c>
      <c r="G1059" s="4" t="s">
        <v>1182</v>
      </c>
      <c r="H1059" s="4" t="s">
        <v>18</v>
      </c>
      <c r="I1059" s="4" t="s">
        <v>19</v>
      </c>
      <c r="J1059" s="4" t="s">
        <v>20</v>
      </c>
      <c r="K1059" s="4" t="s">
        <v>1182</v>
      </c>
      <c r="L1059" s="4" t="s">
        <v>1696</v>
      </c>
      <c r="M1059" s="4" t="s">
        <v>2459</v>
      </c>
      <c r="N1059" s="4" t="s">
        <v>2460</v>
      </c>
      <c r="O1059" s="4" t="s">
        <v>2463</v>
      </c>
      <c r="P1059" s="4" t="s">
        <v>2464</v>
      </c>
    </row>
    <row r="1060" spans="1:16" ht="15.6" x14ac:dyDescent="0.3">
      <c r="A1060" s="2">
        <v>392236</v>
      </c>
      <c r="B1060" s="2" t="s">
        <v>445</v>
      </c>
      <c r="C1060" s="2" t="s">
        <v>1998</v>
      </c>
      <c r="D1060" s="2" t="str">
        <f t="shared" si="16"/>
        <v>IPL-2009</v>
      </c>
      <c r="E1060" s="2">
        <f>YEAR('IPL Info'!$F1060)</f>
        <v>2009</v>
      </c>
      <c r="F1060" s="3">
        <v>39954</v>
      </c>
      <c r="G1060" s="2" t="s">
        <v>445</v>
      </c>
      <c r="H1060" s="2" t="s">
        <v>31</v>
      </c>
      <c r="I1060" s="2" t="s">
        <v>19</v>
      </c>
      <c r="J1060" s="2" t="s">
        <v>20</v>
      </c>
      <c r="K1060" s="2" t="s">
        <v>445</v>
      </c>
      <c r="L1060" s="2" t="s">
        <v>953</v>
      </c>
      <c r="M1060" s="2" t="s">
        <v>2459</v>
      </c>
      <c r="N1060" s="2" t="s">
        <v>2460</v>
      </c>
      <c r="O1060" s="2" t="s">
        <v>2465</v>
      </c>
      <c r="P1060" s="2" t="s">
        <v>2466</v>
      </c>
    </row>
    <row r="1061" spans="1:16" ht="15.6" x14ac:dyDescent="0.3">
      <c r="A1061" s="4">
        <v>392233</v>
      </c>
      <c r="B1061" s="4" t="s">
        <v>56</v>
      </c>
      <c r="C1061" s="4" t="s">
        <v>77</v>
      </c>
      <c r="D1061" s="4" t="str">
        <f t="shared" si="16"/>
        <v>IPL-2009</v>
      </c>
      <c r="E1061" s="4">
        <f>YEAR('IPL Info'!$F1061)</f>
        <v>2009</v>
      </c>
      <c r="F1061" s="5">
        <v>39953</v>
      </c>
      <c r="G1061" s="4" t="s">
        <v>56</v>
      </c>
      <c r="H1061" s="4" t="s">
        <v>18</v>
      </c>
      <c r="I1061" s="4" t="s">
        <v>19</v>
      </c>
      <c r="J1061" s="4" t="s">
        <v>20</v>
      </c>
      <c r="K1061" s="4" t="s">
        <v>56</v>
      </c>
      <c r="L1061" s="4" t="s">
        <v>2467</v>
      </c>
      <c r="M1061" s="4" t="s">
        <v>2468</v>
      </c>
      <c r="N1061" s="4" t="s">
        <v>2469</v>
      </c>
      <c r="O1061" s="4" t="s">
        <v>2470</v>
      </c>
      <c r="P1061" s="4" t="s">
        <v>2471</v>
      </c>
    </row>
    <row r="1062" spans="1:16" ht="15.6" x14ac:dyDescent="0.3">
      <c r="A1062" s="2">
        <v>392234</v>
      </c>
      <c r="B1062" s="2" t="s">
        <v>51</v>
      </c>
      <c r="C1062" s="2" t="s">
        <v>925</v>
      </c>
      <c r="D1062" s="2" t="str">
        <f t="shared" si="16"/>
        <v>IPL-2009</v>
      </c>
      <c r="E1062" s="2">
        <f>YEAR('IPL Info'!$F1062)</f>
        <v>2009</v>
      </c>
      <c r="F1062" s="3">
        <v>39953</v>
      </c>
      <c r="G1062" s="2" t="s">
        <v>51</v>
      </c>
      <c r="H1062" s="2" t="s">
        <v>31</v>
      </c>
      <c r="I1062" s="2" t="s">
        <v>19</v>
      </c>
      <c r="J1062" s="2" t="s">
        <v>20</v>
      </c>
      <c r="K1062" s="2" t="s">
        <v>51</v>
      </c>
      <c r="L1062" s="2" t="s">
        <v>2472</v>
      </c>
      <c r="M1062" s="2" t="s">
        <v>2468</v>
      </c>
      <c r="N1062" s="2" t="s">
        <v>2469</v>
      </c>
      <c r="O1062" s="2" t="s">
        <v>2473</v>
      </c>
      <c r="P1062" s="2" t="s">
        <v>2474</v>
      </c>
    </row>
    <row r="1063" spans="1:16" ht="15.6" x14ac:dyDescent="0.3">
      <c r="A1063" s="4">
        <v>392232</v>
      </c>
      <c r="B1063" s="4" t="s">
        <v>445</v>
      </c>
      <c r="C1063" s="4" t="s">
        <v>1182</v>
      </c>
      <c r="D1063" s="4" t="str">
        <f t="shared" ref="D1063:D1111" si="17">_xlfn.SINGLE(_xlfn.CONCAT("IPL-",E1063))</f>
        <v>IPL-2009</v>
      </c>
      <c r="E1063" s="4">
        <f>YEAR('IPL Info'!$F1063)</f>
        <v>2009</v>
      </c>
      <c r="F1063" s="5">
        <v>39952</v>
      </c>
      <c r="G1063" s="4" t="s">
        <v>1182</v>
      </c>
      <c r="H1063" s="4" t="s">
        <v>31</v>
      </c>
      <c r="I1063" s="4" t="s">
        <v>19</v>
      </c>
      <c r="J1063" s="4" t="s">
        <v>20</v>
      </c>
      <c r="K1063" s="4" t="s">
        <v>445</v>
      </c>
      <c r="L1063" s="4" t="s">
        <v>1819</v>
      </c>
      <c r="M1063" s="4" t="s">
        <v>2453</v>
      </c>
      <c r="N1063" s="4" t="s">
        <v>2454</v>
      </c>
      <c r="O1063" s="4" t="s">
        <v>2475</v>
      </c>
      <c r="P1063" s="4" t="s">
        <v>2476</v>
      </c>
    </row>
    <row r="1064" spans="1:16" ht="15.6" x14ac:dyDescent="0.3">
      <c r="A1064" s="2">
        <v>392231</v>
      </c>
      <c r="B1064" s="2" t="s">
        <v>51</v>
      </c>
      <c r="C1064" s="2" t="s">
        <v>56</v>
      </c>
      <c r="D1064" s="2" t="str">
        <f t="shared" si="17"/>
        <v>IPL-2009</v>
      </c>
      <c r="E1064" s="2">
        <f>YEAR('IPL Info'!$F1064)</f>
        <v>2009</v>
      </c>
      <c r="F1064" s="3">
        <v>39951</v>
      </c>
      <c r="G1064" s="2" t="s">
        <v>51</v>
      </c>
      <c r="H1064" s="2" t="s">
        <v>31</v>
      </c>
      <c r="I1064" s="2" t="s">
        <v>19</v>
      </c>
      <c r="J1064" s="2" t="s">
        <v>20</v>
      </c>
      <c r="K1064" s="2" t="s">
        <v>56</v>
      </c>
      <c r="L1064" s="2" t="s">
        <v>1826</v>
      </c>
      <c r="M1064" s="2" t="s">
        <v>2459</v>
      </c>
      <c r="N1064" s="2" t="s">
        <v>2460</v>
      </c>
      <c r="O1064" s="2" t="s">
        <v>2477</v>
      </c>
      <c r="P1064" s="2" t="s">
        <v>2478</v>
      </c>
    </row>
    <row r="1065" spans="1:16" ht="15.6" x14ac:dyDescent="0.3">
      <c r="A1065" s="4">
        <v>392229</v>
      </c>
      <c r="B1065" s="4" t="s">
        <v>1998</v>
      </c>
      <c r="C1065" s="4" t="s">
        <v>925</v>
      </c>
      <c r="D1065" s="4" t="str">
        <f t="shared" si="17"/>
        <v>IPL-2009</v>
      </c>
      <c r="E1065" s="4">
        <f>YEAR('IPL Info'!$F1065)</f>
        <v>2009</v>
      </c>
      <c r="F1065" s="5">
        <v>39950</v>
      </c>
      <c r="G1065" s="4" t="s">
        <v>1998</v>
      </c>
      <c r="H1065" s="4" t="s">
        <v>18</v>
      </c>
      <c r="I1065" s="4" t="s">
        <v>19</v>
      </c>
      <c r="J1065" s="4" t="s">
        <v>20</v>
      </c>
      <c r="K1065" s="4" t="s">
        <v>925</v>
      </c>
      <c r="L1065" s="4" t="s">
        <v>1433</v>
      </c>
      <c r="M1065" s="4" t="s">
        <v>2453</v>
      </c>
      <c r="N1065" s="4" t="s">
        <v>2454</v>
      </c>
      <c r="O1065" s="4" t="s">
        <v>2479</v>
      </c>
      <c r="P1065" s="4" t="s">
        <v>2474</v>
      </c>
    </row>
    <row r="1066" spans="1:16" ht="15.6" x14ac:dyDescent="0.3">
      <c r="A1066" s="2">
        <v>392230</v>
      </c>
      <c r="B1066" s="2" t="s">
        <v>1182</v>
      </c>
      <c r="C1066" s="2" t="s">
        <v>77</v>
      </c>
      <c r="D1066" s="2" t="str">
        <f t="shared" si="17"/>
        <v>IPL-2009</v>
      </c>
      <c r="E1066" s="2">
        <f>YEAR('IPL Info'!$F1066)</f>
        <v>2009</v>
      </c>
      <c r="F1066" s="3">
        <v>39950</v>
      </c>
      <c r="G1066" s="2" t="s">
        <v>1182</v>
      </c>
      <c r="H1066" s="2" t="s">
        <v>31</v>
      </c>
      <c r="I1066" s="2" t="s">
        <v>19</v>
      </c>
      <c r="J1066" s="2" t="s">
        <v>20</v>
      </c>
      <c r="K1066" s="2" t="s">
        <v>1182</v>
      </c>
      <c r="L1066" s="2" t="s">
        <v>861</v>
      </c>
      <c r="M1066" s="2" t="s">
        <v>2480</v>
      </c>
      <c r="N1066" s="2" t="s">
        <v>2481</v>
      </c>
      <c r="O1066" s="2" t="s">
        <v>2482</v>
      </c>
      <c r="P1066" s="2" t="s">
        <v>2483</v>
      </c>
    </row>
    <row r="1067" spans="1:16" ht="15.6" x14ac:dyDescent="0.3">
      <c r="A1067" s="4">
        <v>392227</v>
      </c>
      <c r="B1067" s="4" t="s">
        <v>51</v>
      </c>
      <c r="C1067" s="4" t="s">
        <v>26</v>
      </c>
      <c r="D1067" s="4" t="str">
        <f t="shared" si="17"/>
        <v>IPL-2009</v>
      </c>
      <c r="E1067" s="4">
        <f>YEAR('IPL Info'!$F1067)</f>
        <v>2009</v>
      </c>
      <c r="F1067" s="5">
        <v>39949</v>
      </c>
      <c r="G1067" s="4" t="s">
        <v>26</v>
      </c>
      <c r="H1067" s="4" t="s">
        <v>31</v>
      </c>
      <c r="I1067" s="4" t="s">
        <v>19</v>
      </c>
      <c r="J1067" s="4" t="s">
        <v>20</v>
      </c>
      <c r="K1067" s="4" t="s">
        <v>51</v>
      </c>
      <c r="L1067" s="4" t="s">
        <v>2428</v>
      </c>
      <c r="M1067" s="4" t="s">
        <v>2484</v>
      </c>
      <c r="N1067" s="4" t="s">
        <v>2485</v>
      </c>
      <c r="O1067" s="4" t="s">
        <v>2486</v>
      </c>
      <c r="P1067" s="4" t="s">
        <v>2487</v>
      </c>
    </row>
    <row r="1068" spans="1:16" ht="15.6" x14ac:dyDescent="0.3">
      <c r="A1068" s="2">
        <v>392228</v>
      </c>
      <c r="B1068" s="2" t="s">
        <v>1998</v>
      </c>
      <c r="C1068" s="2" t="s">
        <v>56</v>
      </c>
      <c r="D1068" s="2" t="str">
        <f t="shared" si="17"/>
        <v>IPL-2009</v>
      </c>
      <c r="E1068" s="2">
        <f>YEAR('IPL Info'!$F1068)</f>
        <v>2009</v>
      </c>
      <c r="F1068" s="3">
        <v>39949</v>
      </c>
      <c r="G1068" s="2" t="s">
        <v>1998</v>
      </c>
      <c r="H1068" s="2" t="s">
        <v>18</v>
      </c>
      <c r="I1068" s="2" t="s">
        <v>19</v>
      </c>
      <c r="J1068" s="2" t="s">
        <v>20</v>
      </c>
      <c r="K1068" s="2" t="s">
        <v>1998</v>
      </c>
      <c r="L1068" s="2" t="s">
        <v>32</v>
      </c>
      <c r="M1068" s="2" t="s">
        <v>2453</v>
      </c>
      <c r="N1068" s="2" t="s">
        <v>2454</v>
      </c>
      <c r="O1068" s="2" t="s">
        <v>2488</v>
      </c>
      <c r="P1068" s="2" t="s">
        <v>2489</v>
      </c>
    </row>
    <row r="1069" spans="1:16" ht="15.6" x14ac:dyDescent="0.3">
      <c r="A1069" s="4">
        <v>392226</v>
      </c>
      <c r="B1069" s="4" t="s">
        <v>1182</v>
      </c>
      <c r="C1069" s="4" t="s">
        <v>925</v>
      </c>
      <c r="D1069" s="4" t="str">
        <f t="shared" si="17"/>
        <v>IPL-2009</v>
      </c>
      <c r="E1069" s="4">
        <f>YEAR('IPL Info'!$F1069)</f>
        <v>2009</v>
      </c>
      <c r="F1069" s="5">
        <v>39948</v>
      </c>
      <c r="G1069" s="4" t="s">
        <v>925</v>
      </c>
      <c r="H1069" s="4" t="s">
        <v>18</v>
      </c>
      <c r="I1069" s="4" t="s">
        <v>19</v>
      </c>
      <c r="J1069" s="4" t="s">
        <v>20</v>
      </c>
      <c r="K1069" s="4" t="s">
        <v>925</v>
      </c>
      <c r="L1069" s="4" t="s">
        <v>2088</v>
      </c>
      <c r="M1069" s="4" t="s">
        <v>2480</v>
      </c>
      <c r="N1069" s="4" t="s">
        <v>2481</v>
      </c>
      <c r="O1069" s="4" t="s">
        <v>2490</v>
      </c>
      <c r="P1069" s="4" t="s">
        <v>2491</v>
      </c>
    </row>
    <row r="1070" spans="1:16" ht="15.6" x14ac:dyDescent="0.3">
      <c r="A1070" s="2">
        <v>392224</v>
      </c>
      <c r="B1070" s="2" t="s">
        <v>445</v>
      </c>
      <c r="C1070" s="2" t="s">
        <v>51</v>
      </c>
      <c r="D1070" s="2" t="str">
        <f t="shared" si="17"/>
        <v>IPL-2009</v>
      </c>
      <c r="E1070" s="2">
        <f>YEAR('IPL Info'!$F1070)</f>
        <v>2009</v>
      </c>
      <c r="F1070" s="3">
        <v>39947</v>
      </c>
      <c r="G1070" s="2" t="s">
        <v>51</v>
      </c>
      <c r="H1070" s="2" t="s">
        <v>31</v>
      </c>
      <c r="I1070" s="2" t="s">
        <v>19</v>
      </c>
      <c r="J1070" s="2" t="s">
        <v>20</v>
      </c>
      <c r="K1070" s="2" t="s">
        <v>445</v>
      </c>
      <c r="L1070" s="2" t="s">
        <v>2237</v>
      </c>
      <c r="M1070" s="2" t="s">
        <v>2468</v>
      </c>
      <c r="N1070" s="2" t="s">
        <v>2469</v>
      </c>
      <c r="O1070" s="2" t="s">
        <v>2492</v>
      </c>
      <c r="P1070" s="2" t="s">
        <v>2493</v>
      </c>
    </row>
    <row r="1071" spans="1:16" ht="15.6" x14ac:dyDescent="0.3">
      <c r="A1071" s="4">
        <v>392225</v>
      </c>
      <c r="B1071" s="4" t="s">
        <v>26</v>
      </c>
      <c r="C1071" s="4" t="s">
        <v>77</v>
      </c>
      <c r="D1071" s="4" t="str">
        <f t="shared" si="17"/>
        <v>IPL-2009</v>
      </c>
      <c r="E1071" s="4">
        <f>YEAR('IPL Info'!$F1071)</f>
        <v>2009</v>
      </c>
      <c r="F1071" s="5">
        <v>39947</v>
      </c>
      <c r="G1071" s="4" t="s">
        <v>77</v>
      </c>
      <c r="H1071" s="4" t="s">
        <v>31</v>
      </c>
      <c r="I1071" s="4" t="s">
        <v>19</v>
      </c>
      <c r="J1071" s="4" t="s">
        <v>20</v>
      </c>
      <c r="K1071" s="4" t="s">
        <v>77</v>
      </c>
      <c r="L1071" s="4" t="s">
        <v>2260</v>
      </c>
      <c r="M1071" s="4" t="s">
        <v>2468</v>
      </c>
      <c r="N1071" s="4" t="s">
        <v>2469</v>
      </c>
      <c r="O1071" s="4" t="s">
        <v>2494</v>
      </c>
      <c r="P1071" s="4" t="s">
        <v>2495</v>
      </c>
    </row>
    <row r="1072" spans="1:16" ht="15.6" x14ac:dyDescent="0.3">
      <c r="A1072" s="2">
        <v>392223</v>
      </c>
      <c r="B1072" s="2" t="s">
        <v>1998</v>
      </c>
      <c r="C1072" s="2" t="s">
        <v>1182</v>
      </c>
      <c r="D1072" s="2" t="str">
        <f t="shared" si="17"/>
        <v>IPL-2009</v>
      </c>
      <c r="E1072" s="2">
        <f>YEAR('IPL Info'!$F1072)</f>
        <v>2009</v>
      </c>
      <c r="F1072" s="3">
        <v>39946</v>
      </c>
      <c r="G1072" s="2" t="s">
        <v>1998</v>
      </c>
      <c r="H1072" s="2" t="s">
        <v>18</v>
      </c>
      <c r="I1072" s="2" t="s">
        <v>19</v>
      </c>
      <c r="J1072" s="2" t="s">
        <v>20</v>
      </c>
      <c r="K1072" s="2" t="s">
        <v>1182</v>
      </c>
      <c r="L1072" s="2" t="s">
        <v>2496</v>
      </c>
      <c r="M1072" s="2" t="s">
        <v>2468</v>
      </c>
      <c r="N1072" s="2" t="s">
        <v>2469</v>
      </c>
      <c r="O1072" s="2" t="s">
        <v>2497</v>
      </c>
      <c r="P1072" s="2" t="s">
        <v>2498</v>
      </c>
    </row>
    <row r="1073" spans="1:16" ht="15.6" x14ac:dyDescent="0.3">
      <c r="A1073" s="4">
        <v>392221</v>
      </c>
      <c r="B1073" s="4" t="s">
        <v>445</v>
      </c>
      <c r="C1073" s="4" t="s">
        <v>56</v>
      </c>
      <c r="D1073" s="4" t="str">
        <f t="shared" si="17"/>
        <v>IPL-2009</v>
      </c>
      <c r="E1073" s="4">
        <f>YEAR('IPL Info'!$F1073)</f>
        <v>2009</v>
      </c>
      <c r="F1073" s="5">
        <v>39945</v>
      </c>
      <c r="G1073" s="4" t="s">
        <v>445</v>
      </c>
      <c r="H1073" s="4" t="s">
        <v>18</v>
      </c>
      <c r="I1073" s="4" t="s">
        <v>19</v>
      </c>
      <c r="J1073" s="4" t="s">
        <v>20</v>
      </c>
      <c r="K1073" s="4" t="s">
        <v>445</v>
      </c>
      <c r="L1073" s="4" t="s">
        <v>2237</v>
      </c>
      <c r="M1073" s="4" t="s">
        <v>2459</v>
      </c>
      <c r="N1073" s="4" t="s">
        <v>2460</v>
      </c>
      <c r="O1073" s="4" t="s">
        <v>2499</v>
      </c>
      <c r="P1073" s="4" t="s">
        <v>2500</v>
      </c>
    </row>
    <row r="1074" spans="1:16" ht="15.6" x14ac:dyDescent="0.3">
      <c r="A1074" s="2">
        <v>392222</v>
      </c>
      <c r="B1074" s="2" t="s">
        <v>925</v>
      </c>
      <c r="C1074" s="2" t="s">
        <v>26</v>
      </c>
      <c r="D1074" s="2" t="str">
        <f t="shared" si="17"/>
        <v>IPL-2009</v>
      </c>
      <c r="E1074" s="2">
        <f>YEAR('IPL Info'!$F1074)</f>
        <v>2009</v>
      </c>
      <c r="F1074" s="3">
        <v>39945</v>
      </c>
      <c r="G1074" s="2" t="s">
        <v>925</v>
      </c>
      <c r="H1074" s="2" t="s">
        <v>31</v>
      </c>
      <c r="I1074" s="2" t="s">
        <v>19</v>
      </c>
      <c r="J1074" s="2" t="s">
        <v>20</v>
      </c>
      <c r="K1074" s="2" t="s">
        <v>26</v>
      </c>
      <c r="L1074" s="2" t="s">
        <v>1129</v>
      </c>
      <c r="M1074" s="2" t="s">
        <v>2459</v>
      </c>
      <c r="N1074" s="2" t="s">
        <v>2460</v>
      </c>
      <c r="O1074" s="2" t="s">
        <v>2501</v>
      </c>
      <c r="P1074" s="2" t="s">
        <v>2502</v>
      </c>
    </row>
    <row r="1075" spans="1:16" ht="15.6" x14ac:dyDescent="0.3">
      <c r="A1075" s="4">
        <v>392220</v>
      </c>
      <c r="B1075" s="4" t="s">
        <v>1998</v>
      </c>
      <c r="C1075" s="4" t="s">
        <v>77</v>
      </c>
      <c r="D1075" s="4" t="str">
        <f t="shared" si="17"/>
        <v>IPL-2009</v>
      </c>
      <c r="E1075" s="4">
        <f>YEAR('IPL Info'!$F1075)</f>
        <v>2009</v>
      </c>
      <c r="F1075" s="5">
        <v>39944</v>
      </c>
      <c r="G1075" s="4" t="s">
        <v>1998</v>
      </c>
      <c r="H1075" s="4" t="s">
        <v>31</v>
      </c>
      <c r="I1075" s="4" t="s">
        <v>19</v>
      </c>
      <c r="J1075" s="4" t="s">
        <v>20</v>
      </c>
      <c r="K1075" s="4" t="s">
        <v>1998</v>
      </c>
      <c r="L1075" s="4" t="s">
        <v>1333</v>
      </c>
      <c r="M1075" s="4" t="s">
        <v>2503</v>
      </c>
      <c r="N1075" s="4" t="s">
        <v>2504</v>
      </c>
      <c r="O1075" s="4" t="s">
        <v>2505</v>
      </c>
      <c r="P1075" s="4" t="s">
        <v>2506</v>
      </c>
    </row>
    <row r="1076" spans="1:16" ht="15.6" x14ac:dyDescent="0.3">
      <c r="A1076" s="2">
        <v>392218</v>
      </c>
      <c r="B1076" s="2" t="s">
        <v>445</v>
      </c>
      <c r="C1076" s="2" t="s">
        <v>26</v>
      </c>
      <c r="D1076" s="2" t="str">
        <f t="shared" si="17"/>
        <v>IPL-2009</v>
      </c>
      <c r="E1076" s="2">
        <f>YEAR('IPL Info'!$F1076)</f>
        <v>2009</v>
      </c>
      <c r="F1076" s="3">
        <v>39943</v>
      </c>
      <c r="G1076" s="2" t="s">
        <v>26</v>
      </c>
      <c r="H1076" s="2" t="s">
        <v>31</v>
      </c>
      <c r="I1076" s="2" t="s">
        <v>19</v>
      </c>
      <c r="J1076" s="2" t="s">
        <v>20</v>
      </c>
      <c r="K1076" s="2" t="s">
        <v>26</v>
      </c>
      <c r="L1076" s="2" t="s">
        <v>1665</v>
      </c>
      <c r="M1076" s="2" t="s">
        <v>2484</v>
      </c>
      <c r="N1076" s="2" t="s">
        <v>2485</v>
      </c>
      <c r="O1076" s="2" t="s">
        <v>2507</v>
      </c>
      <c r="P1076" s="2" t="s">
        <v>2508</v>
      </c>
    </row>
    <row r="1077" spans="1:16" ht="15.6" x14ac:dyDescent="0.3">
      <c r="A1077" s="4">
        <v>392219</v>
      </c>
      <c r="B1077" s="4" t="s">
        <v>1182</v>
      </c>
      <c r="C1077" s="4" t="s">
        <v>56</v>
      </c>
      <c r="D1077" s="4" t="str">
        <f t="shared" si="17"/>
        <v>IPL-2009</v>
      </c>
      <c r="E1077" s="4">
        <f>YEAR('IPL Info'!$F1077)</f>
        <v>2009</v>
      </c>
      <c r="F1077" s="5">
        <v>39943</v>
      </c>
      <c r="G1077" s="4" t="s">
        <v>1182</v>
      </c>
      <c r="H1077" s="4" t="s">
        <v>18</v>
      </c>
      <c r="I1077" s="4" t="s">
        <v>19</v>
      </c>
      <c r="J1077" s="4" t="s">
        <v>20</v>
      </c>
      <c r="K1077" s="4" t="s">
        <v>1182</v>
      </c>
      <c r="L1077" s="4" t="s">
        <v>882</v>
      </c>
      <c r="M1077" s="4" t="s">
        <v>2453</v>
      </c>
      <c r="N1077" s="4" t="s">
        <v>2454</v>
      </c>
      <c r="O1077" s="4" t="s">
        <v>2509</v>
      </c>
      <c r="P1077" s="4" t="s">
        <v>2510</v>
      </c>
    </row>
    <row r="1078" spans="1:16" ht="15.6" x14ac:dyDescent="0.3">
      <c r="A1078" s="2">
        <v>392217</v>
      </c>
      <c r="B1078" s="2" t="s">
        <v>51</v>
      </c>
      <c r="C1078" s="2" t="s">
        <v>77</v>
      </c>
      <c r="D1078" s="2" t="str">
        <f t="shared" si="17"/>
        <v>IPL-2009</v>
      </c>
      <c r="E1078" s="2">
        <f>YEAR('IPL Info'!$F1078)</f>
        <v>2009</v>
      </c>
      <c r="F1078" s="3">
        <v>39942</v>
      </c>
      <c r="G1078" s="2" t="s">
        <v>77</v>
      </c>
      <c r="H1078" s="2" t="s">
        <v>31</v>
      </c>
      <c r="I1078" s="2" t="s">
        <v>19</v>
      </c>
      <c r="J1078" s="2" t="s">
        <v>20</v>
      </c>
      <c r="K1078" s="2" t="s">
        <v>51</v>
      </c>
      <c r="L1078" s="2" t="s">
        <v>2511</v>
      </c>
      <c r="M1078" s="2" t="s">
        <v>2503</v>
      </c>
      <c r="N1078" s="2" t="s">
        <v>2504</v>
      </c>
      <c r="O1078" s="2" t="s">
        <v>2512</v>
      </c>
      <c r="P1078" s="2" t="s">
        <v>2513</v>
      </c>
    </row>
    <row r="1079" spans="1:16" ht="15.6" x14ac:dyDescent="0.3">
      <c r="A1079" s="4">
        <v>392216</v>
      </c>
      <c r="B1079" s="4" t="s">
        <v>1998</v>
      </c>
      <c r="C1079" s="4" t="s">
        <v>925</v>
      </c>
      <c r="D1079" s="4" t="str">
        <f t="shared" si="17"/>
        <v>IPL-2009</v>
      </c>
      <c r="E1079" s="4">
        <f>YEAR('IPL Info'!$F1079)</f>
        <v>2009</v>
      </c>
      <c r="F1079" s="5">
        <v>39942</v>
      </c>
      <c r="G1079" s="4" t="s">
        <v>925</v>
      </c>
      <c r="H1079" s="4" t="s">
        <v>18</v>
      </c>
      <c r="I1079" s="4" t="s">
        <v>19</v>
      </c>
      <c r="J1079" s="4" t="s">
        <v>20</v>
      </c>
      <c r="K1079" s="4" t="s">
        <v>925</v>
      </c>
      <c r="L1079" s="4" t="s">
        <v>2272</v>
      </c>
      <c r="M1079" s="4" t="s">
        <v>2503</v>
      </c>
      <c r="N1079" s="4" t="s">
        <v>2504</v>
      </c>
      <c r="O1079" s="4" t="s">
        <v>2514</v>
      </c>
      <c r="P1079" s="4" t="s">
        <v>2515</v>
      </c>
    </row>
    <row r="1080" spans="1:16" ht="15.6" x14ac:dyDescent="0.3">
      <c r="A1080" s="2">
        <v>392215</v>
      </c>
      <c r="B1080" s="2" t="s">
        <v>1182</v>
      </c>
      <c r="C1080" s="2" t="s">
        <v>26</v>
      </c>
      <c r="D1080" s="2" t="str">
        <f t="shared" si="17"/>
        <v>IPL-2009</v>
      </c>
      <c r="E1080" s="2">
        <f>YEAR('IPL Info'!$F1080)</f>
        <v>2009</v>
      </c>
      <c r="F1080" s="3">
        <v>39941</v>
      </c>
      <c r="G1080" s="2" t="s">
        <v>26</v>
      </c>
      <c r="H1080" s="2" t="s">
        <v>31</v>
      </c>
      <c r="I1080" s="2" t="s">
        <v>19</v>
      </c>
      <c r="J1080" s="2" t="s">
        <v>20</v>
      </c>
      <c r="K1080" s="2" t="s">
        <v>1182</v>
      </c>
      <c r="L1080" s="2" t="s">
        <v>1486</v>
      </c>
      <c r="M1080" s="2" t="s">
        <v>2516</v>
      </c>
      <c r="N1080" s="2" t="s">
        <v>2517</v>
      </c>
      <c r="O1080" s="2" t="s">
        <v>2518</v>
      </c>
      <c r="P1080" s="2" t="s">
        <v>2519</v>
      </c>
    </row>
    <row r="1081" spans="1:16" ht="15.6" x14ac:dyDescent="0.3">
      <c r="A1081" s="4">
        <v>392214</v>
      </c>
      <c r="B1081" s="4" t="s">
        <v>51</v>
      </c>
      <c r="C1081" s="4" t="s">
        <v>925</v>
      </c>
      <c r="D1081" s="4" t="str">
        <f t="shared" si="17"/>
        <v>IPL-2009</v>
      </c>
      <c r="E1081" s="4">
        <f>YEAR('IPL Info'!$F1081)</f>
        <v>2009</v>
      </c>
      <c r="F1081" s="5">
        <v>39940</v>
      </c>
      <c r="G1081" s="4" t="s">
        <v>51</v>
      </c>
      <c r="H1081" s="4" t="s">
        <v>31</v>
      </c>
      <c r="I1081" s="4" t="s">
        <v>19</v>
      </c>
      <c r="J1081" s="4" t="s">
        <v>20</v>
      </c>
      <c r="K1081" s="4" t="s">
        <v>51</v>
      </c>
      <c r="L1081" s="4" t="s">
        <v>2428</v>
      </c>
      <c r="M1081" s="4" t="s">
        <v>2459</v>
      </c>
      <c r="N1081" s="4" t="s">
        <v>2460</v>
      </c>
      <c r="O1081" s="4" t="s">
        <v>2520</v>
      </c>
      <c r="P1081" s="4" t="s">
        <v>2521</v>
      </c>
    </row>
    <row r="1082" spans="1:16" ht="15.6" x14ac:dyDescent="0.3">
      <c r="A1082" s="2">
        <v>392213</v>
      </c>
      <c r="B1082" s="2" t="s">
        <v>445</v>
      </c>
      <c r="C1082" s="2" t="s">
        <v>77</v>
      </c>
      <c r="D1082" s="2" t="str">
        <f t="shared" si="17"/>
        <v>IPL-2009</v>
      </c>
      <c r="E1082" s="2">
        <f>YEAR('IPL Info'!$F1082)</f>
        <v>2009</v>
      </c>
      <c r="F1082" s="3">
        <v>39940</v>
      </c>
      <c r="G1082" s="2" t="s">
        <v>77</v>
      </c>
      <c r="H1082" s="2" t="s">
        <v>18</v>
      </c>
      <c r="I1082" s="2" t="s">
        <v>19</v>
      </c>
      <c r="J1082" s="2" t="s">
        <v>20</v>
      </c>
      <c r="K1082" s="2" t="s">
        <v>77</v>
      </c>
      <c r="L1082" s="2" t="s">
        <v>2522</v>
      </c>
      <c r="M1082" s="2" t="s">
        <v>2459</v>
      </c>
      <c r="N1082" s="2" t="s">
        <v>2460</v>
      </c>
      <c r="O1082" s="2" t="s">
        <v>2523</v>
      </c>
      <c r="P1082" s="2" t="s">
        <v>2524</v>
      </c>
    </row>
    <row r="1083" spans="1:16" ht="15.6" x14ac:dyDescent="0.3">
      <c r="A1083" s="4">
        <v>392212</v>
      </c>
      <c r="B1083" s="4" t="s">
        <v>1998</v>
      </c>
      <c r="C1083" s="4" t="s">
        <v>26</v>
      </c>
      <c r="D1083" s="4" t="str">
        <f t="shared" si="17"/>
        <v>IPL-2009</v>
      </c>
      <c r="E1083" s="4">
        <f>YEAR('IPL Info'!$F1083)</f>
        <v>2009</v>
      </c>
      <c r="F1083" s="5">
        <v>39939</v>
      </c>
      <c r="G1083" s="4" t="s">
        <v>1998</v>
      </c>
      <c r="H1083" s="4" t="s">
        <v>31</v>
      </c>
      <c r="I1083" s="4" t="s">
        <v>19</v>
      </c>
      <c r="J1083" s="4" t="s">
        <v>20</v>
      </c>
      <c r="K1083" s="4" t="s">
        <v>1998</v>
      </c>
      <c r="L1083" s="4" t="s">
        <v>32</v>
      </c>
      <c r="M1083" s="4" t="s">
        <v>2459</v>
      </c>
      <c r="N1083" s="4" t="s">
        <v>2460</v>
      </c>
      <c r="O1083" s="4" t="s">
        <v>2525</v>
      </c>
      <c r="P1083" s="4" t="s">
        <v>2526</v>
      </c>
    </row>
    <row r="1084" spans="1:16" ht="15.6" x14ac:dyDescent="0.3">
      <c r="A1084" s="2">
        <v>392211</v>
      </c>
      <c r="B1084" s="2" t="s">
        <v>1182</v>
      </c>
      <c r="C1084" s="2" t="s">
        <v>56</v>
      </c>
      <c r="D1084" s="2" t="str">
        <f t="shared" si="17"/>
        <v>IPL-2009</v>
      </c>
      <c r="E1084" s="2">
        <f>YEAR('IPL Info'!$F1084)</f>
        <v>2009</v>
      </c>
      <c r="F1084" s="3">
        <v>39938</v>
      </c>
      <c r="G1084" s="2" t="s">
        <v>56</v>
      </c>
      <c r="H1084" s="2" t="s">
        <v>31</v>
      </c>
      <c r="I1084" s="2" t="s">
        <v>19</v>
      </c>
      <c r="J1084" s="2" t="s">
        <v>20</v>
      </c>
      <c r="K1084" s="2" t="s">
        <v>1182</v>
      </c>
      <c r="L1084" s="2" t="s">
        <v>1364</v>
      </c>
      <c r="M1084" s="2" t="s">
        <v>2468</v>
      </c>
      <c r="N1084" s="2" t="s">
        <v>2469</v>
      </c>
      <c r="O1084" s="2" t="s">
        <v>2518</v>
      </c>
      <c r="P1084" s="2" t="s">
        <v>2527</v>
      </c>
    </row>
    <row r="1085" spans="1:16" ht="15.6" x14ac:dyDescent="0.3">
      <c r="A1085" s="4">
        <v>392210</v>
      </c>
      <c r="B1085" s="4" t="s">
        <v>925</v>
      </c>
      <c r="C1085" s="4" t="s">
        <v>77</v>
      </c>
      <c r="D1085" s="4" t="str">
        <f t="shared" si="17"/>
        <v>IPL-2009</v>
      </c>
      <c r="E1085" s="4">
        <f>YEAR('IPL Info'!$F1085)</f>
        <v>2009</v>
      </c>
      <c r="F1085" s="5">
        <v>39938</v>
      </c>
      <c r="G1085" s="4" t="s">
        <v>925</v>
      </c>
      <c r="H1085" s="4" t="s">
        <v>18</v>
      </c>
      <c r="I1085" s="4" t="s">
        <v>19</v>
      </c>
      <c r="J1085" s="4" t="s">
        <v>20</v>
      </c>
      <c r="K1085" s="4" t="s">
        <v>77</v>
      </c>
      <c r="L1085" s="4" t="s">
        <v>2528</v>
      </c>
      <c r="M1085" s="4" t="s">
        <v>2468</v>
      </c>
      <c r="N1085" s="4" t="s">
        <v>2469</v>
      </c>
      <c r="O1085" s="4" t="s">
        <v>2529</v>
      </c>
      <c r="P1085" s="4" t="s">
        <v>2530</v>
      </c>
    </row>
    <row r="1086" spans="1:16" ht="15.6" x14ac:dyDescent="0.3">
      <c r="A1086" s="2">
        <v>392209</v>
      </c>
      <c r="B1086" s="2" t="s">
        <v>51</v>
      </c>
      <c r="C1086" s="2" t="s">
        <v>1998</v>
      </c>
      <c r="D1086" s="2" t="str">
        <f t="shared" si="17"/>
        <v>IPL-2009</v>
      </c>
      <c r="E1086" s="2">
        <f>YEAR('IPL Info'!$F1086)</f>
        <v>2009</v>
      </c>
      <c r="F1086" s="3">
        <v>39937</v>
      </c>
      <c r="G1086" s="2" t="s">
        <v>51</v>
      </c>
      <c r="H1086" s="2" t="s">
        <v>31</v>
      </c>
      <c r="I1086" s="2" t="s">
        <v>19</v>
      </c>
      <c r="J1086" s="2" t="s">
        <v>20</v>
      </c>
      <c r="K1086" s="2" t="s">
        <v>51</v>
      </c>
      <c r="L1086" s="2" t="s">
        <v>180</v>
      </c>
      <c r="M1086" s="2" t="s">
        <v>2516</v>
      </c>
      <c r="N1086" s="2" t="s">
        <v>2517</v>
      </c>
      <c r="O1086" s="2" t="s">
        <v>2531</v>
      </c>
      <c r="P1086" s="2" t="s">
        <v>2532</v>
      </c>
    </row>
    <row r="1087" spans="1:16" ht="15.6" x14ac:dyDescent="0.3">
      <c r="A1087" s="4">
        <v>392207</v>
      </c>
      <c r="B1087" s="4" t="s">
        <v>925</v>
      </c>
      <c r="C1087" s="4" t="s">
        <v>56</v>
      </c>
      <c r="D1087" s="4" t="str">
        <f t="shared" si="17"/>
        <v>IPL-2009</v>
      </c>
      <c r="E1087" s="4">
        <f>YEAR('IPL Info'!$F1087)</f>
        <v>2009</v>
      </c>
      <c r="F1087" s="5">
        <v>39936</v>
      </c>
      <c r="G1087" s="4" t="s">
        <v>56</v>
      </c>
      <c r="H1087" s="4" t="s">
        <v>31</v>
      </c>
      <c r="I1087" s="4" t="s">
        <v>19</v>
      </c>
      <c r="J1087" s="4" t="s">
        <v>20</v>
      </c>
      <c r="K1087" s="4" t="s">
        <v>925</v>
      </c>
      <c r="L1087" s="4" t="s">
        <v>2272</v>
      </c>
      <c r="M1087" s="4" t="s">
        <v>2484</v>
      </c>
      <c r="N1087" s="4" t="s">
        <v>2485</v>
      </c>
      <c r="O1087" s="4" t="s">
        <v>2533</v>
      </c>
      <c r="P1087" s="4" t="s">
        <v>2534</v>
      </c>
    </row>
    <row r="1088" spans="1:16" ht="15.6" x14ac:dyDescent="0.3">
      <c r="A1088" s="2">
        <v>392208</v>
      </c>
      <c r="B1088" s="2" t="s">
        <v>445</v>
      </c>
      <c r="C1088" s="2" t="s">
        <v>26</v>
      </c>
      <c r="D1088" s="2" t="str">
        <f t="shared" si="17"/>
        <v>IPL-2009</v>
      </c>
      <c r="E1088" s="2">
        <f>YEAR('IPL Info'!$F1088)</f>
        <v>2009</v>
      </c>
      <c r="F1088" s="3">
        <v>39936</v>
      </c>
      <c r="G1088" s="2" t="s">
        <v>26</v>
      </c>
      <c r="H1088" s="2" t="s">
        <v>31</v>
      </c>
      <c r="I1088" s="2" t="s">
        <v>19</v>
      </c>
      <c r="J1088" s="2" t="s">
        <v>20</v>
      </c>
      <c r="K1088" s="2" t="s">
        <v>445</v>
      </c>
      <c r="L1088" s="2" t="s">
        <v>1819</v>
      </c>
      <c r="M1088" s="2" t="s">
        <v>2453</v>
      </c>
      <c r="N1088" s="2" t="s">
        <v>2454</v>
      </c>
      <c r="O1088" s="2" t="s">
        <v>2523</v>
      </c>
      <c r="P1088" s="2" t="s">
        <v>2535</v>
      </c>
    </row>
    <row r="1089" spans="1:16" ht="15.6" x14ac:dyDescent="0.3">
      <c r="A1089" s="4">
        <v>392206</v>
      </c>
      <c r="B1089" s="4" t="s">
        <v>51</v>
      </c>
      <c r="C1089" s="4" t="s">
        <v>1182</v>
      </c>
      <c r="D1089" s="4" t="str">
        <f t="shared" si="17"/>
        <v>IPL-2009</v>
      </c>
      <c r="E1089" s="4">
        <f>YEAR('IPL Info'!$F1089)</f>
        <v>2009</v>
      </c>
      <c r="F1089" s="5">
        <v>39935</v>
      </c>
      <c r="G1089" s="4" t="s">
        <v>1182</v>
      </c>
      <c r="H1089" s="4" t="s">
        <v>18</v>
      </c>
      <c r="I1089" s="4" t="s">
        <v>19</v>
      </c>
      <c r="J1089" s="4" t="s">
        <v>20</v>
      </c>
      <c r="K1089" s="4" t="s">
        <v>51</v>
      </c>
      <c r="L1089" s="4" t="s">
        <v>2536</v>
      </c>
      <c r="M1089" s="4" t="s">
        <v>2453</v>
      </c>
      <c r="N1089" s="4" t="s">
        <v>2454</v>
      </c>
      <c r="O1089" s="4" t="s">
        <v>2537</v>
      </c>
      <c r="P1089" s="4" t="s">
        <v>2538</v>
      </c>
    </row>
    <row r="1090" spans="1:16" ht="15.6" x14ac:dyDescent="0.3">
      <c r="A1090" s="2">
        <v>392205</v>
      </c>
      <c r="B1090" s="2" t="s">
        <v>1998</v>
      </c>
      <c r="C1090" s="2" t="s">
        <v>77</v>
      </c>
      <c r="D1090" s="2" t="str">
        <f t="shared" si="17"/>
        <v>IPL-2009</v>
      </c>
      <c r="E1090" s="2">
        <f>YEAR('IPL Info'!$F1090)</f>
        <v>2009</v>
      </c>
      <c r="F1090" s="3">
        <v>39935</v>
      </c>
      <c r="G1090" s="2" t="s">
        <v>1998</v>
      </c>
      <c r="H1090" s="2" t="s">
        <v>31</v>
      </c>
      <c r="I1090" s="2" t="s">
        <v>19</v>
      </c>
      <c r="J1090" s="2" t="s">
        <v>20</v>
      </c>
      <c r="K1090" s="2" t="s">
        <v>77</v>
      </c>
      <c r="L1090" s="2" t="s">
        <v>1445</v>
      </c>
      <c r="M1090" s="2" t="s">
        <v>2484</v>
      </c>
      <c r="N1090" s="2" t="s">
        <v>2485</v>
      </c>
      <c r="O1090" s="2" t="s">
        <v>2539</v>
      </c>
      <c r="P1090" s="2" t="s">
        <v>2540</v>
      </c>
    </row>
    <row r="1091" spans="1:16" ht="15.6" x14ac:dyDescent="0.3">
      <c r="A1091" s="4">
        <v>392203</v>
      </c>
      <c r="B1091" s="4" t="s">
        <v>56</v>
      </c>
      <c r="C1091" s="4" t="s">
        <v>26</v>
      </c>
      <c r="D1091" s="4" t="str">
        <f t="shared" si="17"/>
        <v>IPL-2009</v>
      </c>
      <c r="E1091" s="4">
        <f>YEAR('IPL Info'!$F1091)</f>
        <v>2009</v>
      </c>
      <c r="F1091" s="5">
        <v>39934</v>
      </c>
      <c r="G1091" s="4" t="s">
        <v>26</v>
      </c>
      <c r="H1091" s="4" t="s">
        <v>31</v>
      </c>
      <c r="I1091" s="4" t="s">
        <v>19</v>
      </c>
      <c r="J1091" s="4" t="s">
        <v>20</v>
      </c>
      <c r="K1091" s="4" t="s">
        <v>26</v>
      </c>
      <c r="L1091" s="4" t="s">
        <v>1665</v>
      </c>
      <c r="M1091" s="4" t="s">
        <v>2516</v>
      </c>
      <c r="N1091" s="4" t="s">
        <v>2517</v>
      </c>
      <c r="O1091" s="4" t="s">
        <v>2541</v>
      </c>
      <c r="P1091" s="4" t="s">
        <v>2542</v>
      </c>
    </row>
    <row r="1092" spans="1:16" ht="15.6" x14ac:dyDescent="0.3">
      <c r="A1092" s="2">
        <v>392204</v>
      </c>
      <c r="B1092" s="2" t="s">
        <v>445</v>
      </c>
      <c r="C1092" s="2" t="s">
        <v>925</v>
      </c>
      <c r="D1092" s="2" t="str">
        <f t="shared" si="17"/>
        <v>IPL-2009</v>
      </c>
      <c r="E1092" s="2">
        <f>YEAR('IPL Info'!$F1092)</f>
        <v>2009</v>
      </c>
      <c r="F1092" s="3">
        <v>39934</v>
      </c>
      <c r="G1092" s="2" t="s">
        <v>445</v>
      </c>
      <c r="H1092" s="2" t="s">
        <v>31</v>
      </c>
      <c r="I1092" s="2" t="s">
        <v>19</v>
      </c>
      <c r="J1092" s="2" t="s">
        <v>20</v>
      </c>
      <c r="K1092" s="2" t="s">
        <v>445</v>
      </c>
      <c r="L1092" s="2" t="s">
        <v>1433</v>
      </c>
      <c r="M1092" s="2" t="s">
        <v>2468</v>
      </c>
      <c r="N1092" s="2" t="s">
        <v>2469</v>
      </c>
      <c r="O1092" s="2" t="s">
        <v>2543</v>
      </c>
      <c r="P1092" s="2" t="s">
        <v>2544</v>
      </c>
    </row>
    <row r="1093" spans="1:16" ht="15.6" x14ac:dyDescent="0.3">
      <c r="A1093" s="4">
        <v>392202</v>
      </c>
      <c r="B1093" s="4" t="s">
        <v>51</v>
      </c>
      <c r="C1093" s="4" t="s">
        <v>77</v>
      </c>
      <c r="D1093" s="4" t="str">
        <f t="shared" si="17"/>
        <v>IPL-2009</v>
      </c>
      <c r="E1093" s="4">
        <f>YEAR('IPL Info'!$F1093)</f>
        <v>2009</v>
      </c>
      <c r="F1093" s="5">
        <v>39933</v>
      </c>
      <c r="G1093" s="4" t="s">
        <v>77</v>
      </c>
      <c r="H1093" s="4" t="s">
        <v>18</v>
      </c>
      <c r="I1093" s="4" t="s">
        <v>19</v>
      </c>
      <c r="J1093" s="4" t="s">
        <v>20</v>
      </c>
      <c r="K1093" s="4" t="s">
        <v>51</v>
      </c>
      <c r="L1093" s="4" t="s">
        <v>1386</v>
      </c>
      <c r="M1093" s="4" t="s">
        <v>2459</v>
      </c>
      <c r="N1093" s="4" t="s">
        <v>2460</v>
      </c>
      <c r="O1093" s="4" t="s">
        <v>2545</v>
      </c>
      <c r="P1093" s="4" t="s">
        <v>2546</v>
      </c>
    </row>
    <row r="1094" spans="1:16" ht="15.6" x14ac:dyDescent="0.3">
      <c r="A1094" s="2">
        <v>392201</v>
      </c>
      <c r="B1094" s="2" t="s">
        <v>1998</v>
      </c>
      <c r="C1094" s="2" t="s">
        <v>1182</v>
      </c>
      <c r="D1094" s="2" t="str">
        <f t="shared" si="17"/>
        <v>IPL-2009</v>
      </c>
      <c r="E1094" s="2">
        <f>YEAR('IPL Info'!$F1094)</f>
        <v>2009</v>
      </c>
      <c r="F1094" s="3">
        <v>39933</v>
      </c>
      <c r="G1094" s="2" t="s">
        <v>1182</v>
      </c>
      <c r="H1094" s="2" t="s">
        <v>18</v>
      </c>
      <c r="I1094" s="2" t="s">
        <v>19</v>
      </c>
      <c r="J1094" s="2" t="s">
        <v>20</v>
      </c>
      <c r="K1094" s="2" t="s">
        <v>1182</v>
      </c>
      <c r="L1094" s="2" t="s">
        <v>2547</v>
      </c>
      <c r="M1094" s="2" t="s">
        <v>2459</v>
      </c>
      <c r="N1094" s="2" t="s">
        <v>2460</v>
      </c>
      <c r="O1094" s="2" t="s">
        <v>2548</v>
      </c>
      <c r="P1094" s="2" t="s">
        <v>2549</v>
      </c>
    </row>
    <row r="1095" spans="1:16" ht="15.6" x14ac:dyDescent="0.3">
      <c r="A1095" s="4">
        <v>392200</v>
      </c>
      <c r="B1095" s="4" t="s">
        <v>925</v>
      </c>
      <c r="C1095" s="4" t="s">
        <v>26</v>
      </c>
      <c r="D1095" s="4" t="str">
        <f t="shared" si="17"/>
        <v>IPL-2009</v>
      </c>
      <c r="E1095" s="4">
        <f>YEAR('IPL Info'!$F1095)</f>
        <v>2009</v>
      </c>
      <c r="F1095" s="5">
        <v>39932</v>
      </c>
      <c r="G1095" s="4" t="s">
        <v>925</v>
      </c>
      <c r="H1095" s="4" t="s">
        <v>31</v>
      </c>
      <c r="I1095" s="4" t="s">
        <v>19</v>
      </c>
      <c r="J1095" s="4" t="s">
        <v>20</v>
      </c>
      <c r="K1095" s="4" t="s">
        <v>925</v>
      </c>
      <c r="L1095" s="4" t="s">
        <v>2062</v>
      </c>
      <c r="M1095" s="4" t="s">
        <v>2468</v>
      </c>
      <c r="N1095" s="4" t="s">
        <v>2469</v>
      </c>
      <c r="O1095" s="4" t="s">
        <v>2550</v>
      </c>
      <c r="P1095" s="4" t="s">
        <v>2551</v>
      </c>
    </row>
    <row r="1096" spans="1:16" ht="15.6" x14ac:dyDescent="0.3">
      <c r="A1096" s="2">
        <v>392199</v>
      </c>
      <c r="B1096" s="2" t="s">
        <v>445</v>
      </c>
      <c r="C1096" s="2" t="s">
        <v>56</v>
      </c>
      <c r="D1096" s="2" t="str">
        <f t="shared" si="17"/>
        <v>IPL-2009</v>
      </c>
      <c r="E1096" s="2">
        <f>YEAR('IPL Info'!$F1096)</f>
        <v>2009</v>
      </c>
      <c r="F1096" s="3">
        <v>39932</v>
      </c>
      <c r="G1096" s="2" t="s">
        <v>56</v>
      </c>
      <c r="H1096" s="2" t="s">
        <v>31</v>
      </c>
      <c r="I1096" s="2" t="s">
        <v>19</v>
      </c>
      <c r="J1096" s="2" t="s">
        <v>20</v>
      </c>
      <c r="K1096" s="2" t="s">
        <v>445</v>
      </c>
      <c r="L1096" s="2" t="s">
        <v>2552</v>
      </c>
      <c r="M1096" s="2" t="s">
        <v>2468</v>
      </c>
      <c r="N1096" s="2" t="s">
        <v>2469</v>
      </c>
      <c r="O1096" s="2" t="s">
        <v>2553</v>
      </c>
      <c r="P1096" s="2" t="s">
        <v>2534</v>
      </c>
    </row>
    <row r="1097" spans="1:16" ht="15.6" x14ac:dyDescent="0.3">
      <c r="A1097" s="4">
        <v>392198</v>
      </c>
      <c r="B1097" s="4" t="s">
        <v>1182</v>
      </c>
      <c r="C1097" s="4" t="s">
        <v>77</v>
      </c>
      <c r="D1097" s="4" t="str">
        <f t="shared" si="17"/>
        <v>IPL-2009</v>
      </c>
      <c r="E1097" s="4">
        <f>YEAR('IPL Info'!$F1097)</f>
        <v>2009</v>
      </c>
      <c r="F1097" s="5">
        <v>39931</v>
      </c>
      <c r="G1097" s="4" t="s">
        <v>1182</v>
      </c>
      <c r="H1097" s="4" t="s">
        <v>31</v>
      </c>
      <c r="I1097" s="4" t="s">
        <v>19</v>
      </c>
      <c r="J1097" s="4" t="s">
        <v>20</v>
      </c>
      <c r="K1097" s="4" t="s">
        <v>77</v>
      </c>
      <c r="L1097" s="4" t="s">
        <v>1445</v>
      </c>
      <c r="M1097" s="4" t="s">
        <v>2459</v>
      </c>
      <c r="N1097" s="4" t="s">
        <v>2460</v>
      </c>
      <c r="O1097" s="4" t="s">
        <v>2554</v>
      </c>
      <c r="P1097" s="4" t="s">
        <v>2555</v>
      </c>
    </row>
    <row r="1098" spans="1:16" ht="15.6" x14ac:dyDescent="0.3">
      <c r="A1098" s="2">
        <v>392197</v>
      </c>
      <c r="B1098" s="2" t="s">
        <v>56</v>
      </c>
      <c r="C1098" s="2" t="s">
        <v>26</v>
      </c>
      <c r="D1098" s="2" t="str">
        <f t="shared" si="17"/>
        <v>IPL-2009</v>
      </c>
      <c r="E1098" s="2">
        <f>YEAR('IPL Info'!$F1098)</f>
        <v>2009</v>
      </c>
      <c r="F1098" s="3">
        <v>39930</v>
      </c>
      <c r="G1098" s="2" t="s">
        <v>26</v>
      </c>
      <c r="H1098" s="2" t="s">
        <v>31</v>
      </c>
      <c r="I1098" s="2" t="s">
        <v>19</v>
      </c>
      <c r="J1098" s="2" t="s">
        <v>20</v>
      </c>
      <c r="K1098" s="2" t="s">
        <v>26</v>
      </c>
      <c r="L1098" s="2" t="s">
        <v>1880</v>
      </c>
      <c r="M1098" s="2" t="s">
        <v>2484</v>
      </c>
      <c r="N1098" s="2" t="s">
        <v>2485</v>
      </c>
      <c r="O1098" s="2" t="s">
        <v>2556</v>
      </c>
      <c r="P1098" s="2" t="s">
        <v>2557</v>
      </c>
    </row>
    <row r="1099" spans="1:16" ht="15.6" x14ac:dyDescent="0.3">
      <c r="A1099" s="4">
        <v>392196</v>
      </c>
      <c r="B1099" s="4" t="s">
        <v>51</v>
      </c>
      <c r="C1099" s="4" t="s">
        <v>1998</v>
      </c>
      <c r="D1099" s="4" t="str">
        <f t="shared" si="17"/>
        <v>IPL-2009</v>
      </c>
      <c r="E1099" s="4">
        <f>YEAR('IPL Info'!$F1099)</f>
        <v>2009</v>
      </c>
      <c r="F1099" s="5">
        <v>39930</v>
      </c>
      <c r="G1099" s="4" t="s">
        <v>1998</v>
      </c>
      <c r="H1099" s="4" t="s">
        <v>18</v>
      </c>
      <c r="I1099" s="4" t="s">
        <v>19</v>
      </c>
      <c r="J1099" s="4" t="s">
        <v>20</v>
      </c>
      <c r="K1099" s="4" t="s">
        <v>1998</v>
      </c>
      <c r="L1099" s="4" t="s">
        <v>2558</v>
      </c>
      <c r="M1099" s="4" t="s">
        <v>2468</v>
      </c>
      <c r="N1099" s="4" t="s">
        <v>2469</v>
      </c>
      <c r="O1099" s="4" t="s">
        <v>2559</v>
      </c>
      <c r="P1099" s="4" t="s">
        <v>2560</v>
      </c>
    </row>
    <row r="1100" spans="1:16" ht="15.6" x14ac:dyDescent="0.3">
      <c r="A1100" s="2">
        <v>392195</v>
      </c>
      <c r="B1100" s="2" t="s">
        <v>925</v>
      </c>
      <c r="C1100" s="2" t="s">
        <v>77</v>
      </c>
      <c r="D1100" s="2" t="str">
        <f t="shared" si="17"/>
        <v>IPL-2009</v>
      </c>
      <c r="E1100" s="2">
        <f>YEAR('IPL Info'!$F1100)</f>
        <v>2009</v>
      </c>
      <c r="F1100" s="3">
        <v>39929</v>
      </c>
      <c r="G1100" s="2" t="s">
        <v>925</v>
      </c>
      <c r="H1100" s="2" t="s">
        <v>31</v>
      </c>
      <c r="I1100" s="2" t="s">
        <v>19</v>
      </c>
      <c r="J1100" s="2" t="s">
        <v>20</v>
      </c>
      <c r="K1100" s="2" t="s">
        <v>925</v>
      </c>
      <c r="L1100" s="2" t="s">
        <v>2062</v>
      </c>
      <c r="M1100" s="2" t="s">
        <v>2561</v>
      </c>
      <c r="N1100" s="2" t="s">
        <v>2562</v>
      </c>
      <c r="O1100" s="2" t="s">
        <v>2563</v>
      </c>
      <c r="P1100" s="2" t="s">
        <v>2564</v>
      </c>
    </row>
    <row r="1101" spans="1:16" ht="15.6" x14ac:dyDescent="0.3">
      <c r="A1101" s="4">
        <v>392194</v>
      </c>
      <c r="B1101" s="4" t="s">
        <v>445</v>
      </c>
      <c r="C1101" s="4" t="s">
        <v>1182</v>
      </c>
      <c r="D1101" s="4" t="str">
        <f t="shared" si="17"/>
        <v>IPL-2009</v>
      </c>
      <c r="E1101" s="4">
        <f>YEAR('IPL Info'!$F1101)</f>
        <v>2009</v>
      </c>
      <c r="F1101" s="5">
        <v>39929</v>
      </c>
      <c r="G1101" s="4" t="s">
        <v>445</v>
      </c>
      <c r="H1101" s="4" t="s">
        <v>31</v>
      </c>
      <c r="I1101" s="4" t="s">
        <v>19</v>
      </c>
      <c r="J1101" s="4" t="s">
        <v>20</v>
      </c>
      <c r="K1101" s="4" t="s">
        <v>1182</v>
      </c>
      <c r="L1101" s="4" t="s">
        <v>2565</v>
      </c>
      <c r="M1101" s="4" t="s">
        <v>2484</v>
      </c>
      <c r="N1101" s="4" t="s">
        <v>2485</v>
      </c>
      <c r="O1101" s="4" t="s">
        <v>2566</v>
      </c>
      <c r="P1101" s="4" t="s">
        <v>2567</v>
      </c>
    </row>
    <row r="1102" spans="1:16" ht="15.6" x14ac:dyDescent="0.3">
      <c r="A1102" s="2">
        <v>392192</v>
      </c>
      <c r="B1102" s="2" t="s">
        <v>1998</v>
      </c>
      <c r="C1102" s="2" t="s">
        <v>26</v>
      </c>
      <c r="D1102" s="2" t="str">
        <f t="shared" si="17"/>
        <v>IPL-2009</v>
      </c>
      <c r="E1102" s="2">
        <f>YEAR('IPL Info'!$F1102)</f>
        <v>2009</v>
      </c>
      <c r="F1102" s="3">
        <v>39928</v>
      </c>
      <c r="G1102" s="2" t="s">
        <v>1998</v>
      </c>
      <c r="H1102" s="2" t="s">
        <v>31</v>
      </c>
      <c r="I1102" s="2" t="s">
        <v>19</v>
      </c>
      <c r="J1102" s="2" t="s">
        <v>20</v>
      </c>
      <c r="K1102" s="2" t="s">
        <v>1998</v>
      </c>
      <c r="L1102" s="2" t="s">
        <v>2568</v>
      </c>
      <c r="M1102" s="2" t="s">
        <v>2468</v>
      </c>
      <c r="N1102" s="2" t="s">
        <v>2469</v>
      </c>
      <c r="O1102" s="2" t="s">
        <v>2569</v>
      </c>
      <c r="P1102" s="2" t="s">
        <v>2570</v>
      </c>
    </row>
    <row r="1103" spans="1:16" ht="15.6" x14ac:dyDescent="0.3">
      <c r="A1103" s="4">
        <v>392191</v>
      </c>
      <c r="B1103" s="4" t="s">
        <v>445</v>
      </c>
      <c r="C1103" s="4" t="s">
        <v>925</v>
      </c>
      <c r="D1103" s="4" t="str">
        <f t="shared" si="17"/>
        <v>IPL-2009</v>
      </c>
      <c r="E1103" s="4">
        <f>YEAR('IPL Info'!$F1103)</f>
        <v>2009</v>
      </c>
      <c r="F1103" s="5">
        <v>39927</v>
      </c>
      <c r="G1103" s="4" t="s">
        <v>445</v>
      </c>
      <c r="H1103" s="4" t="s">
        <v>31</v>
      </c>
      <c r="I1103" s="4" t="s">
        <v>19</v>
      </c>
      <c r="J1103" s="4" t="s">
        <v>20</v>
      </c>
      <c r="K1103" s="4" t="s">
        <v>925</v>
      </c>
      <c r="L1103" s="4" t="s">
        <v>2571</v>
      </c>
      <c r="M1103" s="4" t="s">
        <v>2468</v>
      </c>
      <c r="N1103" s="4" t="s">
        <v>2469</v>
      </c>
      <c r="O1103" s="4" t="s">
        <v>2572</v>
      </c>
      <c r="P1103" s="4" t="s">
        <v>2573</v>
      </c>
    </row>
    <row r="1104" spans="1:16" ht="15.6" x14ac:dyDescent="0.3">
      <c r="A1104" s="2">
        <v>392189</v>
      </c>
      <c r="B1104" s="2" t="s">
        <v>51</v>
      </c>
      <c r="C1104" s="2" t="s">
        <v>1182</v>
      </c>
      <c r="D1104" s="2" t="str">
        <f t="shared" si="17"/>
        <v>IPL-2009</v>
      </c>
      <c r="E1104" s="2">
        <f>YEAR('IPL Info'!$F1104)</f>
        <v>2009</v>
      </c>
      <c r="F1104" s="3">
        <v>39926</v>
      </c>
      <c r="G1104" s="2" t="s">
        <v>1182</v>
      </c>
      <c r="H1104" s="2" t="s">
        <v>31</v>
      </c>
      <c r="I1104" s="2" t="s">
        <v>19</v>
      </c>
      <c r="J1104" s="2" t="s">
        <v>20</v>
      </c>
      <c r="K1104" s="2" t="s">
        <v>1182</v>
      </c>
      <c r="L1104" s="2" t="s">
        <v>861</v>
      </c>
      <c r="M1104" s="2" t="s">
        <v>2468</v>
      </c>
      <c r="N1104" s="2" t="s">
        <v>2469</v>
      </c>
      <c r="O1104" s="2" t="s">
        <v>2574</v>
      </c>
      <c r="P1104" s="2" t="s">
        <v>2575</v>
      </c>
    </row>
    <row r="1105" spans="1:16" ht="15.6" x14ac:dyDescent="0.3">
      <c r="A1105" s="4">
        <v>392190</v>
      </c>
      <c r="B1105" s="4" t="s">
        <v>56</v>
      </c>
      <c r="C1105" s="4" t="s">
        <v>77</v>
      </c>
      <c r="D1105" s="4" t="str">
        <f t="shared" si="17"/>
        <v>IPL-2009</v>
      </c>
      <c r="E1105" s="4">
        <f>YEAR('IPL Info'!$F1105)</f>
        <v>2009</v>
      </c>
      <c r="F1105" s="5">
        <v>39926</v>
      </c>
      <c r="G1105" s="4" t="s">
        <v>56</v>
      </c>
      <c r="H1105" s="4" t="s">
        <v>18</v>
      </c>
      <c r="I1105" s="4" t="s">
        <v>173</v>
      </c>
      <c r="J1105" s="4" t="s">
        <v>77</v>
      </c>
      <c r="K1105" s="4" t="s">
        <v>20</v>
      </c>
      <c r="L1105" s="4" t="s">
        <v>1445</v>
      </c>
      <c r="M1105" s="4" t="s">
        <v>2561</v>
      </c>
      <c r="N1105" s="4" t="s">
        <v>2562</v>
      </c>
      <c r="O1105" s="4" t="s">
        <v>2576</v>
      </c>
      <c r="P1105" s="4" t="s">
        <v>2577</v>
      </c>
    </row>
    <row r="1106" spans="1:16" ht="15.6" x14ac:dyDescent="0.3">
      <c r="A1106" s="2">
        <v>392188</v>
      </c>
      <c r="B1106" s="2" t="s">
        <v>445</v>
      </c>
      <c r="C1106" s="2" t="s">
        <v>1998</v>
      </c>
      <c r="D1106" s="2" t="str">
        <f t="shared" si="17"/>
        <v>IPL-2009</v>
      </c>
      <c r="E1106" s="2">
        <f>YEAR('IPL Info'!$F1106)</f>
        <v>2009</v>
      </c>
      <c r="F1106" s="3">
        <v>39925</v>
      </c>
      <c r="G1106" s="2" t="s">
        <v>1998</v>
      </c>
      <c r="H1106" s="2" t="s">
        <v>31</v>
      </c>
      <c r="I1106" s="2" t="s">
        <v>19</v>
      </c>
      <c r="J1106" s="2" t="s">
        <v>20</v>
      </c>
      <c r="K1106" s="2" t="s">
        <v>1998</v>
      </c>
      <c r="L1106" s="2" t="s">
        <v>1853</v>
      </c>
      <c r="M1106" s="2" t="s">
        <v>2561</v>
      </c>
      <c r="N1106" s="2" t="s">
        <v>2562</v>
      </c>
      <c r="O1106" s="2" t="s">
        <v>2578</v>
      </c>
      <c r="P1106" s="2" t="s">
        <v>2579</v>
      </c>
    </row>
    <row r="1107" spans="1:16" ht="15.6" x14ac:dyDescent="0.3">
      <c r="A1107" s="4">
        <v>392186</v>
      </c>
      <c r="B1107" s="4" t="s">
        <v>925</v>
      </c>
      <c r="C1107" s="4" t="s">
        <v>56</v>
      </c>
      <c r="D1107" s="4" t="str">
        <f t="shared" si="17"/>
        <v>IPL-2009</v>
      </c>
      <c r="E1107" s="4">
        <f>YEAR('IPL Info'!$F1107)</f>
        <v>2009</v>
      </c>
      <c r="F1107" s="5">
        <v>39924</v>
      </c>
      <c r="G1107" s="4" t="s">
        <v>56</v>
      </c>
      <c r="H1107" s="4" t="s">
        <v>18</v>
      </c>
      <c r="I1107" s="4" t="s">
        <v>19</v>
      </c>
      <c r="J1107" s="4" t="s">
        <v>20</v>
      </c>
      <c r="K1107" s="4" t="s">
        <v>56</v>
      </c>
      <c r="L1107" s="4" t="s">
        <v>941</v>
      </c>
      <c r="M1107" s="4" t="s">
        <v>2468</v>
      </c>
      <c r="N1107" s="4" t="s">
        <v>2469</v>
      </c>
      <c r="O1107" s="4" t="s">
        <v>2580</v>
      </c>
      <c r="P1107" s="4" t="s">
        <v>2581</v>
      </c>
    </row>
    <row r="1108" spans="1:16" ht="15.6" x14ac:dyDescent="0.3">
      <c r="A1108" s="2">
        <v>392185</v>
      </c>
      <c r="B1108" s="2" t="s">
        <v>445</v>
      </c>
      <c r="C1108" s="2" t="s">
        <v>51</v>
      </c>
      <c r="D1108" s="2" t="str">
        <f t="shared" si="17"/>
        <v>IPL-2009</v>
      </c>
      <c r="E1108" s="2">
        <f>YEAR('IPL Info'!$F1108)</f>
        <v>2009</v>
      </c>
      <c r="F1108" s="3">
        <v>39923</v>
      </c>
      <c r="G1108" s="2" t="s">
        <v>51</v>
      </c>
      <c r="H1108" s="2" t="s">
        <v>31</v>
      </c>
      <c r="I1108" s="2" t="s">
        <v>19</v>
      </c>
      <c r="J1108" s="2" t="s">
        <v>20</v>
      </c>
      <c r="K1108" s="2" t="s">
        <v>51</v>
      </c>
      <c r="L1108" s="2" t="s">
        <v>2472</v>
      </c>
      <c r="M1108" s="2" t="s">
        <v>2484</v>
      </c>
      <c r="N1108" s="2" t="s">
        <v>2485</v>
      </c>
      <c r="O1108" s="2" t="s">
        <v>2582</v>
      </c>
      <c r="P1108" s="2" t="s">
        <v>2583</v>
      </c>
    </row>
    <row r="1109" spans="1:16" ht="15.6" x14ac:dyDescent="0.3">
      <c r="A1109" s="4">
        <v>392183</v>
      </c>
      <c r="B1109" s="4" t="s">
        <v>1182</v>
      </c>
      <c r="C1109" s="4" t="s">
        <v>925</v>
      </c>
      <c r="D1109" s="4" t="str">
        <f t="shared" si="17"/>
        <v>IPL-2009</v>
      </c>
      <c r="E1109" s="4">
        <f>YEAR('IPL Info'!$F1109)</f>
        <v>2009</v>
      </c>
      <c r="F1109" s="5">
        <v>39922</v>
      </c>
      <c r="G1109" s="4" t="s">
        <v>1182</v>
      </c>
      <c r="H1109" s="4" t="s">
        <v>18</v>
      </c>
      <c r="I1109" s="4" t="s">
        <v>19</v>
      </c>
      <c r="J1109" s="4" t="s">
        <v>20</v>
      </c>
      <c r="K1109" s="4" t="s">
        <v>1182</v>
      </c>
      <c r="L1109" s="4" t="s">
        <v>2584</v>
      </c>
      <c r="M1109" s="4" t="s">
        <v>2561</v>
      </c>
      <c r="N1109" s="4" t="s">
        <v>2562</v>
      </c>
      <c r="O1109" s="4" t="s">
        <v>2585</v>
      </c>
      <c r="P1109" s="4" t="s">
        <v>2586</v>
      </c>
    </row>
    <row r="1110" spans="1:16" ht="15.6" x14ac:dyDescent="0.3">
      <c r="A1110" s="2">
        <v>392184</v>
      </c>
      <c r="B1110" s="2" t="s">
        <v>1998</v>
      </c>
      <c r="C1110" s="2" t="s">
        <v>56</v>
      </c>
      <c r="D1110" s="2" t="str">
        <f t="shared" si="17"/>
        <v>IPL-2009</v>
      </c>
      <c r="E1110" s="2">
        <f>YEAR('IPL Info'!$F1110)</f>
        <v>2009</v>
      </c>
      <c r="F1110" s="3">
        <v>39922</v>
      </c>
      <c r="G1110" s="2" t="s">
        <v>56</v>
      </c>
      <c r="H1110" s="2" t="s">
        <v>31</v>
      </c>
      <c r="I1110" s="2" t="s">
        <v>19</v>
      </c>
      <c r="J1110" s="2" t="s">
        <v>20</v>
      </c>
      <c r="K1110" s="2" t="s">
        <v>1998</v>
      </c>
      <c r="L1110" s="2" t="s">
        <v>2587</v>
      </c>
      <c r="M1110" s="2" t="s">
        <v>2561</v>
      </c>
      <c r="N1110" s="2" t="s">
        <v>2562</v>
      </c>
      <c r="O1110" s="2" t="s">
        <v>2588</v>
      </c>
      <c r="P1110" s="2" t="s">
        <v>2589</v>
      </c>
    </row>
    <row r="1111" spans="1:16" ht="15.6" x14ac:dyDescent="0.3">
      <c r="A1111" s="4">
        <v>392181</v>
      </c>
      <c r="B1111" s="4" t="s">
        <v>51</v>
      </c>
      <c r="C1111" s="4" t="s">
        <v>26</v>
      </c>
      <c r="D1111" s="4" t="str">
        <f t="shared" si="17"/>
        <v>IPL-2009</v>
      </c>
      <c r="E1111" s="4">
        <f>YEAR('IPL Info'!$F1111)</f>
        <v>2009</v>
      </c>
      <c r="F1111" s="5">
        <v>39921</v>
      </c>
      <c r="G1111" s="4" t="s">
        <v>51</v>
      </c>
      <c r="H1111" s="4" t="s">
        <v>18</v>
      </c>
      <c r="I1111" s="4" t="s">
        <v>19</v>
      </c>
      <c r="J1111" s="4" t="s">
        <v>20</v>
      </c>
      <c r="K1111" s="4" t="s">
        <v>26</v>
      </c>
      <c r="L1111" s="4" t="s">
        <v>1880</v>
      </c>
      <c r="M1111" s="4" t="s">
        <v>2561</v>
      </c>
      <c r="N1111" s="4" t="s">
        <v>2562</v>
      </c>
      <c r="O1111" s="4" t="s">
        <v>2590</v>
      </c>
      <c r="P1111" s="4" t="s">
        <v>2591</v>
      </c>
    </row>
    <row r="1112" spans="1:16" ht="15.6" x14ac:dyDescent="0.3">
      <c r="A1112" s="2">
        <v>392182</v>
      </c>
      <c r="B1112" s="2" t="s">
        <v>445</v>
      </c>
      <c r="C1112" s="2" t="s">
        <v>77</v>
      </c>
      <c r="D1112" s="2" t="str">
        <f>_xlfn.SINGLE(_xlfn.CONCAT("IPL-",E1112))</f>
        <v>IPL-2009</v>
      </c>
      <c r="E1112" s="2">
        <f>YEAR('IPL Info'!$F1112)</f>
        <v>2009</v>
      </c>
      <c r="F1112" s="3">
        <v>39921</v>
      </c>
      <c r="G1112" s="2" t="s">
        <v>445</v>
      </c>
      <c r="H1112" s="2" t="s">
        <v>31</v>
      </c>
      <c r="I1112" s="2" t="s">
        <v>19</v>
      </c>
      <c r="J1112" s="2" t="s">
        <v>20</v>
      </c>
      <c r="K1112" s="2" t="s">
        <v>445</v>
      </c>
      <c r="L1112" s="2" t="s">
        <v>1980</v>
      </c>
      <c r="M1112" s="2" t="s">
        <v>2561</v>
      </c>
      <c r="N1112" s="2" t="s">
        <v>2562</v>
      </c>
      <c r="O1112" s="2" t="s">
        <v>2592</v>
      </c>
      <c r="P1112" s="2" t="s">
        <v>2593</v>
      </c>
    </row>
    <row r="1113" spans="1:16" ht="15.6" x14ac:dyDescent="0.3">
      <c r="A1113" s="4">
        <v>336040</v>
      </c>
      <c r="B1113" s="4" t="s">
        <v>51</v>
      </c>
      <c r="C1113" s="4" t="s">
        <v>77</v>
      </c>
      <c r="D1113" s="4" t="str">
        <f t="shared" ref="D1113:D1122" si="18">_xlfn.SINGLE(_xlfn.CONCAT("IPL-",E1113))</f>
        <v>IPL-2008</v>
      </c>
      <c r="E1113" s="4">
        <f>YEAR('IPL Info'!$F1113)</f>
        <v>2008</v>
      </c>
      <c r="F1113" s="5">
        <v>39600</v>
      </c>
      <c r="G1113" s="4" t="s">
        <v>77</v>
      </c>
      <c r="H1113" s="4" t="s">
        <v>18</v>
      </c>
      <c r="I1113" s="4" t="s">
        <v>19</v>
      </c>
      <c r="J1113" s="4" t="s">
        <v>20</v>
      </c>
      <c r="K1113" s="4" t="s">
        <v>77</v>
      </c>
      <c r="L1113" s="4" t="s">
        <v>1445</v>
      </c>
      <c r="M1113" s="4" t="s">
        <v>2173</v>
      </c>
      <c r="N1113" s="4" t="s">
        <v>74</v>
      </c>
      <c r="O1113" s="4" t="s">
        <v>2594</v>
      </c>
      <c r="P1113" s="4" t="s">
        <v>2595</v>
      </c>
    </row>
    <row r="1114" spans="1:16" ht="15.6" x14ac:dyDescent="0.3">
      <c r="A1114" s="2">
        <v>336039</v>
      </c>
      <c r="B1114" s="2" t="s">
        <v>51</v>
      </c>
      <c r="C1114" s="2" t="s">
        <v>925</v>
      </c>
      <c r="D1114" s="2" t="str">
        <f t="shared" si="18"/>
        <v>IPL-2008</v>
      </c>
      <c r="E1114" s="2">
        <f>YEAR('IPL Info'!$F1114)</f>
        <v>2008</v>
      </c>
      <c r="F1114" s="3">
        <v>39599</v>
      </c>
      <c r="G1114" s="2" t="s">
        <v>925</v>
      </c>
      <c r="H1114" s="2" t="s">
        <v>31</v>
      </c>
      <c r="I1114" s="2" t="s">
        <v>19</v>
      </c>
      <c r="J1114" s="2" t="s">
        <v>20</v>
      </c>
      <c r="K1114" s="2" t="s">
        <v>51</v>
      </c>
      <c r="L1114" s="2" t="s">
        <v>2596</v>
      </c>
      <c r="M1114" s="2" t="s">
        <v>1045</v>
      </c>
      <c r="N1114" s="2" t="s">
        <v>74</v>
      </c>
      <c r="O1114" s="2" t="s">
        <v>2597</v>
      </c>
      <c r="P1114" s="2" t="s">
        <v>2598</v>
      </c>
    </row>
    <row r="1115" spans="1:16" ht="15.6" x14ac:dyDescent="0.3">
      <c r="A1115" s="4">
        <v>336038</v>
      </c>
      <c r="B1115" s="4" t="s">
        <v>1182</v>
      </c>
      <c r="C1115" s="4" t="s">
        <v>77</v>
      </c>
      <c r="D1115" s="4" t="str">
        <f t="shared" si="18"/>
        <v>IPL-2008</v>
      </c>
      <c r="E1115" s="4">
        <f>YEAR('IPL Info'!$F1115)</f>
        <v>2008</v>
      </c>
      <c r="F1115" s="5">
        <v>39598</v>
      </c>
      <c r="G1115" s="4" t="s">
        <v>1182</v>
      </c>
      <c r="H1115" s="4" t="s">
        <v>18</v>
      </c>
      <c r="I1115" s="4" t="s">
        <v>19</v>
      </c>
      <c r="J1115" s="4" t="s">
        <v>20</v>
      </c>
      <c r="K1115" s="4" t="s">
        <v>77</v>
      </c>
      <c r="L1115" s="4" t="s">
        <v>996</v>
      </c>
      <c r="M1115" s="4" t="s">
        <v>1045</v>
      </c>
      <c r="N1115" s="4" t="s">
        <v>74</v>
      </c>
      <c r="O1115" s="4" t="s">
        <v>2599</v>
      </c>
      <c r="P1115" s="4" t="s">
        <v>2600</v>
      </c>
    </row>
    <row r="1116" spans="1:16" ht="15.6" x14ac:dyDescent="0.3">
      <c r="A1116" s="2">
        <v>336012</v>
      </c>
      <c r="B1116" s="2" t="s">
        <v>445</v>
      </c>
      <c r="C1116" s="2" t="s">
        <v>26</v>
      </c>
      <c r="D1116" s="2" t="str">
        <f t="shared" si="18"/>
        <v>IPL-2008</v>
      </c>
      <c r="E1116" s="2">
        <f>YEAR('IPL Info'!$F1116)</f>
        <v>2008</v>
      </c>
      <c r="F1116" s="3">
        <v>39596</v>
      </c>
      <c r="G1116" s="2" t="s">
        <v>26</v>
      </c>
      <c r="H1116" s="2" t="s">
        <v>18</v>
      </c>
      <c r="I1116" s="2" t="s">
        <v>19</v>
      </c>
      <c r="J1116" s="2" t="s">
        <v>20</v>
      </c>
      <c r="K1116" s="2" t="s">
        <v>26</v>
      </c>
      <c r="L1116" s="2" t="s">
        <v>2601</v>
      </c>
      <c r="M1116" s="2" t="s">
        <v>1301</v>
      </c>
      <c r="N1116" s="2" t="s">
        <v>1302</v>
      </c>
      <c r="O1116" s="2" t="s">
        <v>2602</v>
      </c>
      <c r="P1116" s="2" t="s">
        <v>2603</v>
      </c>
    </row>
    <row r="1117" spans="1:16" ht="15.6" x14ac:dyDescent="0.3">
      <c r="A1117" s="4">
        <v>336019</v>
      </c>
      <c r="B1117" s="4" t="s">
        <v>925</v>
      </c>
      <c r="C1117" s="4" t="s">
        <v>77</v>
      </c>
      <c r="D1117" s="4" t="str">
        <f t="shared" si="18"/>
        <v>IPL-2008</v>
      </c>
      <c r="E1117" s="4">
        <f>YEAR('IPL Info'!$F1117)</f>
        <v>2008</v>
      </c>
      <c r="F1117" s="5">
        <v>39596</v>
      </c>
      <c r="G1117" s="4" t="s">
        <v>77</v>
      </c>
      <c r="H1117" s="4" t="s">
        <v>18</v>
      </c>
      <c r="I1117" s="4" t="s">
        <v>19</v>
      </c>
      <c r="J1117" s="4" t="s">
        <v>20</v>
      </c>
      <c r="K1117" s="4" t="s">
        <v>925</v>
      </c>
      <c r="L1117" s="4" t="s">
        <v>1656</v>
      </c>
      <c r="M1117" s="4" t="s">
        <v>1580</v>
      </c>
      <c r="N1117" s="4" t="s">
        <v>502</v>
      </c>
      <c r="O1117" s="4" t="s">
        <v>2604</v>
      </c>
      <c r="P1117" s="4" t="s">
        <v>2605</v>
      </c>
    </row>
    <row r="1118" spans="1:16" ht="15.6" x14ac:dyDescent="0.3">
      <c r="A1118" s="2">
        <v>336037</v>
      </c>
      <c r="B1118" s="2" t="s">
        <v>1998</v>
      </c>
      <c r="C1118" s="2" t="s">
        <v>51</v>
      </c>
      <c r="D1118" s="2" t="str">
        <f t="shared" si="18"/>
        <v>IPL-2008</v>
      </c>
      <c r="E1118" s="2">
        <f>YEAR('IPL Info'!$F1118)</f>
        <v>2008</v>
      </c>
      <c r="F1118" s="3">
        <v>39595</v>
      </c>
      <c r="G1118" s="2" t="s">
        <v>1998</v>
      </c>
      <c r="H1118" s="2" t="s">
        <v>31</v>
      </c>
      <c r="I1118" s="2" t="s">
        <v>19</v>
      </c>
      <c r="J1118" s="2" t="s">
        <v>20</v>
      </c>
      <c r="K1118" s="2" t="s">
        <v>51</v>
      </c>
      <c r="L1118" s="2" t="s">
        <v>1386</v>
      </c>
      <c r="M1118" s="2" t="s">
        <v>1298</v>
      </c>
      <c r="N1118" s="2" t="s">
        <v>105</v>
      </c>
      <c r="O1118" s="2" t="s">
        <v>2606</v>
      </c>
      <c r="P1118" s="2" t="s">
        <v>2607</v>
      </c>
    </row>
    <row r="1119" spans="1:16" ht="15.6" x14ac:dyDescent="0.3">
      <c r="A1119" s="4">
        <v>336036</v>
      </c>
      <c r="B1119" s="4" t="s">
        <v>77</v>
      </c>
      <c r="C1119" s="4" t="s">
        <v>26</v>
      </c>
      <c r="D1119" s="4" t="str">
        <f t="shared" si="18"/>
        <v>IPL-2008</v>
      </c>
      <c r="E1119" s="4">
        <f>YEAR('IPL Info'!$F1119)</f>
        <v>2008</v>
      </c>
      <c r="F1119" s="5">
        <v>39594</v>
      </c>
      <c r="G1119" s="4" t="s">
        <v>77</v>
      </c>
      <c r="H1119" s="4" t="s">
        <v>18</v>
      </c>
      <c r="I1119" s="4" t="s">
        <v>19</v>
      </c>
      <c r="J1119" s="4" t="s">
        <v>20</v>
      </c>
      <c r="K1119" s="4" t="s">
        <v>77</v>
      </c>
      <c r="L1119" s="4" t="s">
        <v>2608</v>
      </c>
      <c r="M1119" s="4" t="s">
        <v>1069</v>
      </c>
      <c r="N1119" s="4" t="s">
        <v>48</v>
      </c>
      <c r="O1119" s="4" t="s">
        <v>2609</v>
      </c>
      <c r="P1119" s="4" t="s">
        <v>2610</v>
      </c>
    </row>
    <row r="1120" spans="1:16" ht="15.6" x14ac:dyDescent="0.3">
      <c r="A1120" s="2">
        <v>336035</v>
      </c>
      <c r="B1120" s="2" t="s">
        <v>56</v>
      </c>
      <c r="C1120" s="2" t="s">
        <v>925</v>
      </c>
      <c r="D1120" s="2" t="str">
        <f t="shared" si="18"/>
        <v>IPL-2008</v>
      </c>
      <c r="E1120" s="2">
        <f>YEAR('IPL Info'!$F1120)</f>
        <v>2008</v>
      </c>
      <c r="F1120" s="3">
        <v>39593</v>
      </c>
      <c r="G1120" s="2" t="s">
        <v>925</v>
      </c>
      <c r="H1120" s="2" t="s">
        <v>31</v>
      </c>
      <c r="I1120" s="2" t="s">
        <v>19</v>
      </c>
      <c r="J1120" s="2" t="s">
        <v>20</v>
      </c>
      <c r="K1120" s="2" t="s">
        <v>56</v>
      </c>
      <c r="L1120" s="2" t="s">
        <v>2611</v>
      </c>
      <c r="M1120" s="2" t="s">
        <v>1064</v>
      </c>
      <c r="N1120" s="2" t="s">
        <v>98</v>
      </c>
      <c r="O1120" s="2" t="s">
        <v>2612</v>
      </c>
      <c r="P1120" s="2" t="s">
        <v>2613</v>
      </c>
    </row>
    <row r="1121" spans="1:16" ht="15.6" x14ac:dyDescent="0.3">
      <c r="A1121" s="4">
        <v>336002</v>
      </c>
      <c r="B1121" s="4" t="s">
        <v>1998</v>
      </c>
      <c r="C1121" s="4" t="s">
        <v>445</v>
      </c>
      <c r="D1121" s="4" t="str">
        <f t="shared" si="18"/>
        <v>IPL-2008</v>
      </c>
      <c r="E1121" s="4">
        <f>YEAR('IPL Info'!$F1121)</f>
        <v>2008</v>
      </c>
      <c r="F1121" s="5">
        <v>39593</v>
      </c>
      <c r="G1121" s="4" t="s">
        <v>1998</v>
      </c>
      <c r="H1121" s="4" t="s">
        <v>31</v>
      </c>
      <c r="I1121" s="4" t="s">
        <v>19</v>
      </c>
      <c r="J1121" s="4" t="s">
        <v>20</v>
      </c>
      <c r="K1121" s="4" t="s">
        <v>445</v>
      </c>
      <c r="L1121" s="4" t="s">
        <v>1933</v>
      </c>
      <c r="M1121" s="4" t="s">
        <v>1298</v>
      </c>
      <c r="N1121" s="4" t="s">
        <v>105</v>
      </c>
      <c r="O1121" s="4" t="s">
        <v>2614</v>
      </c>
      <c r="P1121" s="4" t="s">
        <v>2615</v>
      </c>
    </row>
    <row r="1122" spans="1:16" ht="15.6" x14ac:dyDescent="0.3">
      <c r="A1122" s="2">
        <v>336033</v>
      </c>
      <c r="B1122" s="2" t="s">
        <v>51</v>
      </c>
      <c r="C1122" s="2" t="s">
        <v>77</v>
      </c>
      <c r="D1122" s="2" t="str">
        <f t="shared" si="18"/>
        <v>IPL-2008</v>
      </c>
      <c r="E1122" s="2">
        <f>YEAR('IPL Info'!$F1122)</f>
        <v>2008</v>
      </c>
      <c r="F1122" s="3">
        <v>39592</v>
      </c>
      <c r="G1122" s="2" t="s">
        <v>77</v>
      </c>
      <c r="H1122" s="2" t="s">
        <v>31</v>
      </c>
      <c r="I1122" s="2" t="s">
        <v>19</v>
      </c>
      <c r="J1122" s="2" t="s">
        <v>20</v>
      </c>
      <c r="K1122" s="2" t="s">
        <v>77</v>
      </c>
      <c r="L1122" s="2" t="s">
        <v>2234</v>
      </c>
      <c r="M1122" s="2" t="s">
        <v>1598</v>
      </c>
      <c r="N1122" s="2" t="s">
        <v>126</v>
      </c>
      <c r="O1122" s="2" t="s">
        <v>2616</v>
      </c>
      <c r="P1122" s="2" t="s">
        <v>2617</v>
      </c>
    </row>
    <row r="1123" spans="1:16" ht="15.6" x14ac:dyDescent="0.3">
      <c r="A1123" s="4">
        <v>336032</v>
      </c>
      <c r="B1123" s="4" t="s">
        <v>1182</v>
      </c>
      <c r="C1123" s="4" t="s">
        <v>26</v>
      </c>
      <c r="D1123" s="4" t="str">
        <f>_xlfn.SINGLE(_xlfn.CONCAT("IPL-",E1123))</f>
        <v>IPL-2008</v>
      </c>
      <c r="E1123" s="4">
        <f>YEAR('IPL Info'!$F1123)</f>
        <v>2008</v>
      </c>
      <c r="F1123" s="5">
        <v>39592</v>
      </c>
      <c r="G1123" s="4" t="s">
        <v>1182</v>
      </c>
      <c r="H1123" s="4" t="s">
        <v>18</v>
      </c>
      <c r="I1123" s="4" t="s">
        <v>19</v>
      </c>
      <c r="J1123" s="4" t="s">
        <v>20</v>
      </c>
      <c r="K1123" s="4" t="s">
        <v>1182</v>
      </c>
      <c r="L1123" s="4" t="s">
        <v>709</v>
      </c>
      <c r="M1123" s="4" t="s">
        <v>1310</v>
      </c>
      <c r="N1123" s="4" t="s">
        <v>59</v>
      </c>
      <c r="O1123" s="4" t="s">
        <v>2618</v>
      </c>
      <c r="P1123" s="4" t="s">
        <v>2619</v>
      </c>
    </row>
    <row r="1124" spans="1:16" ht="15.6" x14ac:dyDescent="0.3">
      <c r="A1124" s="2">
        <v>336031</v>
      </c>
      <c r="B1124" s="2" t="s">
        <v>925</v>
      </c>
      <c r="C1124" s="2" t="s">
        <v>1998</v>
      </c>
      <c r="D1124" s="2" t="str">
        <f>_xlfn.SINGLE(_xlfn.CONCAT("IPL-",E1124))</f>
        <v>IPL-2008</v>
      </c>
      <c r="E1124" s="2">
        <f>YEAR('IPL Info'!$F1124)</f>
        <v>2008</v>
      </c>
      <c r="F1124" s="3">
        <v>39591</v>
      </c>
      <c r="G1124" s="2" t="s">
        <v>925</v>
      </c>
      <c r="H1124" s="2" t="s">
        <v>18</v>
      </c>
      <c r="I1124" s="2" t="s">
        <v>19</v>
      </c>
      <c r="J1124" s="2" t="s">
        <v>20</v>
      </c>
      <c r="K1124" s="2" t="s">
        <v>925</v>
      </c>
      <c r="L1124" s="2" t="s">
        <v>1656</v>
      </c>
      <c r="M1124" s="2" t="s">
        <v>1580</v>
      </c>
      <c r="N1124" s="2" t="s">
        <v>502</v>
      </c>
      <c r="O1124" s="2" t="s">
        <v>2620</v>
      </c>
      <c r="P1124" s="2" t="s">
        <v>2621</v>
      </c>
    </row>
    <row r="1125" spans="1:16" ht="15.6" x14ac:dyDescent="0.3">
      <c r="A1125" s="4">
        <v>336029</v>
      </c>
      <c r="B1125" s="4" t="s">
        <v>51</v>
      </c>
      <c r="C1125" s="4" t="s">
        <v>445</v>
      </c>
      <c r="D1125" s="4" t="str">
        <f>_xlfn.SINGLE(_xlfn.CONCAT("IPL-",E1125))</f>
        <v>IPL-2008</v>
      </c>
      <c r="E1125" s="4">
        <f>YEAR('IPL Info'!$F1125)</f>
        <v>2008</v>
      </c>
      <c r="F1125" s="5">
        <v>39589</v>
      </c>
      <c r="G1125" s="4" t="s">
        <v>445</v>
      </c>
      <c r="H1125" s="4" t="s">
        <v>31</v>
      </c>
      <c r="I1125" s="4" t="s">
        <v>19</v>
      </c>
      <c r="J1125" s="4" t="s">
        <v>20</v>
      </c>
      <c r="K1125" s="4" t="s">
        <v>445</v>
      </c>
      <c r="L1125" s="4" t="s">
        <v>2321</v>
      </c>
      <c r="M1125" s="4" t="s">
        <v>1598</v>
      </c>
      <c r="N1125" s="4" t="s">
        <v>126</v>
      </c>
      <c r="O1125" s="4" t="s">
        <v>2622</v>
      </c>
      <c r="P1125" s="4" t="s">
        <v>2623</v>
      </c>
    </row>
    <row r="1126" spans="1:16" ht="15.6" x14ac:dyDescent="0.3">
      <c r="A1126" s="2">
        <v>336028</v>
      </c>
      <c r="B1126" s="2" t="s">
        <v>26</v>
      </c>
      <c r="C1126" s="2" t="s">
        <v>925</v>
      </c>
      <c r="D1126" s="2" t="str">
        <f t="shared" ref="D1126:D1170" si="19">_xlfn.SINGLE(_xlfn.CONCAT("IPL-",E1126))</f>
        <v>IPL-2008</v>
      </c>
      <c r="E1126" s="2">
        <f>YEAR('IPL Info'!$F1126)</f>
        <v>2008</v>
      </c>
      <c r="F1126" s="3">
        <v>39589</v>
      </c>
      <c r="G1126" s="2" t="s">
        <v>26</v>
      </c>
      <c r="H1126" s="2" t="s">
        <v>18</v>
      </c>
      <c r="I1126" s="2" t="s">
        <v>19</v>
      </c>
      <c r="J1126" s="2" t="s">
        <v>20</v>
      </c>
      <c r="K1126" s="2" t="s">
        <v>925</v>
      </c>
      <c r="L1126" s="2" t="s">
        <v>1656</v>
      </c>
      <c r="M1126" s="2" t="s">
        <v>1045</v>
      </c>
      <c r="N1126" s="2" t="s">
        <v>74</v>
      </c>
      <c r="O1126" s="2" t="s">
        <v>2624</v>
      </c>
      <c r="P1126" s="2" t="s">
        <v>2625</v>
      </c>
    </row>
    <row r="1127" spans="1:16" ht="15.6" x14ac:dyDescent="0.3">
      <c r="A1127" s="4">
        <v>336027</v>
      </c>
      <c r="B1127" s="4" t="s">
        <v>56</v>
      </c>
      <c r="C1127" s="4" t="s">
        <v>77</v>
      </c>
      <c r="D1127" s="4" t="str">
        <f t="shared" si="19"/>
        <v>IPL-2008</v>
      </c>
      <c r="E1127" s="4">
        <f>YEAR('IPL Info'!$F1127)</f>
        <v>2008</v>
      </c>
      <c r="F1127" s="5">
        <v>39588</v>
      </c>
      <c r="G1127" s="4" t="s">
        <v>77</v>
      </c>
      <c r="H1127" s="4" t="s">
        <v>18</v>
      </c>
      <c r="I1127" s="4" t="s">
        <v>19</v>
      </c>
      <c r="J1127" s="4" t="s">
        <v>20</v>
      </c>
      <c r="K1127" s="4" t="s">
        <v>77</v>
      </c>
      <c r="L1127" s="4" t="s">
        <v>1445</v>
      </c>
      <c r="M1127" s="4" t="s">
        <v>1064</v>
      </c>
      <c r="N1127" s="4" t="s">
        <v>98</v>
      </c>
      <c r="O1127" s="4" t="s">
        <v>2626</v>
      </c>
      <c r="P1127" s="4" t="s">
        <v>2627</v>
      </c>
    </row>
    <row r="1128" spans="1:16" ht="15.6" x14ac:dyDescent="0.3">
      <c r="A1128" s="2">
        <v>336026</v>
      </c>
      <c r="B1128" s="2" t="s">
        <v>445</v>
      </c>
      <c r="C1128" s="2" t="s">
        <v>1182</v>
      </c>
      <c r="D1128" s="2" t="str">
        <f t="shared" si="19"/>
        <v>IPL-2008</v>
      </c>
      <c r="E1128" s="2">
        <f>YEAR('IPL Info'!$F1128)</f>
        <v>2008</v>
      </c>
      <c r="F1128" s="3">
        <v>39587</v>
      </c>
      <c r="G1128" s="2" t="s">
        <v>1182</v>
      </c>
      <c r="H1128" s="2" t="s">
        <v>18</v>
      </c>
      <c r="I1128" s="2" t="s">
        <v>19</v>
      </c>
      <c r="J1128" s="2" t="s">
        <v>20</v>
      </c>
      <c r="K1128" s="2" t="s">
        <v>1182</v>
      </c>
      <c r="L1128" s="2" t="s">
        <v>2628</v>
      </c>
      <c r="M1128" s="2" t="s">
        <v>1301</v>
      </c>
      <c r="N1128" s="2" t="s">
        <v>1302</v>
      </c>
      <c r="O1128" s="2" t="s">
        <v>2629</v>
      </c>
      <c r="P1128" s="2" t="s">
        <v>2630</v>
      </c>
    </row>
    <row r="1129" spans="1:16" ht="15.6" x14ac:dyDescent="0.3">
      <c r="A1129" s="4">
        <v>336025</v>
      </c>
      <c r="B1129" s="4" t="s">
        <v>56</v>
      </c>
      <c r="C1129" s="4" t="s">
        <v>51</v>
      </c>
      <c r="D1129" s="4" t="str">
        <f t="shared" si="19"/>
        <v>IPL-2008</v>
      </c>
      <c r="E1129" s="4">
        <f>YEAR('IPL Info'!$F1129)</f>
        <v>2008</v>
      </c>
      <c r="F1129" s="5">
        <v>39586</v>
      </c>
      <c r="G1129" s="4" t="s">
        <v>56</v>
      </c>
      <c r="H1129" s="4" t="s">
        <v>31</v>
      </c>
      <c r="I1129" s="4" t="s">
        <v>19</v>
      </c>
      <c r="J1129" s="4" t="s">
        <v>20</v>
      </c>
      <c r="K1129" s="4" t="s">
        <v>51</v>
      </c>
      <c r="L1129" s="4" t="s">
        <v>2596</v>
      </c>
      <c r="M1129" s="4" t="s">
        <v>1064</v>
      </c>
      <c r="N1129" s="4" t="s">
        <v>98</v>
      </c>
      <c r="O1129" s="4" t="s">
        <v>2631</v>
      </c>
      <c r="P1129" s="4" t="s">
        <v>2632</v>
      </c>
    </row>
    <row r="1130" spans="1:16" ht="15.6" x14ac:dyDescent="0.3">
      <c r="A1130" s="2">
        <v>336024</v>
      </c>
      <c r="B1130" s="2" t="s">
        <v>1998</v>
      </c>
      <c r="C1130" s="2" t="s">
        <v>26</v>
      </c>
      <c r="D1130" s="2" t="str">
        <f t="shared" si="19"/>
        <v>IPL-2008</v>
      </c>
      <c r="E1130" s="2">
        <f>YEAR('IPL Info'!$F1130)</f>
        <v>2008</v>
      </c>
      <c r="F1130" s="3">
        <v>39586</v>
      </c>
      <c r="G1130" s="2" t="s">
        <v>1998</v>
      </c>
      <c r="H1130" s="2" t="s">
        <v>18</v>
      </c>
      <c r="I1130" s="2" t="s">
        <v>19</v>
      </c>
      <c r="J1130" s="2" t="s">
        <v>20</v>
      </c>
      <c r="K1130" s="2" t="s">
        <v>26</v>
      </c>
      <c r="L1130" s="2" t="s">
        <v>834</v>
      </c>
      <c r="M1130" s="2" t="s">
        <v>1298</v>
      </c>
      <c r="N1130" s="2" t="s">
        <v>105</v>
      </c>
      <c r="O1130" s="2" t="s">
        <v>2633</v>
      </c>
      <c r="P1130" s="2" t="s">
        <v>2634</v>
      </c>
    </row>
    <row r="1131" spans="1:16" ht="15.6" x14ac:dyDescent="0.3">
      <c r="A1131" s="4">
        <v>336022</v>
      </c>
      <c r="B1131" s="4" t="s">
        <v>1182</v>
      </c>
      <c r="C1131" s="4" t="s">
        <v>925</v>
      </c>
      <c r="D1131" s="4" t="str">
        <f t="shared" si="19"/>
        <v>IPL-2008</v>
      </c>
      <c r="E1131" s="4">
        <f>YEAR('IPL Info'!$F1131)</f>
        <v>2008</v>
      </c>
      <c r="F1131" s="5">
        <v>39585</v>
      </c>
      <c r="G1131" s="4" t="s">
        <v>1182</v>
      </c>
      <c r="H1131" s="4" t="s">
        <v>31</v>
      </c>
      <c r="I1131" s="4" t="s">
        <v>19</v>
      </c>
      <c r="J1131" s="4" t="s">
        <v>20</v>
      </c>
      <c r="K1131" s="4" t="s">
        <v>925</v>
      </c>
      <c r="L1131" s="4" t="s">
        <v>2272</v>
      </c>
      <c r="M1131" s="4" t="s">
        <v>1310</v>
      </c>
      <c r="N1131" s="4" t="s">
        <v>59</v>
      </c>
      <c r="O1131" s="4" t="s">
        <v>2635</v>
      </c>
      <c r="P1131" s="4" t="s">
        <v>2636</v>
      </c>
    </row>
    <row r="1132" spans="1:16" ht="15.6" x14ac:dyDescent="0.3">
      <c r="A1132" s="2">
        <v>336023</v>
      </c>
      <c r="B1132" s="2" t="s">
        <v>77</v>
      </c>
      <c r="C1132" s="2" t="s">
        <v>445</v>
      </c>
      <c r="D1132" s="2" t="str">
        <f t="shared" si="19"/>
        <v>IPL-2008</v>
      </c>
      <c r="E1132" s="2">
        <f>YEAR('IPL Info'!$F1132)</f>
        <v>2008</v>
      </c>
      <c r="F1132" s="3">
        <v>39585</v>
      </c>
      <c r="G1132" s="2" t="s">
        <v>445</v>
      </c>
      <c r="H1132" s="2" t="s">
        <v>18</v>
      </c>
      <c r="I1132" s="2" t="s">
        <v>19</v>
      </c>
      <c r="J1132" s="2" t="s">
        <v>20</v>
      </c>
      <c r="K1132" s="2" t="s">
        <v>77</v>
      </c>
      <c r="L1132" s="2" t="s">
        <v>2528</v>
      </c>
      <c r="M1132" s="2" t="s">
        <v>1069</v>
      </c>
      <c r="N1132" s="2" t="s">
        <v>48</v>
      </c>
      <c r="O1132" s="2" t="s">
        <v>2637</v>
      </c>
      <c r="P1132" s="2" t="s">
        <v>2638</v>
      </c>
    </row>
    <row r="1133" spans="1:16" ht="15.6" x14ac:dyDescent="0.3">
      <c r="A1133" s="4">
        <v>336021</v>
      </c>
      <c r="B1133" s="4" t="s">
        <v>26</v>
      </c>
      <c r="C1133" s="4" t="s">
        <v>56</v>
      </c>
      <c r="D1133" s="4" t="str">
        <f t="shared" si="19"/>
        <v>IPL-2008</v>
      </c>
      <c r="E1133" s="4">
        <f>YEAR('IPL Info'!$F1133)</f>
        <v>2008</v>
      </c>
      <c r="F1133" s="5">
        <v>39584</v>
      </c>
      <c r="G1133" s="4" t="s">
        <v>26</v>
      </c>
      <c r="H1133" s="4" t="s">
        <v>18</v>
      </c>
      <c r="I1133" s="4" t="s">
        <v>19</v>
      </c>
      <c r="J1133" s="4" t="s">
        <v>20</v>
      </c>
      <c r="K1133" s="4" t="s">
        <v>26</v>
      </c>
      <c r="L1133" s="4" t="s">
        <v>2639</v>
      </c>
      <c r="M1133" s="4" t="s">
        <v>1045</v>
      </c>
      <c r="N1133" s="4" t="s">
        <v>74</v>
      </c>
      <c r="O1133" s="4" t="s">
        <v>2640</v>
      </c>
      <c r="P1133" s="4" t="s">
        <v>2641</v>
      </c>
    </row>
    <row r="1134" spans="1:16" ht="15.6" x14ac:dyDescent="0.3">
      <c r="A1134" s="2">
        <v>336020</v>
      </c>
      <c r="B1134" s="2" t="s">
        <v>1182</v>
      </c>
      <c r="C1134" s="2" t="s">
        <v>1998</v>
      </c>
      <c r="D1134" s="2" t="str">
        <f t="shared" si="19"/>
        <v>IPL-2008</v>
      </c>
      <c r="E1134" s="2">
        <f>YEAR('IPL Info'!$F1134)</f>
        <v>2008</v>
      </c>
      <c r="F1134" s="3">
        <v>39583</v>
      </c>
      <c r="G1134" s="2" t="s">
        <v>1998</v>
      </c>
      <c r="H1134" s="2" t="s">
        <v>18</v>
      </c>
      <c r="I1134" s="2" t="s">
        <v>19</v>
      </c>
      <c r="J1134" s="2" t="s">
        <v>20</v>
      </c>
      <c r="K1134" s="2" t="s">
        <v>1182</v>
      </c>
      <c r="L1134" s="2" t="s">
        <v>882</v>
      </c>
      <c r="M1134" s="2" t="s">
        <v>1310</v>
      </c>
      <c r="N1134" s="2" t="s">
        <v>59</v>
      </c>
      <c r="O1134" s="2" t="s">
        <v>2642</v>
      </c>
      <c r="P1134" s="2" t="s">
        <v>2643</v>
      </c>
    </row>
    <row r="1135" spans="1:16" ht="15.6" x14ac:dyDescent="0.3">
      <c r="A1135" s="4">
        <v>336018</v>
      </c>
      <c r="B1135" s="4" t="s">
        <v>26</v>
      </c>
      <c r="C1135" s="4" t="s">
        <v>51</v>
      </c>
      <c r="D1135" s="4" t="str">
        <f t="shared" si="19"/>
        <v>IPL-2008</v>
      </c>
      <c r="E1135" s="4">
        <f>YEAR('IPL Info'!$F1135)</f>
        <v>2008</v>
      </c>
      <c r="F1135" s="5">
        <v>39582</v>
      </c>
      <c r="G1135" s="4" t="s">
        <v>26</v>
      </c>
      <c r="H1135" s="4" t="s">
        <v>18</v>
      </c>
      <c r="I1135" s="4" t="s">
        <v>19</v>
      </c>
      <c r="J1135" s="4" t="s">
        <v>20</v>
      </c>
      <c r="K1135" s="4" t="s">
        <v>26</v>
      </c>
      <c r="L1135" s="4" t="s">
        <v>2644</v>
      </c>
      <c r="M1135" s="4" t="s">
        <v>1045</v>
      </c>
      <c r="N1135" s="4" t="s">
        <v>74</v>
      </c>
      <c r="O1135" s="4" t="s">
        <v>2645</v>
      </c>
      <c r="P1135" s="4" t="s">
        <v>2646</v>
      </c>
    </row>
    <row r="1136" spans="1:16" ht="15.6" x14ac:dyDescent="0.3">
      <c r="A1136" s="2">
        <v>336017</v>
      </c>
      <c r="B1136" s="2" t="s">
        <v>56</v>
      </c>
      <c r="C1136" s="2" t="s">
        <v>1182</v>
      </c>
      <c r="D1136" s="2" t="str">
        <f t="shared" si="19"/>
        <v>IPL-2008</v>
      </c>
      <c r="E1136" s="2">
        <f>YEAR('IPL Info'!$F1136)</f>
        <v>2008</v>
      </c>
      <c r="F1136" s="3">
        <v>39581</v>
      </c>
      <c r="G1136" s="2" t="s">
        <v>56</v>
      </c>
      <c r="H1136" s="2" t="s">
        <v>31</v>
      </c>
      <c r="I1136" s="2" t="s">
        <v>19</v>
      </c>
      <c r="J1136" s="2" t="s">
        <v>20</v>
      </c>
      <c r="K1136" s="2" t="s">
        <v>56</v>
      </c>
      <c r="L1136" s="2" t="s">
        <v>2647</v>
      </c>
      <c r="M1136" s="2" t="s">
        <v>1064</v>
      </c>
      <c r="N1136" s="2" t="s">
        <v>98</v>
      </c>
      <c r="O1136" s="2" t="s">
        <v>2648</v>
      </c>
      <c r="P1136" s="2" t="s">
        <v>2649</v>
      </c>
    </row>
    <row r="1137" spans="1:16" ht="15.6" x14ac:dyDescent="0.3">
      <c r="A1137" s="4">
        <v>336016</v>
      </c>
      <c r="B1137" s="4" t="s">
        <v>925</v>
      </c>
      <c r="C1137" s="4" t="s">
        <v>445</v>
      </c>
      <c r="D1137" s="4" t="str">
        <f t="shared" si="19"/>
        <v>IPL-2008</v>
      </c>
      <c r="E1137" s="4">
        <f>YEAR('IPL Info'!$F1137)</f>
        <v>2008</v>
      </c>
      <c r="F1137" s="5">
        <v>39580</v>
      </c>
      <c r="G1137" s="4" t="s">
        <v>445</v>
      </c>
      <c r="H1137" s="4" t="s">
        <v>31</v>
      </c>
      <c r="I1137" s="4" t="s">
        <v>19</v>
      </c>
      <c r="J1137" s="4" t="s">
        <v>20</v>
      </c>
      <c r="K1137" s="4" t="s">
        <v>925</v>
      </c>
      <c r="L1137" s="4" t="s">
        <v>1656</v>
      </c>
      <c r="M1137" s="4" t="s">
        <v>1580</v>
      </c>
      <c r="N1137" s="4" t="s">
        <v>502</v>
      </c>
      <c r="O1137" s="4" t="s">
        <v>2625</v>
      </c>
      <c r="P1137" s="4" t="s">
        <v>2650</v>
      </c>
    </row>
    <row r="1138" spans="1:16" ht="15.6" x14ac:dyDescent="0.3">
      <c r="A1138" s="2">
        <v>336015</v>
      </c>
      <c r="B1138" s="2" t="s">
        <v>77</v>
      </c>
      <c r="C1138" s="2" t="s">
        <v>1182</v>
      </c>
      <c r="D1138" s="2" t="str">
        <f t="shared" si="19"/>
        <v>IPL-2008</v>
      </c>
      <c r="E1138" s="2">
        <f>YEAR('IPL Info'!$F1138)</f>
        <v>2008</v>
      </c>
      <c r="F1138" s="3">
        <v>39579</v>
      </c>
      <c r="G1138" s="2" t="s">
        <v>77</v>
      </c>
      <c r="H1138" s="2" t="s">
        <v>18</v>
      </c>
      <c r="I1138" s="2" t="s">
        <v>19</v>
      </c>
      <c r="J1138" s="2" t="s">
        <v>20</v>
      </c>
      <c r="K1138" s="2" t="s">
        <v>77</v>
      </c>
      <c r="L1138" s="2" t="s">
        <v>996</v>
      </c>
      <c r="M1138" s="2" t="s">
        <v>1069</v>
      </c>
      <c r="N1138" s="2" t="s">
        <v>48</v>
      </c>
      <c r="O1138" s="2" t="s">
        <v>2651</v>
      </c>
      <c r="P1138" s="2" t="s">
        <v>2652</v>
      </c>
    </row>
    <row r="1139" spans="1:16" ht="15.6" x14ac:dyDescent="0.3">
      <c r="A1139" s="4">
        <v>336014</v>
      </c>
      <c r="B1139" s="4" t="s">
        <v>1998</v>
      </c>
      <c r="C1139" s="4" t="s">
        <v>56</v>
      </c>
      <c r="D1139" s="4" t="str">
        <f t="shared" si="19"/>
        <v>IPL-2008</v>
      </c>
      <c r="E1139" s="4">
        <f>YEAR('IPL Info'!$F1139)</f>
        <v>2008</v>
      </c>
      <c r="F1139" s="5">
        <v>39579</v>
      </c>
      <c r="G1139" s="4" t="s">
        <v>56</v>
      </c>
      <c r="H1139" s="4" t="s">
        <v>31</v>
      </c>
      <c r="I1139" s="4" t="s">
        <v>19</v>
      </c>
      <c r="J1139" s="4" t="s">
        <v>20</v>
      </c>
      <c r="K1139" s="4" t="s">
        <v>56</v>
      </c>
      <c r="L1139" s="4" t="s">
        <v>2091</v>
      </c>
      <c r="M1139" s="4" t="s">
        <v>1298</v>
      </c>
      <c r="N1139" s="4" t="s">
        <v>105</v>
      </c>
      <c r="O1139" s="4" t="s">
        <v>2653</v>
      </c>
      <c r="P1139" s="4" t="s">
        <v>2654</v>
      </c>
    </row>
    <row r="1140" spans="1:16" ht="15.6" x14ac:dyDescent="0.3">
      <c r="A1140" s="2">
        <v>336013</v>
      </c>
      <c r="B1140" s="2" t="s">
        <v>51</v>
      </c>
      <c r="C1140" s="2" t="s">
        <v>925</v>
      </c>
      <c r="D1140" s="2" t="str">
        <f t="shared" si="19"/>
        <v>IPL-2008</v>
      </c>
      <c r="E1140" s="2">
        <f>YEAR('IPL Info'!$F1140)</f>
        <v>2008</v>
      </c>
      <c r="F1140" s="3">
        <v>39578</v>
      </c>
      <c r="G1140" s="2" t="s">
        <v>925</v>
      </c>
      <c r="H1140" s="2" t="s">
        <v>18</v>
      </c>
      <c r="I1140" s="2" t="s">
        <v>19</v>
      </c>
      <c r="J1140" s="2" t="s">
        <v>20</v>
      </c>
      <c r="K1140" s="2" t="s">
        <v>51</v>
      </c>
      <c r="L1140" s="2" t="s">
        <v>2129</v>
      </c>
      <c r="M1140" s="2" t="s">
        <v>1598</v>
      </c>
      <c r="N1140" s="2" t="s">
        <v>126</v>
      </c>
      <c r="O1140" s="2" t="s">
        <v>2655</v>
      </c>
      <c r="P1140" s="2" t="s">
        <v>2656</v>
      </c>
    </row>
    <row r="1141" spans="1:16" ht="15.6" x14ac:dyDescent="0.3">
      <c r="A1141" s="4">
        <v>336011</v>
      </c>
      <c r="B1141" s="4" t="s">
        <v>77</v>
      </c>
      <c r="C1141" s="4" t="s">
        <v>1998</v>
      </c>
      <c r="D1141" s="4" t="str">
        <f t="shared" si="19"/>
        <v>IPL-2008</v>
      </c>
      <c r="E1141" s="4">
        <f>YEAR('IPL Info'!$F1141)</f>
        <v>2008</v>
      </c>
      <c r="F1141" s="5">
        <v>39577</v>
      </c>
      <c r="G1141" s="4" t="s">
        <v>77</v>
      </c>
      <c r="H1141" s="4" t="s">
        <v>18</v>
      </c>
      <c r="I1141" s="4" t="s">
        <v>19</v>
      </c>
      <c r="J1141" s="4" t="s">
        <v>20</v>
      </c>
      <c r="K1141" s="4" t="s">
        <v>77</v>
      </c>
      <c r="L1141" s="4" t="s">
        <v>1445</v>
      </c>
      <c r="M1141" s="4" t="s">
        <v>1069</v>
      </c>
      <c r="N1141" s="4" t="s">
        <v>48</v>
      </c>
      <c r="O1141" s="4" t="s">
        <v>2657</v>
      </c>
      <c r="P1141" s="4" t="s">
        <v>2658</v>
      </c>
    </row>
    <row r="1142" spans="1:16" ht="15.6" x14ac:dyDescent="0.3">
      <c r="A1142" s="2">
        <v>336009</v>
      </c>
      <c r="B1142" s="2" t="s">
        <v>1182</v>
      </c>
      <c r="C1142" s="2" t="s">
        <v>51</v>
      </c>
      <c r="D1142" s="2" t="str">
        <f t="shared" si="19"/>
        <v>IPL-2008</v>
      </c>
      <c r="E1142" s="2">
        <f>YEAR('IPL Info'!$F1142)</f>
        <v>2008</v>
      </c>
      <c r="F1142" s="3">
        <v>39576</v>
      </c>
      <c r="G1142" s="2" t="s">
        <v>51</v>
      </c>
      <c r="H1142" s="2" t="s">
        <v>18</v>
      </c>
      <c r="I1142" s="2" t="s">
        <v>19</v>
      </c>
      <c r="J1142" s="2" t="s">
        <v>20</v>
      </c>
      <c r="K1142" s="2" t="s">
        <v>51</v>
      </c>
      <c r="L1142" s="2" t="s">
        <v>180</v>
      </c>
      <c r="M1142" s="2" t="s">
        <v>1310</v>
      </c>
      <c r="N1142" s="2" t="s">
        <v>59</v>
      </c>
      <c r="O1142" s="2" t="s">
        <v>2659</v>
      </c>
      <c r="P1142" s="2" t="s">
        <v>2660</v>
      </c>
    </row>
    <row r="1143" spans="1:16" ht="15.6" x14ac:dyDescent="0.3">
      <c r="A1143" s="4">
        <v>336010</v>
      </c>
      <c r="B1143" s="4" t="s">
        <v>56</v>
      </c>
      <c r="C1143" s="4" t="s">
        <v>445</v>
      </c>
      <c r="D1143" s="4" t="str">
        <f t="shared" si="19"/>
        <v>IPL-2008</v>
      </c>
      <c r="E1143" s="4">
        <f>YEAR('IPL Info'!$F1143)</f>
        <v>2008</v>
      </c>
      <c r="F1143" s="5">
        <v>39576</v>
      </c>
      <c r="G1143" s="4" t="s">
        <v>56</v>
      </c>
      <c r="H1143" s="4" t="s">
        <v>31</v>
      </c>
      <c r="I1143" s="4" t="s">
        <v>19</v>
      </c>
      <c r="J1143" s="4" t="s">
        <v>20</v>
      </c>
      <c r="K1143" s="4" t="s">
        <v>56</v>
      </c>
      <c r="L1143" s="4" t="s">
        <v>2091</v>
      </c>
      <c r="M1143" s="4" t="s">
        <v>1064</v>
      </c>
      <c r="N1143" s="4" t="s">
        <v>98</v>
      </c>
      <c r="O1143" s="4" t="s">
        <v>2661</v>
      </c>
      <c r="P1143" s="4" t="s">
        <v>2662</v>
      </c>
    </row>
    <row r="1144" spans="1:16" ht="15.6" x14ac:dyDescent="0.3">
      <c r="A1144" s="2">
        <v>336008</v>
      </c>
      <c r="B1144" s="2" t="s">
        <v>26</v>
      </c>
      <c r="C1144" s="2" t="s">
        <v>77</v>
      </c>
      <c r="D1144" s="2" t="str">
        <f t="shared" si="19"/>
        <v>IPL-2008</v>
      </c>
      <c r="E1144" s="2">
        <f>YEAR('IPL Info'!$F1144)</f>
        <v>2008</v>
      </c>
      <c r="F1144" s="3">
        <v>39575</v>
      </c>
      <c r="G1144" s="2" t="s">
        <v>26</v>
      </c>
      <c r="H1144" s="2" t="s">
        <v>18</v>
      </c>
      <c r="I1144" s="2" t="s">
        <v>19</v>
      </c>
      <c r="J1144" s="2" t="s">
        <v>20</v>
      </c>
      <c r="K1144" s="2" t="s">
        <v>26</v>
      </c>
      <c r="L1144" s="2" t="s">
        <v>1486</v>
      </c>
      <c r="M1144" s="2" t="s">
        <v>2173</v>
      </c>
      <c r="N1144" s="2" t="s">
        <v>74</v>
      </c>
      <c r="O1144" s="2" t="s">
        <v>2663</v>
      </c>
      <c r="P1144" s="2" t="s">
        <v>2664</v>
      </c>
    </row>
    <row r="1145" spans="1:16" ht="15.6" x14ac:dyDescent="0.3">
      <c r="A1145" s="4">
        <v>336007</v>
      </c>
      <c r="B1145" s="4" t="s">
        <v>51</v>
      </c>
      <c r="C1145" s="4" t="s">
        <v>1998</v>
      </c>
      <c r="D1145" s="4" t="str">
        <f t="shared" si="19"/>
        <v>IPL-2008</v>
      </c>
      <c r="E1145" s="4">
        <f>YEAR('IPL Info'!$F1145)</f>
        <v>2008</v>
      </c>
      <c r="F1145" s="5">
        <v>39574</v>
      </c>
      <c r="G1145" s="4" t="s">
        <v>1998</v>
      </c>
      <c r="H1145" s="4" t="s">
        <v>18</v>
      </c>
      <c r="I1145" s="4" t="s">
        <v>19</v>
      </c>
      <c r="J1145" s="4" t="s">
        <v>20</v>
      </c>
      <c r="K1145" s="4" t="s">
        <v>1998</v>
      </c>
      <c r="L1145" s="4" t="s">
        <v>1853</v>
      </c>
      <c r="M1145" s="4" t="s">
        <v>1598</v>
      </c>
      <c r="N1145" s="4" t="s">
        <v>126</v>
      </c>
      <c r="O1145" s="4" t="s">
        <v>2665</v>
      </c>
      <c r="P1145" s="4" t="s">
        <v>2666</v>
      </c>
    </row>
    <row r="1146" spans="1:16" ht="15.6" x14ac:dyDescent="0.3">
      <c r="A1146" s="2">
        <v>336006</v>
      </c>
      <c r="B1146" s="2" t="s">
        <v>445</v>
      </c>
      <c r="C1146" s="2" t="s">
        <v>925</v>
      </c>
      <c r="D1146" s="2" t="str">
        <f>_xlfn.SINGLE(_xlfn.CONCAT("IPL-",E1146))</f>
        <v>IPL-2008</v>
      </c>
      <c r="E1146" s="2">
        <f>YEAR('IPL Info'!$F1146)</f>
        <v>2008</v>
      </c>
      <c r="F1146" s="3">
        <v>39573</v>
      </c>
      <c r="G1146" s="2" t="s">
        <v>925</v>
      </c>
      <c r="H1146" s="2" t="s">
        <v>18</v>
      </c>
      <c r="I1146" s="2" t="s">
        <v>19</v>
      </c>
      <c r="J1146" s="2" t="s">
        <v>20</v>
      </c>
      <c r="K1146" s="2" t="s">
        <v>925</v>
      </c>
      <c r="L1146" s="2" t="s">
        <v>2667</v>
      </c>
      <c r="M1146" s="2" t="s">
        <v>1301</v>
      </c>
      <c r="N1146" s="2" t="s">
        <v>1302</v>
      </c>
      <c r="O1146" s="2" t="s">
        <v>2668</v>
      </c>
      <c r="P1146" s="2" t="s">
        <v>2669</v>
      </c>
    </row>
    <row r="1147" spans="1:16" ht="15.6" x14ac:dyDescent="0.3">
      <c r="A1147" s="4">
        <v>336004</v>
      </c>
      <c r="B1147" s="4" t="s">
        <v>26</v>
      </c>
      <c r="C1147" s="4" t="s">
        <v>1182</v>
      </c>
      <c r="D1147" s="4" t="str">
        <f t="shared" si="19"/>
        <v>IPL-2008</v>
      </c>
      <c r="E1147" s="4">
        <f>YEAR('IPL Info'!$F1147)</f>
        <v>2008</v>
      </c>
      <c r="F1147" s="5">
        <v>39572</v>
      </c>
      <c r="G1147" s="4" t="s">
        <v>1182</v>
      </c>
      <c r="H1147" s="4" t="s">
        <v>18</v>
      </c>
      <c r="I1147" s="4" t="s">
        <v>19</v>
      </c>
      <c r="J1147" s="4" t="s">
        <v>20</v>
      </c>
      <c r="K1147" s="4" t="s">
        <v>26</v>
      </c>
      <c r="L1147" s="4" t="s">
        <v>2639</v>
      </c>
      <c r="M1147" s="4" t="s">
        <v>2173</v>
      </c>
      <c r="N1147" s="4" t="s">
        <v>74</v>
      </c>
      <c r="O1147" s="4" t="s">
        <v>2670</v>
      </c>
      <c r="P1147" s="4" t="s">
        <v>2671</v>
      </c>
    </row>
    <row r="1148" spans="1:16" ht="15.6" x14ac:dyDescent="0.3">
      <c r="A1148" s="2">
        <v>336005</v>
      </c>
      <c r="B1148" s="2" t="s">
        <v>77</v>
      </c>
      <c r="C1148" s="2" t="s">
        <v>51</v>
      </c>
      <c r="D1148" s="2" t="str">
        <f t="shared" si="19"/>
        <v>IPL-2008</v>
      </c>
      <c r="E1148" s="2">
        <f>YEAR('IPL Info'!$F1148)</f>
        <v>2008</v>
      </c>
      <c r="F1148" s="3">
        <v>39572</v>
      </c>
      <c r="G1148" s="2" t="s">
        <v>51</v>
      </c>
      <c r="H1148" s="2" t="s">
        <v>31</v>
      </c>
      <c r="I1148" s="2" t="s">
        <v>19</v>
      </c>
      <c r="J1148" s="2" t="s">
        <v>20</v>
      </c>
      <c r="K1148" s="2" t="s">
        <v>77</v>
      </c>
      <c r="L1148" s="2" t="s">
        <v>2608</v>
      </c>
      <c r="M1148" s="2" t="s">
        <v>1069</v>
      </c>
      <c r="N1148" s="2" t="s">
        <v>48</v>
      </c>
      <c r="O1148" s="2" t="s">
        <v>2672</v>
      </c>
      <c r="P1148" s="2" t="s">
        <v>2673</v>
      </c>
    </row>
    <row r="1149" spans="1:16" ht="15.6" x14ac:dyDescent="0.3">
      <c r="A1149" s="4">
        <v>336003</v>
      </c>
      <c r="B1149" s="4" t="s">
        <v>925</v>
      </c>
      <c r="C1149" s="4" t="s">
        <v>56</v>
      </c>
      <c r="D1149" s="4" t="str">
        <f t="shared" si="19"/>
        <v>IPL-2008</v>
      </c>
      <c r="E1149" s="4">
        <f>YEAR('IPL Info'!$F1149)</f>
        <v>2008</v>
      </c>
      <c r="F1149" s="5">
        <v>39571</v>
      </c>
      <c r="G1149" s="4" t="s">
        <v>925</v>
      </c>
      <c r="H1149" s="4" t="s">
        <v>31</v>
      </c>
      <c r="I1149" s="4" t="s">
        <v>19</v>
      </c>
      <c r="J1149" s="4" t="s">
        <v>20</v>
      </c>
      <c r="K1149" s="4" t="s">
        <v>925</v>
      </c>
      <c r="L1149" s="4" t="s">
        <v>2147</v>
      </c>
      <c r="M1149" s="4" t="s">
        <v>1580</v>
      </c>
      <c r="N1149" s="4" t="s">
        <v>502</v>
      </c>
      <c r="O1149" s="4" t="s">
        <v>2674</v>
      </c>
      <c r="P1149" s="4" t="s">
        <v>2675</v>
      </c>
    </row>
    <row r="1150" spans="1:16" ht="15.6" x14ac:dyDescent="0.3">
      <c r="A1150" s="2">
        <v>336034</v>
      </c>
      <c r="B1150" s="2" t="s">
        <v>445</v>
      </c>
      <c r="C1150" s="2" t="s">
        <v>1998</v>
      </c>
      <c r="D1150" s="2" t="str">
        <f t="shared" si="19"/>
        <v>IPL-2008</v>
      </c>
      <c r="E1150" s="2">
        <f>YEAR('IPL Info'!$F1150)</f>
        <v>2008</v>
      </c>
      <c r="F1150" s="3">
        <v>39571</v>
      </c>
      <c r="G1150" s="2" t="s">
        <v>1998</v>
      </c>
      <c r="H1150" s="2" t="s">
        <v>18</v>
      </c>
      <c r="I1150" s="2" t="s">
        <v>19</v>
      </c>
      <c r="J1150" s="2" t="s">
        <v>20</v>
      </c>
      <c r="K1150" s="2" t="s">
        <v>445</v>
      </c>
      <c r="L1150" s="2" t="s">
        <v>1488</v>
      </c>
      <c r="M1150" s="2" t="s">
        <v>1301</v>
      </c>
      <c r="N1150" s="2" t="s">
        <v>1302</v>
      </c>
      <c r="O1150" s="2" t="s">
        <v>2676</v>
      </c>
      <c r="P1150" s="2" t="s">
        <v>2677</v>
      </c>
    </row>
    <row r="1151" spans="1:16" ht="15.6" x14ac:dyDescent="0.3">
      <c r="A1151" s="4">
        <v>336001</v>
      </c>
      <c r="B1151" s="4" t="s">
        <v>51</v>
      </c>
      <c r="C1151" s="4" t="s">
        <v>1182</v>
      </c>
      <c r="D1151" s="4" t="str">
        <f t="shared" si="19"/>
        <v>IPL-2008</v>
      </c>
      <c r="E1151" s="4">
        <f>YEAR('IPL Info'!$F1151)</f>
        <v>2008</v>
      </c>
      <c r="F1151" s="5">
        <v>39570</v>
      </c>
      <c r="G1151" s="4" t="s">
        <v>51</v>
      </c>
      <c r="H1151" s="4" t="s">
        <v>31</v>
      </c>
      <c r="I1151" s="4" t="s">
        <v>19</v>
      </c>
      <c r="J1151" s="4" t="s">
        <v>20</v>
      </c>
      <c r="K1151" s="4" t="s">
        <v>1182</v>
      </c>
      <c r="L1151" s="4" t="s">
        <v>1696</v>
      </c>
      <c r="M1151" s="4" t="s">
        <v>1598</v>
      </c>
      <c r="N1151" s="4" t="s">
        <v>126</v>
      </c>
      <c r="O1151" s="4" t="s">
        <v>2678</v>
      </c>
      <c r="P1151" s="4" t="s">
        <v>2679</v>
      </c>
    </row>
    <row r="1152" spans="1:16" ht="15.6" x14ac:dyDescent="0.3">
      <c r="A1152" s="2">
        <v>336000</v>
      </c>
      <c r="B1152" s="2" t="s">
        <v>77</v>
      </c>
      <c r="C1152" s="2" t="s">
        <v>56</v>
      </c>
      <c r="D1152" s="2" t="str">
        <f t="shared" si="19"/>
        <v>IPL-2008</v>
      </c>
      <c r="E1152" s="2">
        <f>YEAR('IPL Info'!$F1152)</f>
        <v>2008</v>
      </c>
      <c r="F1152" s="3">
        <v>39569</v>
      </c>
      <c r="G1152" s="2" t="s">
        <v>77</v>
      </c>
      <c r="H1152" s="2" t="s">
        <v>31</v>
      </c>
      <c r="I1152" s="2" t="s">
        <v>19</v>
      </c>
      <c r="J1152" s="2" t="s">
        <v>20</v>
      </c>
      <c r="K1152" s="2" t="s">
        <v>77</v>
      </c>
      <c r="L1152" s="2" t="s">
        <v>2680</v>
      </c>
      <c r="M1152" s="2" t="s">
        <v>1069</v>
      </c>
      <c r="N1152" s="2" t="s">
        <v>48</v>
      </c>
      <c r="O1152" s="2" t="s">
        <v>2681</v>
      </c>
      <c r="P1152" s="2" t="s">
        <v>2682</v>
      </c>
    </row>
    <row r="1153" spans="1:16" ht="15.6" x14ac:dyDescent="0.3">
      <c r="A1153" s="4">
        <v>335999</v>
      </c>
      <c r="B1153" s="4" t="s">
        <v>1998</v>
      </c>
      <c r="C1153" s="4" t="s">
        <v>925</v>
      </c>
      <c r="D1153" s="4" t="str">
        <f t="shared" si="19"/>
        <v>IPL-2008</v>
      </c>
      <c r="E1153" s="4">
        <f>YEAR('IPL Info'!$F1153)</f>
        <v>2008</v>
      </c>
      <c r="F1153" s="5">
        <v>39569</v>
      </c>
      <c r="G1153" s="4" t="s">
        <v>925</v>
      </c>
      <c r="H1153" s="4" t="s">
        <v>18</v>
      </c>
      <c r="I1153" s="4" t="s">
        <v>19</v>
      </c>
      <c r="J1153" s="4" t="s">
        <v>20</v>
      </c>
      <c r="K1153" s="4" t="s">
        <v>925</v>
      </c>
      <c r="L1153" s="4" t="s">
        <v>1656</v>
      </c>
      <c r="M1153" s="4" t="s">
        <v>1298</v>
      </c>
      <c r="N1153" s="4" t="s">
        <v>105</v>
      </c>
      <c r="O1153" s="4" t="s">
        <v>2683</v>
      </c>
      <c r="P1153" s="4" t="s">
        <v>2684</v>
      </c>
    </row>
    <row r="1154" spans="1:16" ht="15.6" x14ac:dyDescent="0.3">
      <c r="A1154" s="2">
        <v>335998</v>
      </c>
      <c r="B1154" s="2" t="s">
        <v>1182</v>
      </c>
      <c r="C1154" s="2" t="s">
        <v>445</v>
      </c>
      <c r="D1154" s="2" t="str">
        <f t="shared" si="19"/>
        <v>IPL-2008</v>
      </c>
      <c r="E1154" s="2">
        <f>YEAR('IPL Info'!$F1154)</f>
        <v>2008</v>
      </c>
      <c r="F1154" s="3">
        <v>39568</v>
      </c>
      <c r="G1154" s="2" t="s">
        <v>445</v>
      </c>
      <c r="H1154" s="2" t="s">
        <v>18</v>
      </c>
      <c r="I1154" s="2" t="s">
        <v>19</v>
      </c>
      <c r="J1154" s="2" t="s">
        <v>20</v>
      </c>
      <c r="K1154" s="2" t="s">
        <v>1182</v>
      </c>
      <c r="L1154" s="2" t="s">
        <v>2685</v>
      </c>
      <c r="M1154" s="2" t="s">
        <v>1310</v>
      </c>
      <c r="N1154" s="2" t="s">
        <v>59</v>
      </c>
      <c r="O1154" s="2" t="s">
        <v>2686</v>
      </c>
      <c r="P1154" s="2" t="s">
        <v>2687</v>
      </c>
    </row>
    <row r="1155" spans="1:16" ht="15.6" x14ac:dyDescent="0.3">
      <c r="A1155" s="4">
        <v>335997</v>
      </c>
      <c r="B1155" s="4" t="s">
        <v>56</v>
      </c>
      <c r="C1155" s="4" t="s">
        <v>26</v>
      </c>
      <c r="D1155" s="4" t="str">
        <f t="shared" si="19"/>
        <v>IPL-2008</v>
      </c>
      <c r="E1155" s="4">
        <f>YEAR('IPL Info'!$F1155)</f>
        <v>2008</v>
      </c>
      <c r="F1155" s="5">
        <v>39567</v>
      </c>
      <c r="G1155" s="4" t="s">
        <v>56</v>
      </c>
      <c r="H1155" s="4" t="s">
        <v>31</v>
      </c>
      <c r="I1155" s="4" t="s">
        <v>19</v>
      </c>
      <c r="J1155" s="4" t="s">
        <v>20</v>
      </c>
      <c r="K1155" s="4" t="s">
        <v>26</v>
      </c>
      <c r="L1155" s="4" t="s">
        <v>2644</v>
      </c>
      <c r="M1155" s="4" t="s">
        <v>1064</v>
      </c>
      <c r="N1155" s="4" t="s">
        <v>98</v>
      </c>
      <c r="O1155" s="4" t="s">
        <v>2688</v>
      </c>
      <c r="P1155" s="4" t="s">
        <v>2689</v>
      </c>
    </row>
    <row r="1156" spans="1:16" ht="15.6" x14ac:dyDescent="0.3">
      <c r="A1156" s="2">
        <v>335996</v>
      </c>
      <c r="B1156" s="2" t="s">
        <v>445</v>
      </c>
      <c r="C1156" s="2" t="s">
        <v>51</v>
      </c>
      <c r="D1156" s="2" t="str">
        <f t="shared" si="19"/>
        <v>IPL-2008</v>
      </c>
      <c r="E1156" s="2">
        <f>YEAR('IPL Info'!$F1156)</f>
        <v>2008</v>
      </c>
      <c r="F1156" s="3">
        <v>39566</v>
      </c>
      <c r="G1156" s="2" t="s">
        <v>51</v>
      </c>
      <c r="H1156" s="2" t="s">
        <v>31</v>
      </c>
      <c r="I1156" s="2" t="s">
        <v>19</v>
      </c>
      <c r="J1156" s="2" t="s">
        <v>20</v>
      </c>
      <c r="K1156" s="2" t="s">
        <v>51</v>
      </c>
      <c r="L1156" s="2" t="s">
        <v>180</v>
      </c>
      <c r="M1156" s="2" t="s">
        <v>1301</v>
      </c>
      <c r="N1156" s="2" t="s">
        <v>1302</v>
      </c>
      <c r="O1156" s="2" t="s">
        <v>2690</v>
      </c>
      <c r="P1156" s="2" t="s">
        <v>2691</v>
      </c>
    </row>
    <row r="1157" spans="1:16" ht="15.6" x14ac:dyDescent="0.3">
      <c r="A1157" s="4">
        <v>335995</v>
      </c>
      <c r="B1157" s="4" t="s">
        <v>925</v>
      </c>
      <c r="C1157" s="4" t="s">
        <v>1182</v>
      </c>
      <c r="D1157" s="4" t="str">
        <f t="shared" si="19"/>
        <v>IPL-2008</v>
      </c>
      <c r="E1157" s="4">
        <f>YEAR('IPL Info'!$F1157)</f>
        <v>2008</v>
      </c>
      <c r="F1157" s="5">
        <v>39565</v>
      </c>
      <c r="G1157" s="4" t="s">
        <v>1182</v>
      </c>
      <c r="H1157" s="4" t="s">
        <v>31</v>
      </c>
      <c r="I1157" s="4" t="s">
        <v>19</v>
      </c>
      <c r="J1157" s="4" t="s">
        <v>20</v>
      </c>
      <c r="K1157" s="4" t="s">
        <v>925</v>
      </c>
      <c r="L1157" s="4" t="s">
        <v>2692</v>
      </c>
      <c r="M1157" s="4" t="s">
        <v>1580</v>
      </c>
      <c r="N1157" s="4" t="s">
        <v>502</v>
      </c>
      <c r="O1157" s="4" t="s">
        <v>2693</v>
      </c>
      <c r="P1157" s="4" t="s">
        <v>2694</v>
      </c>
    </row>
    <row r="1158" spans="1:16" ht="15.6" x14ac:dyDescent="0.3">
      <c r="A1158" s="2">
        <v>335994</v>
      </c>
      <c r="B1158" s="2" t="s">
        <v>26</v>
      </c>
      <c r="C1158" s="2" t="s">
        <v>1998</v>
      </c>
      <c r="D1158" s="2" t="str">
        <f t="shared" si="19"/>
        <v>IPL-2008</v>
      </c>
      <c r="E1158" s="2">
        <f>YEAR('IPL Info'!$F1158)</f>
        <v>2008</v>
      </c>
      <c r="F1158" s="3">
        <v>39565</v>
      </c>
      <c r="G1158" s="2" t="s">
        <v>1998</v>
      </c>
      <c r="H1158" s="2" t="s">
        <v>18</v>
      </c>
      <c r="I1158" s="2" t="s">
        <v>19</v>
      </c>
      <c r="J1158" s="2" t="s">
        <v>20</v>
      </c>
      <c r="K1158" s="2" t="s">
        <v>1998</v>
      </c>
      <c r="L1158" s="2" t="s">
        <v>1853</v>
      </c>
      <c r="M1158" s="2" t="s">
        <v>2173</v>
      </c>
      <c r="N1158" s="2" t="s">
        <v>74</v>
      </c>
      <c r="O1158" s="2" t="s">
        <v>2695</v>
      </c>
      <c r="P1158" s="2" t="s">
        <v>2696</v>
      </c>
    </row>
    <row r="1159" spans="1:16" ht="15.6" x14ac:dyDescent="0.3">
      <c r="A1159" s="4">
        <v>335992</v>
      </c>
      <c r="B1159" s="4" t="s">
        <v>445</v>
      </c>
      <c r="C1159" s="4" t="s">
        <v>77</v>
      </c>
      <c r="D1159" s="4" t="str">
        <f t="shared" si="19"/>
        <v>IPL-2008</v>
      </c>
      <c r="E1159" s="4">
        <f>YEAR('IPL Info'!$F1159)</f>
        <v>2008</v>
      </c>
      <c r="F1159" s="5">
        <v>39564</v>
      </c>
      <c r="G1159" s="4" t="s">
        <v>77</v>
      </c>
      <c r="H1159" s="4" t="s">
        <v>18</v>
      </c>
      <c r="I1159" s="4" t="s">
        <v>19</v>
      </c>
      <c r="J1159" s="4" t="s">
        <v>20</v>
      </c>
      <c r="K1159" s="4" t="s">
        <v>77</v>
      </c>
      <c r="L1159" s="4" t="s">
        <v>996</v>
      </c>
      <c r="M1159" s="4" t="s">
        <v>1301</v>
      </c>
      <c r="N1159" s="4" t="s">
        <v>1302</v>
      </c>
      <c r="O1159" s="4" t="s">
        <v>2697</v>
      </c>
      <c r="P1159" s="4" t="s">
        <v>2698</v>
      </c>
    </row>
    <row r="1160" spans="1:16" ht="15.6" x14ac:dyDescent="0.3">
      <c r="A1160" s="2">
        <v>335993</v>
      </c>
      <c r="B1160" s="2" t="s">
        <v>51</v>
      </c>
      <c r="C1160" s="2" t="s">
        <v>56</v>
      </c>
      <c r="D1160" s="2" t="str">
        <f t="shared" si="19"/>
        <v>IPL-2008</v>
      </c>
      <c r="E1160" s="2">
        <f>YEAR('IPL Info'!$F1160)</f>
        <v>2008</v>
      </c>
      <c r="F1160" s="3">
        <v>39564</v>
      </c>
      <c r="G1160" s="2" t="s">
        <v>56</v>
      </c>
      <c r="H1160" s="2" t="s">
        <v>31</v>
      </c>
      <c r="I1160" s="2" t="s">
        <v>19</v>
      </c>
      <c r="J1160" s="2" t="s">
        <v>20</v>
      </c>
      <c r="K1160" s="2" t="s">
        <v>51</v>
      </c>
      <c r="L1160" s="2" t="s">
        <v>2699</v>
      </c>
      <c r="M1160" s="2" t="s">
        <v>1598</v>
      </c>
      <c r="N1160" s="2" t="s">
        <v>126</v>
      </c>
      <c r="O1160" s="2" t="s">
        <v>2700</v>
      </c>
      <c r="P1160" s="2" t="s">
        <v>2701</v>
      </c>
    </row>
    <row r="1161" spans="1:16" ht="15.6" x14ac:dyDescent="0.3">
      <c r="A1161" s="4">
        <v>335991</v>
      </c>
      <c r="B1161" s="4" t="s">
        <v>925</v>
      </c>
      <c r="C1161" s="4" t="s">
        <v>26</v>
      </c>
      <c r="D1161" s="4" t="str">
        <f t="shared" si="19"/>
        <v>IPL-2008</v>
      </c>
      <c r="E1161" s="4">
        <f>YEAR('IPL Info'!$F1161)</f>
        <v>2008</v>
      </c>
      <c r="F1161" s="5">
        <v>39563</v>
      </c>
      <c r="G1161" s="4" t="s">
        <v>26</v>
      </c>
      <c r="H1161" s="4" t="s">
        <v>18</v>
      </c>
      <c r="I1161" s="4" t="s">
        <v>19</v>
      </c>
      <c r="J1161" s="4" t="s">
        <v>20</v>
      </c>
      <c r="K1161" s="4" t="s">
        <v>925</v>
      </c>
      <c r="L1161" s="4" t="s">
        <v>2062</v>
      </c>
      <c r="M1161" s="4" t="s">
        <v>1580</v>
      </c>
      <c r="N1161" s="4" t="s">
        <v>502</v>
      </c>
      <c r="O1161" s="4" t="s">
        <v>2702</v>
      </c>
      <c r="P1161" s="4" t="s">
        <v>2703</v>
      </c>
    </row>
    <row r="1162" spans="1:16" ht="15.6" x14ac:dyDescent="0.3">
      <c r="A1162" s="2">
        <v>335990</v>
      </c>
      <c r="B1162" s="2" t="s">
        <v>1998</v>
      </c>
      <c r="C1162" s="2" t="s">
        <v>77</v>
      </c>
      <c r="D1162" s="2" t="str">
        <f t="shared" si="19"/>
        <v>IPL-2008</v>
      </c>
      <c r="E1162" s="2">
        <f>YEAR('IPL Info'!$F1162)</f>
        <v>2008</v>
      </c>
      <c r="F1162" s="3">
        <v>39562</v>
      </c>
      <c r="G1162" s="2" t="s">
        <v>77</v>
      </c>
      <c r="H1162" s="2" t="s">
        <v>18</v>
      </c>
      <c r="I1162" s="2" t="s">
        <v>19</v>
      </c>
      <c r="J1162" s="2" t="s">
        <v>20</v>
      </c>
      <c r="K1162" s="2" t="s">
        <v>77</v>
      </c>
      <c r="L1162" s="2" t="s">
        <v>1445</v>
      </c>
      <c r="M1162" s="2" t="s">
        <v>1298</v>
      </c>
      <c r="N1162" s="2" t="s">
        <v>105</v>
      </c>
      <c r="O1162" s="2" t="s">
        <v>2704</v>
      </c>
      <c r="P1162" s="2" t="s">
        <v>2705</v>
      </c>
    </row>
    <row r="1163" spans="1:16" ht="15.6" x14ac:dyDescent="0.3">
      <c r="A1163" s="4">
        <v>335989</v>
      </c>
      <c r="B1163" s="4" t="s">
        <v>51</v>
      </c>
      <c r="C1163" s="4" t="s">
        <v>26</v>
      </c>
      <c r="D1163" s="4" t="str">
        <f t="shared" si="19"/>
        <v>IPL-2008</v>
      </c>
      <c r="E1163" s="4">
        <f>YEAR('IPL Info'!$F1163)</f>
        <v>2008</v>
      </c>
      <c r="F1163" s="5">
        <v>39561</v>
      </c>
      <c r="G1163" s="4" t="s">
        <v>26</v>
      </c>
      <c r="H1163" s="4" t="s">
        <v>18</v>
      </c>
      <c r="I1163" s="4" t="s">
        <v>19</v>
      </c>
      <c r="J1163" s="4" t="s">
        <v>20</v>
      </c>
      <c r="K1163" s="4" t="s">
        <v>51</v>
      </c>
      <c r="L1163" s="4" t="s">
        <v>2428</v>
      </c>
      <c r="M1163" s="4" t="s">
        <v>1598</v>
      </c>
      <c r="N1163" s="4" t="s">
        <v>126</v>
      </c>
      <c r="O1163" s="4" t="s">
        <v>2706</v>
      </c>
      <c r="P1163" s="4" t="s">
        <v>2707</v>
      </c>
    </row>
    <row r="1164" spans="1:16" ht="15.6" x14ac:dyDescent="0.3">
      <c r="A1164" s="2">
        <v>335988</v>
      </c>
      <c r="B1164" s="2" t="s">
        <v>1998</v>
      </c>
      <c r="C1164" s="2" t="s">
        <v>1182</v>
      </c>
      <c r="D1164" s="2" t="str">
        <f t="shared" si="19"/>
        <v>IPL-2008</v>
      </c>
      <c r="E1164" s="2">
        <f>YEAR('IPL Info'!$F1164)</f>
        <v>2008</v>
      </c>
      <c r="F1164" s="3">
        <v>39560</v>
      </c>
      <c r="G1164" s="2" t="s">
        <v>1998</v>
      </c>
      <c r="H1164" s="2" t="s">
        <v>31</v>
      </c>
      <c r="I1164" s="2" t="s">
        <v>19</v>
      </c>
      <c r="J1164" s="2" t="s">
        <v>20</v>
      </c>
      <c r="K1164" s="2" t="s">
        <v>1182</v>
      </c>
      <c r="L1164" s="2" t="s">
        <v>1696</v>
      </c>
      <c r="M1164" s="2" t="s">
        <v>1298</v>
      </c>
      <c r="N1164" s="2" t="s">
        <v>105</v>
      </c>
      <c r="O1164" s="2" t="s">
        <v>2708</v>
      </c>
      <c r="P1164" s="2" t="s">
        <v>2709</v>
      </c>
    </row>
    <row r="1165" spans="1:16" ht="15.6" x14ac:dyDescent="0.3">
      <c r="A1165" s="4">
        <v>335987</v>
      </c>
      <c r="B1165" s="4" t="s">
        <v>77</v>
      </c>
      <c r="C1165" s="4" t="s">
        <v>925</v>
      </c>
      <c r="D1165" s="4" t="str">
        <f t="shared" si="19"/>
        <v>IPL-2008</v>
      </c>
      <c r="E1165" s="4">
        <f>YEAR('IPL Info'!$F1165)</f>
        <v>2008</v>
      </c>
      <c r="F1165" s="5">
        <v>39559</v>
      </c>
      <c r="G1165" s="4" t="s">
        <v>925</v>
      </c>
      <c r="H1165" s="4" t="s">
        <v>31</v>
      </c>
      <c r="I1165" s="4" t="s">
        <v>19</v>
      </c>
      <c r="J1165" s="4" t="s">
        <v>20</v>
      </c>
      <c r="K1165" s="4" t="s">
        <v>77</v>
      </c>
      <c r="L1165" s="4" t="s">
        <v>996</v>
      </c>
      <c r="M1165" s="4" t="s">
        <v>1069</v>
      </c>
      <c r="N1165" s="4" t="s">
        <v>48</v>
      </c>
      <c r="O1165" s="4" t="s">
        <v>2710</v>
      </c>
      <c r="P1165" s="4" t="s">
        <v>2711</v>
      </c>
    </row>
    <row r="1166" spans="1:16" ht="15.6" x14ac:dyDescent="0.3">
      <c r="A1166" s="2">
        <v>335985</v>
      </c>
      <c r="B1166" s="2" t="s">
        <v>26</v>
      </c>
      <c r="C1166" s="2" t="s">
        <v>445</v>
      </c>
      <c r="D1166" s="2" t="str">
        <f>_xlfn.SINGLE(_xlfn.CONCAT("IPL-",E1166))</f>
        <v>IPL-2008</v>
      </c>
      <c r="E1166" s="2">
        <f>YEAR('IPL Info'!$F1166)</f>
        <v>2008</v>
      </c>
      <c r="F1166" s="3">
        <v>39558</v>
      </c>
      <c r="G1166" s="2" t="s">
        <v>26</v>
      </c>
      <c r="H1166" s="2" t="s">
        <v>31</v>
      </c>
      <c r="I1166" s="2" t="s">
        <v>19</v>
      </c>
      <c r="J1166" s="2" t="s">
        <v>20</v>
      </c>
      <c r="K1166" s="2" t="s">
        <v>445</v>
      </c>
      <c r="L1166" s="2" t="s">
        <v>2552</v>
      </c>
      <c r="M1166" s="2" t="s">
        <v>1045</v>
      </c>
      <c r="N1166" s="2" t="s">
        <v>74</v>
      </c>
      <c r="O1166" s="2" t="s">
        <v>2712</v>
      </c>
      <c r="P1166" s="2" t="s">
        <v>2713</v>
      </c>
    </row>
    <row r="1167" spans="1:16" ht="15.6" x14ac:dyDescent="0.3">
      <c r="A1167" s="4">
        <v>335986</v>
      </c>
      <c r="B1167" s="4" t="s">
        <v>56</v>
      </c>
      <c r="C1167" s="4" t="s">
        <v>1998</v>
      </c>
      <c r="D1167" s="4" t="str">
        <f t="shared" si="19"/>
        <v>IPL-2008</v>
      </c>
      <c r="E1167" s="4">
        <f>YEAR('IPL Info'!$F1167)</f>
        <v>2008</v>
      </c>
      <c r="F1167" s="5">
        <v>39558</v>
      </c>
      <c r="G1167" s="4" t="s">
        <v>1998</v>
      </c>
      <c r="H1167" s="4" t="s">
        <v>31</v>
      </c>
      <c r="I1167" s="4" t="s">
        <v>19</v>
      </c>
      <c r="J1167" s="4" t="s">
        <v>20</v>
      </c>
      <c r="K1167" s="4" t="s">
        <v>56</v>
      </c>
      <c r="L1167" s="4" t="s">
        <v>2022</v>
      </c>
      <c r="M1167" s="4" t="s">
        <v>1064</v>
      </c>
      <c r="N1167" s="4" t="s">
        <v>98</v>
      </c>
      <c r="O1167" s="4" t="s">
        <v>2714</v>
      </c>
      <c r="P1167" s="4" t="s">
        <v>2715</v>
      </c>
    </row>
    <row r="1168" spans="1:16" ht="15.6" x14ac:dyDescent="0.3">
      <c r="A1168" s="2">
        <v>335984</v>
      </c>
      <c r="B1168" s="2" t="s">
        <v>1182</v>
      </c>
      <c r="C1168" s="2" t="s">
        <v>77</v>
      </c>
      <c r="D1168" s="2" t="str">
        <f t="shared" si="19"/>
        <v>IPL-2008</v>
      </c>
      <c r="E1168" s="2">
        <f>YEAR('IPL Info'!$F1168)</f>
        <v>2008</v>
      </c>
      <c r="F1168" s="3">
        <v>39557</v>
      </c>
      <c r="G1168" s="2" t="s">
        <v>77</v>
      </c>
      <c r="H1168" s="2" t="s">
        <v>31</v>
      </c>
      <c r="I1168" s="2" t="s">
        <v>19</v>
      </c>
      <c r="J1168" s="2" t="s">
        <v>20</v>
      </c>
      <c r="K1168" s="2" t="s">
        <v>1182</v>
      </c>
      <c r="L1168" s="2" t="s">
        <v>2716</v>
      </c>
      <c r="M1168" s="2" t="s">
        <v>1310</v>
      </c>
      <c r="N1168" s="2" t="s">
        <v>59</v>
      </c>
      <c r="O1168" s="2" t="s">
        <v>2717</v>
      </c>
      <c r="P1168" s="2" t="s">
        <v>2718</v>
      </c>
    </row>
    <row r="1169" spans="1:16" ht="15.6" x14ac:dyDescent="0.3">
      <c r="A1169" s="4">
        <v>335983</v>
      </c>
      <c r="B1169" s="4" t="s">
        <v>925</v>
      </c>
      <c r="C1169" s="4" t="s">
        <v>51</v>
      </c>
      <c r="D1169" s="4" t="str">
        <f t="shared" si="19"/>
        <v>IPL-2008</v>
      </c>
      <c r="E1169" s="4">
        <f>YEAR('IPL Info'!$F1169)</f>
        <v>2008</v>
      </c>
      <c r="F1169" s="5">
        <v>39557</v>
      </c>
      <c r="G1169" s="4" t="s">
        <v>51</v>
      </c>
      <c r="H1169" s="4" t="s">
        <v>31</v>
      </c>
      <c r="I1169" s="4" t="s">
        <v>19</v>
      </c>
      <c r="J1169" s="4" t="s">
        <v>20</v>
      </c>
      <c r="K1169" s="4" t="s">
        <v>51</v>
      </c>
      <c r="L1169" s="4" t="s">
        <v>1711</v>
      </c>
      <c r="M1169" s="4" t="s">
        <v>1580</v>
      </c>
      <c r="N1169" s="4" t="s">
        <v>502</v>
      </c>
      <c r="O1169" s="4" t="s">
        <v>2719</v>
      </c>
      <c r="P1169" s="4" t="s">
        <v>2720</v>
      </c>
    </row>
    <row r="1170" spans="1:16" ht="15.6" x14ac:dyDescent="0.3">
      <c r="A1170" s="2">
        <v>335982</v>
      </c>
      <c r="B1170" s="2" t="s">
        <v>445</v>
      </c>
      <c r="C1170" s="2" t="s">
        <v>56</v>
      </c>
      <c r="D1170" s="2" t="str">
        <f t="shared" si="19"/>
        <v>IPL-2008</v>
      </c>
      <c r="E1170" s="2">
        <f>YEAR('IPL Info'!$F1170)</f>
        <v>2008</v>
      </c>
      <c r="F1170" s="3">
        <v>39556</v>
      </c>
      <c r="G1170" s="2" t="s">
        <v>445</v>
      </c>
      <c r="H1170" s="2" t="s">
        <v>18</v>
      </c>
      <c r="I1170" s="2" t="s">
        <v>19</v>
      </c>
      <c r="J1170" s="2" t="s">
        <v>20</v>
      </c>
      <c r="K1170" s="2" t="s">
        <v>56</v>
      </c>
      <c r="L1170" s="2" t="s">
        <v>1642</v>
      </c>
      <c r="M1170" s="2" t="s">
        <v>1301</v>
      </c>
      <c r="N1170" s="2" t="s">
        <v>1302</v>
      </c>
      <c r="O1170" s="2" t="s">
        <v>2721</v>
      </c>
      <c r="P1170" s="2" t="s">
        <v>2722</v>
      </c>
    </row>
  </sheetData>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matches win by team</vt:lpstr>
      <vt:lpstr>toss decission1</vt:lpstr>
      <vt:lpstr>top 10 venues1</vt:lpstr>
      <vt:lpstr>mom</vt:lpstr>
      <vt:lpstr>winners1</vt:lpstr>
      <vt:lpstr>winners_data</vt:lpstr>
      <vt:lpstr>kpi</vt:lpstr>
      <vt:lpstr>IPL 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Jayanth Sanapathi</cp:lastModifiedBy>
  <dcterms:modified xsi:type="dcterms:W3CDTF">2026-04-28T07:45:20Z</dcterms:modified>
</cp:coreProperties>
</file>