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yanth\OneDrive\Desktop\Excel\"/>
    </mc:Choice>
  </mc:AlternateContent>
  <xr:revisionPtr revIDLastSave="0" documentId="13_ncr:1_{27C6C5B9-62B0-4E58-954D-379A1EC94A6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📋 INDEX" sheetId="1" r:id="rId1"/>
    <sheet name="Dumy_data" sheetId="11" r:id="rId2"/>
    <sheet name="Raw_Data" sheetId="2" r:id="rId3"/>
    <sheet name="Data_Cleaning_Steps" sheetId="3" r:id="rId4"/>
    <sheet name="Clean_Data" sheetId="4" r:id="rId5"/>
    <sheet name="Data_Validation" sheetId="5" r:id="rId6"/>
    <sheet name="Lists" sheetId="6" r:id="rId7"/>
    <sheet name="Chart_Data" sheetId="7" r:id="rId8"/>
    <sheet name="Visualization_Guide" sheetId="8" r:id="rId9"/>
    <sheet name="Dashboard" sheetId="9" r:id="rId10"/>
    <sheet name="Assignment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rN+KfLNyI9DJSwKi/UYvletlCasgDW/6/G6jPVyWkqo="/>
    </ext>
  </extLst>
</workbook>
</file>

<file path=xl/calcChain.xml><?xml version="1.0" encoding="utf-8"?>
<calcChain xmlns="http://schemas.openxmlformats.org/spreadsheetml/2006/main">
  <c r="C2" i="11" l="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D22" i="3"/>
  <c r="D27" i="5"/>
  <c r="D26" i="5"/>
  <c r="E69" i="3"/>
  <c r="E67" i="3"/>
  <c r="E66" i="3"/>
  <c r="E64" i="3"/>
  <c r="E63" i="3"/>
  <c r="E62" i="3"/>
  <c r="E61" i="3"/>
  <c r="E60" i="3"/>
  <c r="E59" i="3"/>
  <c r="D54" i="3"/>
  <c r="C54" i="3"/>
  <c r="D53" i="3"/>
  <c r="C53" i="3"/>
  <c r="D52" i="3"/>
  <c r="C52" i="3"/>
  <c r="D51" i="3"/>
  <c r="C51" i="3"/>
  <c r="D46" i="3"/>
  <c r="D45" i="3"/>
  <c r="D44" i="3"/>
  <c r="D43" i="3"/>
  <c r="D42" i="3"/>
  <c r="D37" i="3"/>
  <c r="D36" i="3"/>
  <c r="D35" i="3"/>
  <c r="D34" i="3"/>
  <c r="D33" i="3"/>
  <c r="D32" i="3"/>
  <c r="D31" i="3"/>
  <c r="D26" i="3"/>
  <c r="B26" i="3"/>
  <c r="D25" i="3"/>
  <c r="B25" i="3"/>
  <c r="D24" i="3"/>
  <c r="B24" i="3"/>
  <c r="D23" i="3"/>
  <c r="B17" i="3"/>
  <c r="B16" i="3"/>
  <c r="B15" i="3"/>
  <c r="B14" i="3"/>
  <c r="C9" i="3" a="1"/>
  <c r="C9" i="3" s="1"/>
  <c r="C5" i="3"/>
  <c r="B22" i="3" s="1"/>
  <c r="B23" i="3" l="1"/>
</calcChain>
</file>

<file path=xl/sharedStrings.xml><?xml version="1.0" encoding="utf-8"?>
<sst xmlns="http://schemas.openxmlformats.org/spreadsheetml/2006/main" count="19163" uniqueCount="2985">
  <si>
    <t>🛒  Excel Data Analytics — Complete YouTube Tutorial Workbook</t>
  </si>
  <si>
    <t>E-Commerce Sales Data | Data Cleaning + Validation + Visualization + Dashboard  ·  Telugu YouTube Tutorial</t>
  </si>
  <si>
    <t>Sheet</t>
  </si>
  <si>
    <t>Topic</t>
  </si>
  <si>
    <t>What's Inside</t>
  </si>
  <si>
    <t>Raw_Data</t>
  </si>
  <si>
    <t>📊 Raw Data</t>
  </si>
  <si>
    <t>500-row messy e-commerce dataset with 22 columns &amp; all data issues</t>
  </si>
  <si>
    <t>Data_Cleaning_Steps</t>
  </si>
  <si>
    <t>🧹 Cleaning Steps</t>
  </si>
  <si>
    <t>Step-by-step cleaning guide with formulas, before/after, exercises</t>
  </si>
  <si>
    <t>Clean_Data</t>
  </si>
  <si>
    <t>✅ Clean Data</t>
  </si>
  <si>
    <t>Fully cleaned and standardized dataset ready for analysis</t>
  </si>
  <si>
    <t>Data_Validation</t>
  </si>
  <si>
    <t>✔️ Data Validation</t>
  </si>
  <si>
    <t>Validation rules, drop-downs, custom formulas &amp; practice form</t>
  </si>
  <si>
    <t>Lists</t>
  </si>
  <si>
    <t>📋 Reference Lists</t>
  </si>
  <si>
    <t>Named range reference lists for all dropdown validations</t>
  </si>
  <si>
    <t>Chart_Data</t>
  </si>
  <si>
    <t>📈 Chart Data</t>
  </si>
  <si>
    <t>Pre-summarized tables for all 5 charts (Region/Monthly/Category/etc.)</t>
  </si>
  <si>
    <t>Visualization_Guide</t>
  </si>
  <si>
    <t>🎨 Visualization Guide</t>
  </si>
  <si>
    <t>Chart selection guide, step-by-step chart creation &amp; common mistakes</t>
  </si>
  <si>
    <t>Dashboard</t>
  </si>
  <si>
    <t>📊 Dashboard</t>
  </si>
  <si>
    <t>Interactive KPI dashboard with all business metrics for 2024</t>
  </si>
  <si>
    <t>Assignment</t>
  </si>
  <si>
    <t>🎯 Assignment</t>
  </si>
  <si>
    <t>100-mark student assignment with messy dataset to practice on</t>
  </si>
  <si>
    <t>💡  How to Use: Start with Raw_Data sheet. Follow the Data_Cleaning_Steps guide. Practice validation in Data_Validation sheet. Build charts from Chart_Data. Replicate the Dashboard. Complete the Assignment!</t>
  </si>
  <si>
    <t>Order_ID</t>
  </si>
  <si>
    <t>Order_Date</t>
  </si>
  <si>
    <t>Customer_Name</t>
  </si>
  <si>
    <t>Customer_ID</t>
  </si>
  <si>
    <t>Email</t>
  </si>
  <si>
    <t>Phone</t>
  </si>
  <si>
    <t>City</t>
  </si>
  <si>
    <t>State</t>
  </si>
  <si>
    <t>Region</t>
  </si>
  <si>
    <t>Product_ID</t>
  </si>
  <si>
    <t>Product_Name</t>
  </si>
  <si>
    <t>Category</t>
  </si>
  <si>
    <t>Sub_Category</t>
  </si>
  <si>
    <t>Brand</t>
  </si>
  <si>
    <t>Quantity</t>
  </si>
  <si>
    <t>Unit_Price</t>
  </si>
  <si>
    <t>Discount_%</t>
  </si>
  <si>
    <t>GST_%</t>
  </si>
  <si>
    <t>Total_Amount</t>
  </si>
  <si>
    <t>Payment_Mode</t>
  </si>
  <si>
    <t>Order_Status</t>
  </si>
  <si>
    <t>Return_Flag</t>
  </si>
  <si>
    <t>ORD-1001</t>
  </si>
  <si>
    <t>2024-05-30</t>
  </si>
  <si>
    <t>arjun mehta</t>
  </si>
  <si>
    <t>CUST-001</t>
  </si>
  <si>
    <t>arjunmeh@gmail.com</t>
  </si>
  <si>
    <t>7815115025</t>
  </si>
  <si>
    <t>Hyderabad</t>
  </si>
  <si>
    <t>Telangana</t>
  </si>
  <si>
    <t>South</t>
  </si>
  <si>
    <t>PROD-108</t>
  </si>
  <si>
    <t>Nescafe Classic 200g</t>
  </si>
  <si>
    <t>Grocery</t>
  </si>
  <si>
    <t>Beverage</t>
  </si>
  <si>
    <t>Nestlé</t>
  </si>
  <si>
    <t>CASH</t>
  </si>
  <si>
    <t>Cancelled</t>
  </si>
  <si>
    <t>0</t>
  </si>
  <si>
    <t>ORD-1002</t>
  </si>
  <si>
    <t>29-Jun-2024</t>
  </si>
  <si>
    <t>Preethi S</t>
  </si>
  <si>
    <t>CUST-002</t>
  </si>
  <si>
    <t>@gmail</t>
  </si>
  <si>
    <t>9673561638</t>
  </si>
  <si>
    <t>Surat</t>
  </si>
  <si>
    <t>Gujarat</t>
  </si>
  <si>
    <t>West</t>
  </si>
  <si>
    <t>PROD-125</t>
  </si>
  <si>
    <t>Tanishq Gold Ring</t>
  </si>
  <si>
    <t>Jewellery</t>
  </si>
  <si>
    <t>Gold</t>
  </si>
  <si>
    <t>Tanishq</t>
  </si>
  <si>
    <t>upi</t>
  </si>
  <si>
    <t>returned</t>
  </si>
  <si>
    <t>NO</t>
  </si>
  <si>
    <t>ORD-1003</t>
  </si>
  <si>
    <t>2024-06-24</t>
  </si>
  <si>
    <t>rekha pandey</t>
  </si>
  <si>
    <t>CUST-003</t>
  </si>
  <si>
    <t>rekhapan@gmail.com</t>
  </si>
  <si>
    <t>769357567</t>
  </si>
  <si>
    <t>Bangalore</t>
  </si>
  <si>
    <t>Karnataka</t>
  </si>
  <si>
    <t>PROD-115</t>
  </si>
  <si>
    <t>OnePlus Nord CE 3</t>
  </si>
  <si>
    <t>Electronics</t>
  </si>
  <si>
    <t>Mobile</t>
  </si>
  <si>
    <t>OnePlus</t>
  </si>
  <si>
    <t>Net Banking</t>
  </si>
  <si>
    <t>shipped</t>
  </si>
  <si>
    <t>ORD-1004</t>
  </si>
  <si>
    <t>24-Jan-2024</t>
  </si>
  <si>
    <t>Geetha Rao</t>
  </si>
  <si>
    <t>CUST-004</t>
  </si>
  <si>
    <t>geethara@yahoo.com</t>
  </si>
  <si>
    <t>7813163240</t>
  </si>
  <si>
    <t>PROD-119</t>
  </si>
  <si>
    <t>Fastrack Reflex Beat</t>
  </si>
  <si>
    <t>Fashion</t>
  </si>
  <si>
    <t>Accessories</t>
  </si>
  <si>
    <t>Fastrack</t>
  </si>
  <si>
    <t>Debit Card</t>
  </si>
  <si>
    <t>ORD-1005</t>
  </si>
  <si>
    <t>09-May-2024</t>
  </si>
  <si>
    <t>DINESH K</t>
  </si>
  <si>
    <t>CUST-005</t>
  </si>
  <si>
    <t>dineshk@outlook.com</t>
  </si>
  <si>
    <t>6854316681</t>
  </si>
  <si>
    <t>Delhi</t>
  </si>
  <si>
    <t>North</t>
  </si>
  <si>
    <t>PROD-120</t>
  </si>
  <si>
    <t>Samsung Galaxy M14</t>
  </si>
  <si>
    <t>Samsung</t>
  </si>
  <si>
    <t>EMI</t>
  </si>
  <si>
    <t>no</t>
  </si>
  <si>
    <t>ORD-1006</t>
  </si>
  <si>
    <t>02/02/2024</t>
  </si>
  <si>
    <t>Suresh Kumar</t>
  </si>
  <si>
    <t>CUST-006</t>
  </si>
  <si>
    <t>sureshku@rediffmail.com</t>
  </si>
  <si>
    <t>8605301030</t>
  </si>
  <si>
    <t>Kochi</t>
  </si>
  <si>
    <t>Kerala</t>
  </si>
  <si>
    <t>PROD-118</t>
  </si>
  <si>
    <t>Voltas 1.5T Desert Cooler</t>
  </si>
  <si>
    <t>Home</t>
  </si>
  <si>
    <t>Appliance</t>
  </si>
  <si>
    <t>Voltas</t>
  </si>
  <si>
    <t>Debit card</t>
  </si>
  <si>
    <t>Shipped</t>
  </si>
  <si>
    <t>1</t>
  </si>
  <si>
    <t>ORD-1007</t>
  </si>
  <si>
    <t>28-Feb-2024</t>
  </si>
  <si>
    <t>swati gupta</t>
  </si>
  <si>
    <t>CUST-007</t>
  </si>
  <si>
    <t>swatigup@outlook.com</t>
  </si>
  <si>
    <t>8873237671</t>
  </si>
  <si>
    <t>Pune</t>
  </si>
  <si>
    <t>Maharashtra</t>
  </si>
  <si>
    <t>Credit Card</t>
  </si>
  <si>
    <t>CANCELLED</t>
  </si>
  <si>
    <t>No</t>
  </si>
  <si>
    <t>ORD-1008</t>
  </si>
  <si>
    <t>2024-04-13</t>
  </si>
  <si>
    <t>nisha patel</t>
  </si>
  <si>
    <t>CUST-008</t>
  </si>
  <si>
    <t>nishapat@gmail.com</t>
  </si>
  <si>
    <t>7926780541</t>
  </si>
  <si>
    <t>PROD-124</t>
  </si>
  <si>
    <t>Realme Buds Air 3</t>
  </si>
  <si>
    <t>Audio</t>
  </si>
  <si>
    <t>Realme</t>
  </si>
  <si>
    <t>ORD-1009</t>
  </si>
  <si>
    <t>12-Apr-2024</t>
  </si>
  <si>
    <t>Kavya Rao</t>
  </si>
  <si>
    <t>CUST-009</t>
  </si>
  <si>
    <t>kavyarao@gmail.com</t>
  </si>
  <si>
    <t>9367557574</t>
  </si>
  <si>
    <t>Bengaluru</t>
  </si>
  <si>
    <t>₹28,000</t>
  </si>
  <si>
    <t>Dlvrd</t>
  </si>
  <si>
    <t>ORD-1010</t>
  </si>
  <si>
    <t>10-May-2024</t>
  </si>
  <si>
    <t>RASHMI VERMA</t>
  </si>
  <si>
    <t>CUST-010</t>
  </si>
  <si>
    <t>rashmive@gmail.com</t>
  </si>
  <si>
    <t>7010193046</t>
  </si>
  <si>
    <t>Jaipur</t>
  </si>
  <si>
    <t>Rajasthan</t>
  </si>
  <si>
    <t>credit card</t>
  </si>
  <si>
    <t>Returned</t>
  </si>
  <si>
    <t>ORD-1011</t>
  </si>
  <si>
    <t>19-Jan-2024</t>
  </si>
  <si>
    <t>CUST-011</t>
  </si>
  <si>
    <t>geethara@rediffmail.com</t>
  </si>
  <si>
    <t>6915490795</t>
  </si>
  <si>
    <t>N</t>
  </si>
  <si>
    <t>ORD-1012</t>
  </si>
  <si>
    <t>30-Jan-2024</t>
  </si>
  <si>
    <t>ARUN SHARMA</t>
  </si>
  <si>
    <t>CUST-012</t>
  </si>
  <si>
    <t>arunshar@yahoo.com</t>
  </si>
  <si>
    <t>9082120871</t>
  </si>
  <si>
    <t>PROD-112</t>
  </si>
  <si>
    <t>Britannia Good Day</t>
  </si>
  <si>
    <t>Snacks</t>
  </si>
  <si>
    <t>Britannia</t>
  </si>
  <si>
    <t>YES</t>
  </si>
  <si>
    <t>ORD-1013</t>
  </si>
  <si>
    <t>20/01/2024</t>
  </si>
  <si>
    <t>CUST-013</t>
  </si>
  <si>
    <t>preethis@outlook.com</t>
  </si>
  <si>
    <t>6547374338</t>
  </si>
  <si>
    <t>PROD-109</t>
  </si>
  <si>
    <t>HP Pavilion Laptop</t>
  </si>
  <si>
    <t>Computer</t>
  </si>
  <si>
    <t>HP</t>
  </si>
  <si>
    <t>Delivered</t>
  </si>
  <si>
    <t>Yes</t>
  </si>
  <si>
    <t>ORD-1014</t>
  </si>
  <si>
    <t>Mar-26-2024</t>
  </si>
  <si>
    <t>AMIT SINGH</t>
  </si>
  <si>
    <t>CUST-014</t>
  </si>
  <si>
    <t>amitsing@yahoo.com</t>
  </si>
  <si>
    <t>6464267175</t>
  </si>
  <si>
    <t>PROD-102</t>
  </si>
  <si>
    <t>iPhone 14 Pro</t>
  </si>
  <si>
    <t>Apple</t>
  </si>
  <si>
    <t>ORD-1015</t>
  </si>
  <si>
    <t>25-Mar-2024</t>
  </si>
  <si>
    <t>suresh babu</t>
  </si>
  <si>
    <t>CUST-015</t>
  </si>
  <si>
    <t>sureshba@outlook.com</t>
  </si>
  <si>
    <t>7140169349</t>
  </si>
  <si>
    <t>Mumbai</t>
  </si>
  <si>
    <t>ORD-1016</t>
  </si>
  <si>
    <t>18-Jun-2024</t>
  </si>
  <si>
    <t>CUST-016</t>
  </si>
  <si>
    <t>amitsing@outlook.com</t>
  </si>
  <si>
    <t>7400944900</t>
  </si>
  <si>
    <t>ORD-1017</t>
  </si>
  <si>
    <t>21/06/2024</t>
  </si>
  <si>
    <t>CUST-017</t>
  </si>
  <si>
    <t>8851230518</t>
  </si>
  <si>
    <t>PROD-107</t>
  </si>
  <si>
    <t>Levi's 511 Jeans</t>
  </si>
  <si>
    <t>Clothing</t>
  </si>
  <si>
    <t>Levi's</t>
  </si>
  <si>
    <t>ORD-1018</t>
  </si>
  <si>
    <t>03/03/2024</t>
  </si>
  <si>
    <t>padma lakshmi</t>
  </si>
  <si>
    <t>CUST-018</t>
  </si>
  <si>
    <t>padmalak@gmail.com</t>
  </si>
  <si>
    <t>9803044105</t>
  </si>
  <si>
    <t>Lucknow</t>
  </si>
  <si>
    <t>Uttar Pradesh</t>
  </si>
  <si>
    <t>Y</t>
  </si>
  <si>
    <t>ORD-1019</t>
  </si>
  <si>
    <t>24/04/2024</t>
  </si>
  <si>
    <t>DEEPA KRISHNAN</t>
  </si>
  <si>
    <t>CUST-019</t>
  </si>
  <si>
    <t>deepakri@hotmail.com</t>
  </si>
  <si>
    <t>9607183629</t>
  </si>
  <si>
    <t>PROD-123</t>
  </si>
  <si>
    <t>Syska LED Bulb Pack</t>
  </si>
  <si>
    <t>Lighting</t>
  </si>
  <si>
    <t>Syska</t>
  </si>
  <si>
    <t>DELIVERED</t>
  </si>
  <si>
    <t>ORD-1020</t>
  </si>
  <si>
    <t>16/01/2024</t>
  </si>
  <si>
    <t>Anita Verma</t>
  </si>
  <si>
    <t>CUST-020</t>
  </si>
  <si>
    <t>anitaver@hotmail.com</t>
  </si>
  <si>
    <t>8987248494</t>
  </si>
  <si>
    <t>delhi</t>
  </si>
  <si>
    <t>ORD-1021</t>
  </si>
  <si>
    <t>29/04/2024</t>
  </si>
  <si>
    <t>priya sharma</t>
  </si>
  <si>
    <t>CUST-021</t>
  </si>
  <si>
    <t>priyasha@rediffmail.com</t>
  </si>
  <si>
    <t>bangalor</t>
  </si>
  <si>
    <t>PROD-101</t>
  </si>
  <si>
    <t>Samsung TV 43"</t>
  </si>
  <si>
    <t>Television</t>
  </si>
  <si>
    <t>ORD-1022</t>
  </si>
  <si>
    <t>18-May-2024</t>
  </si>
  <si>
    <t>CUST-022</t>
  </si>
  <si>
    <t>geethara@outlook.com</t>
  </si>
  <si>
    <t>8799264931</t>
  </si>
  <si>
    <t>ORD-1023</t>
  </si>
  <si>
    <t>28-May-2024</t>
  </si>
  <si>
    <t>CUST-023</t>
  </si>
  <si>
    <t>amitsing@rediffmail.com</t>
  </si>
  <si>
    <t>7703617827</t>
  </si>
  <si>
    <t>Pending</t>
  </si>
  <si>
    <t>ORD-1024</t>
  </si>
  <si>
    <t>Apr-02-2024</t>
  </si>
  <si>
    <t>Divya Nair</t>
  </si>
  <si>
    <t>CUST-024</t>
  </si>
  <si>
    <t>divyanai@hotmail.com</t>
  </si>
  <si>
    <t>8793693337</t>
  </si>
  <si>
    <t>PROD-121</t>
  </si>
  <si>
    <t>Amul Butter 500g</t>
  </si>
  <si>
    <t>Dairy</t>
  </si>
  <si>
    <t>Amul</t>
  </si>
  <si>
    <t>ORD-1025</t>
  </si>
  <si>
    <t>24/03/2024</t>
  </si>
  <si>
    <t>CUST-025</t>
  </si>
  <si>
    <t>anitaver@outlook.com</t>
  </si>
  <si>
    <t>9780945510</t>
  </si>
  <si>
    <t>kolkata</t>
  </si>
  <si>
    <t>West Bengal</t>
  </si>
  <si>
    <t>East</t>
  </si>
  <si>
    <t>ORD-1026</t>
  </si>
  <si>
    <t>2024-05-01</t>
  </si>
  <si>
    <t>CUST-026</t>
  </si>
  <si>
    <t>dineshk@rediffmail.com</t>
  </si>
  <si>
    <t>7163577186</t>
  </si>
  <si>
    <t>PROD-117</t>
  </si>
  <si>
    <t>Parle-G Family Pack</t>
  </si>
  <si>
    <t>Parle</t>
  </si>
  <si>
    <t>ORD-1027</t>
  </si>
  <si>
    <t>04/01/2024</t>
  </si>
  <si>
    <t>SITA DEVI</t>
  </si>
  <si>
    <t>CUST-027</t>
  </si>
  <si>
    <t>sitadevi@gmail.com</t>
  </si>
  <si>
    <t>6542366274</t>
  </si>
  <si>
    <t>ORD-1028</t>
  </si>
  <si>
    <t>04-Mar-2024</t>
  </si>
  <si>
    <t>CUST-028</t>
  </si>
  <si>
    <t>nishapat@hotmail.com</t>
  </si>
  <si>
    <t>6969318858</t>
  </si>
  <si>
    <t>Cash on Delivery</t>
  </si>
  <si>
    <t>ORD-1029</t>
  </si>
  <si>
    <t>Jan-01-2024</t>
  </si>
  <si>
    <t>deepika rao</t>
  </si>
  <si>
    <t>CUST-029</t>
  </si>
  <si>
    <t>deepikar@rediffmail.com</t>
  </si>
  <si>
    <t>754675132</t>
  </si>
  <si>
    <t>Visakhapatnam</t>
  </si>
  <si>
    <t>Andhra Pradesh</t>
  </si>
  <si>
    <t>ORD-1030</t>
  </si>
  <si>
    <t>Feb-01-2024</t>
  </si>
  <si>
    <t>Rahul Gupta</t>
  </si>
  <si>
    <t>CUST-030</t>
  </si>
  <si>
    <t>rahulgup@hotmail.com</t>
  </si>
  <si>
    <t>8120834317</t>
  </si>
  <si>
    <t>Hydrabad</t>
  </si>
  <si>
    <t>ORD-1031</t>
  </si>
  <si>
    <t>May-29-2024</t>
  </si>
  <si>
    <t>CUST-031</t>
  </si>
  <si>
    <t>user@hotmail.com</t>
  </si>
  <si>
    <t>7753841726</t>
  </si>
  <si>
    <t>PROD-114</t>
  </si>
  <si>
    <t>Philips Mixer Grinder</t>
  </si>
  <si>
    <t>Kitchen</t>
  </si>
  <si>
    <t>Philips</t>
  </si>
  <si>
    <t>ORD-1032</t>
  </si>
  <si>
    <t>2024-02-18</t>
  </si>
  <si>
    <t>CUST-032</t>
  </si>
  <si>
    <t>preethis@hotmail.com</t>
  </si>
  <si>
    <t>6874275988</t>
  </si>
  <si>
    <t>PROD-106</t>
  </si>
  <si>
    <t>LG Double Door Refrigerator</t>
  </si>
  <si>
    <t>LG</t>
  </si>
  <si>
    <t>ORD-1033</t>
  </si>
  <si>
    <t>2024-05-07</t>
  </si>
  <si>
    <t>CUST-033</t>
  </si>
  <si>
    <t>8028168523</t>
  </si>
  <si>
    <t>CHENNAI</t>
  </si>
  <si>
    <t>Tamil Nadu</t>
  </si>
  <si>
    <t>PROD-110</t>
  </si>
  <si>
    <t>Banarasi Silk Saree</t>
  </si>
  <si>
    <t>Traditional</t>
  </si>
  <si>
    <t>Fab India</t>
  </si>
  <si>
    <t>₹3,500</t>
  </si>
  <si>
    <t>ORD-1034</t>
  </si>
  <si>
    <t>Feb-08-2024</t>
  </si>
  <si>
    <t>Vijay Patel</t>
  </si>
  <si>
    <t>CUST-034</t>
  </si>
  <si>
    <t>vijaypat@outlook.com</t>
  </si>
  <si>
    <t>7620104855</t>
  </si>
  <si>
    <t>PROD-113</t>
  </si>
  <si>
    <t>Titan Raga Watch</t>
  </si>
  <si>
    <t>Titan</t>
  </si>
  <si>
    <t>ORD-1035</t>
  </si>
  <si>
    <t>22-Apr-2024</t>
  </si>
  <si>
    <t>CUST-035</t>
  </si>
  <si>
    <t>rashmive@hotmail.com</t>
  </si>
  <si>
    <t>deliverd</t>
  </si>
  <si>
    <t>ORD-1036</t>
  </si>
  <si>
    <t>07-Jun-2024</t>
  </si>
  <si>
    <t>CUST-036</t>
  </si>
  <si>
    <t>sureshku@outlook.com</t>
  </si>
  <si>
    <t>7863893256</t>
  </si>
  <si>
    <t>PROD-105</t>
  </si>
  <si>
    <t>Boat Airdopes 141</t>
  </si>
  <si>
    <t>Boat</t>
  </si>
  <si>
    <t>ORD-1037</t>
  </si>
  <si>
    <t>07/05/2024</t>
  </si>
  <si>
    <t>CUST-037</t>
  </si>
  <si>
    <t>deepakri@outlook.com</t>
  </si>
  <si>
    <t>9860782736</t>
  </si>
  <si>
    <t>ORD-1038</t>
  </si>
  <si>
    <t>Jun-17-2024</t>
  </si>
  <si>
    <t>CUST-038</t>
  </si>
  <si>
    <t>rashmive@rediffmail.com</t>
  </si>
  <si>
    <t>6210643427</t>
  </si>
  <si>
    <t>ORD-1039</t>
  </si>
  <si>
    <t>2024-05-28</t>
  </si>
  <si>
    <t>CUST-039</t>
  </si>
  <si>
    <t>dineshk@gmail.com</t>
  </si>
  <si>
    <t>7784572192</t>
  </si>
  <si>
    <t>MUMBAI</t>
  </si>
  <si>
    <t>ORD-1040</t>
  </si>
  <si>
    <t>2024-05-22</t>
  </si>
  <si>
    <t>manish tiwari</t>
  </si>
  <si>
    <t>CUST-040</t>
  </si>
  <si>
    <t>manishti@hotmail.com</t>
  </si>
  <si>
    <t>Cash</t>
  </si>
  <si>
    <t>ORD-1041</t>
  </si>
  <si>
    <t>30/01/2024</t>
  </si>
  <si>
    <t>Mohan Lal</t>
  </si>
  <si>
    <t>CUST-041</t>
  </si>
  <si>
    <t>@</t>
  </si>
  <si>
    <t>6417436465</t>
  </si>
  <si>
    <t>PROD-122</t>
  </si>
  <si>
    <t>VIP Trolley Bag</t>
  </si>
  <si>
    <t>Travel</t>
  </si>
  <si>
    <t>VIP</t>
  </si>
  <si>
    <t>ORD-1042</t>
  </si>
  <si>
    <t>23/04/2024</t>
  </si>
  <si>
    <t>CUST-042</t>
  </si>
  <si>
    <t>vijaypat@gmail.com</t>
  </si>
  <si>
    <t>9872755741</t>
  </si>
  <si>
    <t>ORD-1043</t>
  </si>
  <si>
    <t>2024-02-29</t>
  </si>
  <si>
    <t xml:space="preserve">  Aarav Shah  </t>
  </si>
  <si>
    <t>CUST-043</t>
  </si>
  <si>
    <t>aaravsha@rediffmail.com</t>
  </si>
  <si>
    <t>ORD-1044</t>
  </si>
  <si>
    <t>25/04/2024</t>
  </si>
  <si>
    <t>CUST-044</t>
  </si>
  <si>
    <t>sureshku@gmail.com</t>
  </si>
  <si>
    <t>8829967158</t>
  </si>
  <si>
    <t>Chennai</t>
  </si>
  <si>
    <t>two</t>
  </si>
  <si>
    <t>ORD-1045</t>
  </si>
  <si>
    <t>2024-06-01</t>
  </si>
  <si>
    <t>CUST-045</t>
  </si>
  <si>
    <t>6491404673</t>
  </si>
  <si>
    <t>ORD-1046</t>
  </si>
  <si>
    <t>22-May-2024</t>
  </si>
  <si>
    <t>KAVITHA N</t>
  </si>
  <si>
    <t>CUST-046</t>
  </si>
  <si>
    <t>kavithan@rediffmail.com</t>
  </si>
  <si>
    <t>7764409657</t>
  </si>
  <si>
    <t>ORD-1047</t>
  </si>
  <si>
    <t>2024-01-07</t>
  </si>
  <si>
    <t>CUST-047</t>
  </si>
  <si>
    <t>gmail.com</t>
  </si>
  <si>
    <t>7459535801</t>
  </si>
  <si>
    <t>ORD-1048</t>
  </si>
  <si>
    <t>14/01/2024</t>
  </si>
  <si>
    <t>CUST-048</t>
  </si>
  <si>
    <t>ORD-1049</t>
  </si>
  <si>
    <t>24/02/2024</t>
  </si>
  <si>
    <t>Rohit Yadav</t>
  </si>
  <si>
    <t>CUST-049</t>
  </si>
  <si>
    <t>rohityad@outlook.com</t>
  </si>
  <si>
    <t>831206151</t>
  </si>
  <si>
    <t>UPI</t>
  </si>
  <si>
    <t>ORD-1050</t>
  </si>
  <si>
    <t>13-Apr-2024</t>
  </si>
  <si>
    <t>CUST-050</t>
  </si>
  <si>
    <t>manishti@yahoo.com</t>
  </si>
  <si>
    <t>9573524070</t>
  </si>
  <si>
    <t>ORD-1051</t>
  </si>
  <si>
    <t>01-Mar-2024</t>
  </si>
  <si>
    <t>NEHA SINGH</t>
  </si>
  <si>
    <t>CUST-051</t>
  </si>
  <si>
    <t>nehasing@yahoo.com</t>
  </si>
  <si>
    <t>9260534643</t>
  </si>
  <si>
    <t>PROD-104</t>
  </si>
  <si>
    <t>Prestige Pressure Cooker</t>
  </si>
  <si>
    <t>Prestige</t>
  </si>
  <si>
    <t>ORD-1052</t>
  </si>
  <si>
    <t>31-Mar-2024</t>
  </si>
  <si>
    <t>Meera Nair</t>
  </si>
  <si>
    <t>CUST-052</t>
  </si>
  <si>
    <t>meeranai@hotmail.com</t>
  </si>
  <si>
    <t>Kolkata</t>
  </si>
  <si>
    <t>ORD-1053</t>
  </si>
  <si>
    <t>14/06/2024</t>
  </si>
  <si>
    <t>CUST-053</t>
  </si>
  <si>
    <t>@yahoo.com</t>
  </si>
  <si>
    <t>8245185702</t>
  </si>
  <si>
    <t>PROD-103</t>
  </si>
  <si>
    <t>Nike Running Shoes</t>
  </si>
  <si>
    <t>Footwear</t>
  </si>
  <si>
    <t>Nike</t>
  </si>
  <si>
    <t>ORD-1054</t>
  </si>
  <si>
    <t>03-Feb-2024</t>
  </si>
  <si>
    <t>CUST-054</t>
  </si>
  <si>
    <t>padmalak@hotmail.com</t>
  </si>
  <si>
    <t>6548870021</t>
  </si>
  <si>
    <t>ORD-1055</t>
  </si>
  <si>
    <t>2024-06-18</t>
  </si>
  <si>
    <t>CUST-055</t>
  </si>
  <si>
    <t>6696846464</t>
  </si>
  <si>
    <t>ORD-1056</t>
  </si>
  <si>
    <t>2024-04-28</t>
  </si>
  <si>
    <t>CUST-056</t>
  </si>
  <si>
    <t>manishti@rediffmail.com</t>
  </si>
  <si>
    <t>9508521152</t>
  </si>
  <si>
    <t>ORD-1057</t>
  </si>
  <si>
    <t>16-Apr-2024</t>
  </si>
  <si>
    <t>CUST-057</t>
  </si>
  <si>
    <t>divyanai@outlook.com</t>
  </si>
  <si>
    <t>7610237679</t>
  </si>
  <si>
    <t>ORD-1058</t>
  </si>
  <si>
    <t>May-20-2024</t>
  </si>
  <si>
    <t>CUST-058</t>
  </si>
  <si>
    <t>rekhapan@outlook.com</t>
  </si>
  <si>
    <t>7024089868</t>
  </si>
  <si>
    <t>25%</t>
  </si>
  <si>
    <t>ORD-1059</t>
  </si>
  <si>
    <t>14-May-2024</t>
  </si>
  <si>
    <t>MANOJ KUMAR</t>
  </si>
  <si>
    <t>CUST-059</t>
  </si>
  <si>
    <t>manojkum@hotmail.com</t>
  </si>
  <si>
    <t>ORD-1060</t>
  </si>
  <si>
    <t>04-Feb-2024</t>
  </si>
  <si>
    <t>CUST-060</t>
  </si>
  <si>
    <t>sureshba@hotmail.com</t>
  </si>
  <si>
    <t>ORD-1061</t>
  </si>
  <si>
    <t>Apr-22-2024</t>
  </si>
  <si>
    <t>CUST-061</t>
  </si>
  <si>
    <t>divyanai@yahoo.com</t>
  </si>
  <si>
    <t>9969883220</t>
  </si>
  <si>
    <t>ORD-1062</t>
  </si>
  <si>
    <t>11-Mar-2024</t>
  </si>
  <si>
    <t>CUST-062</t>
  </si>
  <si>
    <t>deepikar@hotmail.com</t>
  </si>
  <si>
    <t>8918046336</t>
  </si>
  <si>
    <t>ORD-1063</t>
  </si>
  <si>
    <t>Apr-03-2024</t>
  </si>
  <si>
    <t>POOJA IYER</t>
  </si>
  <si>
    <t>CUST-063</t>
  </si>
  <si>
    <t>poojaiye@outlook.com</t>
  </si>
  <si>
    <t>9159699467</t>
  </si>
  <si>
    <t>ORD-1064</t>
  </si>
  <si>
    <t>2024-06-19</t>
  </si>
  <si>
    <t>CUST-064</t>
  </si>
  <si>
    <t>9656572173</t>
  </si>
  <si>
    <t>ORD-1065</t>
  </si>
  <si>
    <t>14-Apr-2024</t>
  </si>
  <si>
    <t>CUST-065</t>
  </si>
  <si>
    <t>8921045865</t>
  </si>
  <si>
    <t>ORD-1066</t>
  </si>
  <si>
    <t>05/03/2024</t>
  </si>
  <si>
    <t>CUST-066</t>
  </si>
  <si>
    <t>8638949369</t>
  </si>
  <si>
    <t>ORD-1067</t>
  </si>
  <si>
    <t>CUST-067</t>
  </si>
  <si>
    <t>mohanlal@rediffmail.com</t>
  </si>
  <si>
    <t>8074232200</t>
  </si>
  <si>
    <t>ORD-1068</t>
  </si>
  <si>
    <t>Mar-02-2024</t>
  </si>
  <si>
    <t>CUST-068</t>
  </si>
  <si>
    <t>vijaypat@hotmail.com</t>
  </si>
  <si>
    <t>7246451043</t>
  </si>
  <si>
    <t>ORD-1069</t>
  </si>
  <si>
    <t>13-Jan-2024</t>
  </si>
  <si>
    <t>CUST-069</t>
  </si>
  <si>
    <t>sureshba@rediffmail.com</t>
  </si>
  <si>
    <t>8021155136</t>
  </si>
  <si>
    <t>ORD-1070</t>
  </si>
  <si>
    <t>02-Feb-2024</t>
  </si>
  <si>
    <t>CUST-070</t>
  </si>
  <si>
    <t>rahulgup@outlook.com</t>
  </si>
  <si>
    <t>6619623590</t>
  </si>
  <si>
    <t>south</t>
  </si>
  <si>
    <t>ORD-1071</t>
  </si>
  <si>
    <t>May-09-2024</t>
  </si>
  <si>
    <t>CUST-071</t>
  </si>
  <si>
    <t>777832901</t>
  </si>
  <si>
    <t>ORD-1072</t>
  </si>
  <si>
    <t>2024-04-22</t>
  </si>
  <si>
    <t>CUST-072</t>
  </si>
  <si>
    <t>arjunmeh@hotmail.com</t>
  </si>
  <si>
    <t>9328480679</t>
  </si>
  <si>
    <t>ORD-1073</t>
  </si>
  <si>
    <t>Jun-05-2024</t>
  </si>
  <si>
    <t>CUST-073</t>
  </si>
  <si>
    <t>padmalak@yahoo.com</t>
  </si>
  <si>
    <t>7278244804</t>
  </si>
  <si>
    <t>ORD-1074</t>
  </si>
  <si>
    <t>2024-01-21</t>
  </si>
  <si>
    <t>CUST-074</t>
  </si>
  <si>
    <t>9556025499</t>
  </si>
  <si>
    <t>PROD-116</t>
  </si>
  <si>
    <t>Adidas Originals Tee</t>
  </si>
  <si>
    <t>Adidas</t>
  </si>
  <si>
    <t>ORD-1075</t>
  </si>
  <si>
    <t>Feb-10-2024</t>
  </si>
  <si>
    <t>CUST-075</t>
  </si>
  <si>
    <t>mohanlal@hotmail.com</t>
  </si>
  <si>
    <t>7233708056</t>
  </si>
  <si>
    <t>ORD-1076</t>
  </si>
  <si>
    <t>17-Mar-2024</t>
  </si>
  <si>
    <t>kiran kumar</t>
  </si>
  <si>
    <t>CUST-076</t>
  </si>
  <si>
    <t>kirankum@outlook.com</t>
  </si>
  <si>
    <t>8333457812</t>
  </si>
  <si>
    <t>ORD-1077</t>
  </si>
  <si>
    <t>2024-04-19</t>
  </si>
  <si>
    <t>CUST-077</t>
  </si>
  <si>
    <t>deepikar@gmail.com</t>
  </si>
  <si>
    <t>7389858576</t>
  </si>
  <si>
    <t>₹1,500</t>
  </si>
  <si>
    <t>ORD-1078</t>
  </si>
  <si>
    <t>04/04/2024</t>
  </si>
  <si>
    <t>CUST-078</t>
  </si>
  <si>
    <t>vijaypat@yahoo.com</t>
  </si>
  <si>
    <t>8601628976</t>
  </si>
  <si>
    <t>ORD-1079</t>
  </si>
  <si>
    <t>08/02/2024</t>
  </si>
  <si>
    <t>CUST-079</t>
  </si>
  <si>
    <t>nehasing@rediffmail.com</t>
  </si>
  <si>
    <t>9079139213</t>
  </si>
  <si>
    <t>ORD-1080</t>
  </si>
  <si>
    <t>29-Mar-2024</t>
  </si>
  <si>
    <t>Saranya M</t>
  </si>
  <si>
    <t>CUST-080</t>
  </si>
  <si>
    <t>saranyam@gmail.com</t>
  </si>
  <si>
    <t>8027530378</t>
  </si>
  <si>
    <t>20%</t>
  </si>
  <si>
    <t>ORD-1081</t>
  </si>
  <si>
    <t>31/01/2024</t>
  </si>
  <si>
    <t>CUST-081</t>
  </si>
  <si>
    <t>amitsing@hotmail.com</t>
  </si>
  <si>
    <t>6956447193</t>
  </si>
  <si>
    <t>ORD-1082</t>
  </si>
  <si>
    <t>18-Jan-2024</t>
  </si>
  <si>
    <t>Ravi Kumar</t>
  </si>
  <si>
    <t>CUST-082</t>
  </si>
  <si>
    <t>ravikuma@hotmail.com</t>
  </si>
  <si>
    <t>6209063208</t>
  </si>
  <si>
    <t>ORD-1083</t>
  </si>
  <si>
    <t>2024-03-17</t>
  </si>
  <si>
    <t>CUST-083</t>
  </si>
  <si>
    <t>ravi@</t>
  </si>
  <si>
    <t>8688620050</t>
  </si>
  <si>
    <t>ORD-1084</t>
  </si>
  <si>
    <t>Apr-15-2024</t>
  </si>
  <si>
    <t>CUST-084</t>
  </si>
  <si>
    <t>swatigup@yahoo.com</t>
  </si>
  <si>
    <t>7418468740</t>
  </si>
  <si>
    <t>ORD-1085</t>
  </si>
  <si>
    <t>Jan-31-2024</t>
  </si>
  <si>
    <t>CUST-085</t>
  </si>
  <si>
    <t>rohityad@rediffmail.com</t>
  </si>
  <si>
    <t>7027918636</t>
  </si>
  <si>
    <t>ORD-1086</t>
  </si>
  <si>
    <t>2024-01-05</t>
  </si>
  <si>
    <t>CUST-086</t>
  </si>
  <si>
    <t>6654602021</t>
  </si>
  <si>
    <t>ORD-1087</t>
  </si>
  <si>
    <t>CUST-087</t>
  </si>
  <si>
    <t>divyanai@gmail.com</t>
  </si>
  <si>
    <t>9282810353</t>
  </si>
  <si>
    <t>ORD-1088</t>
  </si>
  <si>
    <t>14-Mar-2024</t>
  </si>
  <si>
    <t>CUST-088</t>
  </si>
  <si>
    <t>6459632043</t>
  </si>
  <si>
    <t>ORD-1089</t>
  </si>
  <si>
    <t>Apr-13-2024</t>
  </si>
  <si>
    <t>CUST-089</t>
  </si>
  <si>
    <t>692010856</t>
  </si>
  <si>
    <t>ORD-1090</t>
  </si>
  <si>
    <t>2024-02-15</t>
  </si>
  <si>
    <t>CUST-090</t>
  </si>
  <si>
    <t>9061072141</t>
  </si>
  <si>
    <t>ORD-1091</t>
  </si>
  <si>
    <t>Mar-28-2024</t>
  </si>
  <si>
    <t>CUST-091</t>
  </si>
  <si>
    <t>ORD-1092</t>
  </si>
  <si>
    <t>02-Apr-2024</t>
  </si>
  <si>
    <t>CUST-092</t>
  </si>
  <si>
    <t>6439080604</t>
  </si>
  <si>
    <t>ORD-1093</t>
  </si>
  <si>
    <t>Feb-13-2024</t>
  </si>
  <si>
    <t>CUST-093</t>
  </si>
  <si>
    <t>kavyarao@outlook.com</t>
  </si>
  <si>
    <t>6271730355</t>
  </si>
  <si>
    <t>ORD-1094</t>
  </si>
  <si>
    <t>20/04/2024</t>
  </si>
  <si>
    <t>CUST-094</t>
  </si>
  <si>
    <t>poojaiye@rediffmail.com</t>
  </si>
  <si>
    <t>7349406919</t>
  </si>
  <si>
    <t>ORD-1095</t>
  </si>
  <si>
    <t>Feb-23-2024</t>
  </si>
  <si>
    <t>CUST-095</t>
  </si>
  <si>
    <t>manishti@gmail.com</t>
  </si>
  <si>
    <t>7757249751</t>
  </si>
  <si>
    <t>ORD-1096</t>
  </si>
  <si>
    <t>28/01/2024</t>
  </si>
  <si>
    <t>CUST-096</t>
  </si>
  <si>
    <t>nishapat@outlook.com</t>
  </si>
  <si>
    <t>8419012709</t>
  </si>
  <si>
    <t>ORD-1097</t>
  </si>
  <si>
    <t>2024-02-06</t>
  </si>
  <si>
    <t>CUST-097</t>
  </si>
  <si>
    <t>geethara@hotmail.com</t>
  </si>
  <si>
    <t>7495938377</t>
  </si>
  <si>
    <t>ORD-1098</t>
  </si>
  <si>
    <t>13/04/2024</t>
  </si>
  <si>
    <t>Venkat Reddy</t>
  </si>
  <si>
    <t>CUST-098</t>
  </si>
  <si>
    <t>venkatre@hotmail.com</t>
  </si>
  <si>
    <t>9792874364</t>
  </si>
  <si>
    <t>ORD-1099</t>
  </si>
  <si>
    <t>Jun-01-2024</t>
  </si>
  <si>
    <t>CUST-099</t>
  </si>
  <si>
    <t>divyanai@rediffmail.com</t>
  </si>
  <si>
    <t>7966496239</t>
  </si>
  <si>
    <t>electronic</t>
  </si>
  <si>
    <t>ORD-1100</t>
  </si>
  <si>
    <t>26/06/2024</t>
  </si>
  <si>
    <t>CUST-100</t>
  </si>
  <si>
    <t>9616298963</t>
  </si>
  <si>
    <t>ORD-1101</t>
  </si>
  <si>
    <t>2024-02-27</t>
  </si>
  <si>
    <t>Prasad P</t>
  </si>
  <si>
    <t>CUST-101</t>
  </si>
  <si>
    <t>prasadp@hotmail.com</t>
  </si>
  <si>
    <t>8127354612</t>
  </si>
  <si>
    <t>EAST</t>
  </si>
  <si>
    <t>ORD-1102</t>
  </si>
  <si>
    <t>CUST-102</t>
  </si>
  <si>
    <t>8621054475</t>
  </si>
  <si>
    <t>ORD-1103</t>
  </si>
  <si>
    <t>2024-01-16</t>
  </si>
  <si>
    <t>CUST-103</t>
  </si>
  <si>
    <t>6628110811</t>
  </si>
  <si>
    <t>ORD-1104</t>
  </si>
  <si>
    <t>Jan-24-2024</t>
  </si>
  <si>
    <t>CUST-104</t>
  </si>
  <si>
    <t>7708176663</t>
  </si>
  <si>
    <t>Ahmedabad</t>
  </si>
  <si>
    <t>ORD-1105</t>
  </si>
  <si>
    <t>26-Apr-2024</t>
  </si>
  <si>
    <t>SANJAY SHAH</t>
  </si>
  <si>
    <t>CUST-105</t>
  </si>
  <si>
    <t>sanjaysh@hotmail.com</t>
  </si>
  <si>
    <t>6566562369</t>
  </si>
  <si>
    <t>ORD-1106</t>
  </si>
  <si>
    <t>May-12-2024</t>
  </si>
  <si>
    <t>CUST-106</t>
  </si>
  <si>
    <t>9695133408</t>
  </si>
  <si>
    <t>ORD-1107</t>
  </si>
  <si>
    <t>CUST-107</t>
  </si>
  <si>
    <t>swatigup@rediffmail.com</t>
  </si>
  <si>
    <t>6372322246</t>
  </si>
  <si>
    <t>ORD-1108</t>
  </si>
  <si>
    <t>12/05/2024</t>
  </si>
  <si>
    <t>CUST-108</t>
  </si>
  <si>
    <t>9409250682</t>
  </si>
  <si>
    <t>ORD-1109</t>
  </si>
  <si>
    <t>2024-01-04</t>
  </si>
  <si>
    <t>CUST-109</t>
  </si>
  <si>
    <t>7230455714</t>
  </si>
  <si>
    <t>ORD-1110</t>
  </si>
  <si>
    <t>Mar-20-2024</t>
  </si>
  <si>
    <t>CUST-110</t>
  </si>
  <si>
    <t>7866092821</t>
  </si>
  <si>
    <t>ORD-1111</t>
  </si>
  <si>
    <t>CUST-111</t>
  </si>
  <si>
    <t>8695232998</t>
  </si>
  <si>
    <t>ORD-1112</t>
  </si>
  <si>
    <t>CUST-112</t>
  </si>
  <si>
    <t>meeranai@gmail.com</t>
  </si>
  <si>
    <t>9181135507</t>
  </si>
  <si>
    <t>ORD-1113</t>
  </si>
  <si>
    <t>Jan-23-2024</t>
  </si>
  <si>
    <t>CUST-113</t>
  </si>
  <si>
    <t>9176454660</t>
  </si>
  <si>
    <t>ORD-1114</t>
  </si>
  <si>
    <t>CUST-114</t>
  </si>
  <si>
    <t>padmalak@outlook.com</t>
  </si>
  <si>
    <t>7022922016</t>
  </si>
  <si>
    <t>ORD-1115</t>
  </si>
  <si>
    <t>21/04/2024</t>
  </si>
  <si>
    <t>CUST-115</t>
  </si>
  <si>
    <t>manojkum@outlook.com</t>
  </si>
  <si>
    <t>7687718878</t>
  </si>
  <si>
    <t>ORD-1116</t>
  </si>
  <si>
    <t>2024-02-10</t>
  </si>
  <si>
    <t>CUST-116</t>
  </si>
  <si>
    <t>kirankum@rediffmail.com</t>
  </si>
  <si>
    <t>ORD-1117</t>
  </si>
  <si>
    <t>26/02/2024</t>
  </si>
  <si>
    <t>CUST-117</t>
  </si>
  <si>
    <t>kirankum@hotmail.com</t>
  </si>
  <si>
    <t>8768901084</t>
  </si>
  <si>
    <t>ORD-1118</t>
  </si>
  <si>
    <t>Apr-07-2024</t>
  </si>
  <si>
    <t>CUST-118</t>
  </si>
  <si>
    <t>rohityad@yahoo.com</t>
  </si>
  <si>
    <t>7915604499</t>
  </si>
  <si>
    <t>Electronicss</t>
  </si>
  <si>
    <t>ORD-1119</t>
  </si>
  <si>
    <t>May-19-2024</t>
  </si>
  <si>
    <t>CUST-119</t>
  </si>
  <si>
    <t>6772303297</t>
  </si>
  <si>
    <t>ORD-1120</t>
  </si>
  <si>
    <t>31/03/2024</t>
  </si>
  <si>
    <t>CUST-120</t>
  </si>
  <si>
    <t>7540961801</t>
  </si>
  <si>
    <t>ORD-1121</t>
  </si>
  <si>
    <t>CUST-121</t>
  </si>
  <si>
    <t>9325878813</t>
  </si>
  <si>
    <t>131%</t>
  </si>
  <si>
    <t>ORD-1122</t>
  </si>
  <si>
    <t>19/06/2024</t>
  </si>
  <si>
    <t>CUST-122</t>
  </si>
  <si>
    <t>arjunmeh@outlook.com</t>
  </si>
  <si>
    <t>9015103300</t>
  </si>
  <si>
    <t>ORD-1123</t>
  </si>
  <si>
    <t>24-Apr-2024</t>
  </si>
  <si>
    <t>ravi shankar</t>
  </si>
  <si>
    <t>CUST-123</t>
  </si>
  <si>
    <t>ravishan@yahoo.com</t>
  </si>
  <si>
    <t>9380225197</t>
  </si>
  <si>
    <t>ORD-1124</t>
  </si>
  <si>
    <t>07-Mar-2024</t>
  </si>
  <si>
    <t>CUST-124</t>
  </si>
  <si>
    <t>deepakri@yahoo.com</t>
  </si>
  <si>
    <t>6322132937</t>
  </si>
  <si>
    <t>WEST</t>
  </si>
  <si>
    <t>ORD-1125</t>
  </si>
  <si>
    <t>17/03/2024</t>
  </si>
  <si>
    <t>CUST-125</t>
  </si>
  <si>
    <t>kavithan@hotmail.com</t>
  </si>
  <si>
    <t>6659663750</t>
  </si>
  <si>
    <t>ORD-1126</t>
  </si>
  <si>
    <t>09/04/2024</t>
  </si>
  <si>
    <t xml:space="preserve">  Sneha Reddy  </t>
  </si>
  <si>
    <t>CUST-126</t>
  </si>
  <si>
    <t>snehared@hotmail.com</t>
  </si>
  <si>
    <t>7130847576</t>
  </si>
  <si>
    <t>ORD-1127</t>
  </si>
  <si>
    <t>26/05/2024</t>
  </si>
  <si>
    <t>CUST-127</t>
  </si>
  <si>
    <t>prasadp@gmail.com</t>
  </si>
  <si>
    <t>6149157745</t>
  </si>
  <si>
    <t>ORD-1128</t>
  </si>
  <si>
    <t>22-Mar-2024</t>
  </si>
  <si>
    <t>CUST-128</t>
  </si>
  <si>
    <t>arunshar@rediffmail.com</t>
  </si>
  <si>
    <t>7186273502</t>
  </si>
  <si>
    <t>ORD-1129</t>
  </si>
  <si>
    <t>2024-04-15</t>
  </si>
  <si>
    <t>CUST-129</t>
  </si>
  <si>
    <t>6739592196</t>
  </si>
  <si>
    <t>ORD-1130</t>
  </si>
  <si>
    <t>28/02/2024</t>
  </si>
  <si>
    <t>CUST-130</t>
  </si>
  <si>
    <t>9130169646</t>
  </si>
  <si>
    <t>ORD-1131</t>
  </si>
  <si>
    <t>14/02/2024</t>
  </si>
  <si>
    <t>CUST-131</t>
  </si>
  <si>
    <t>manojkum@yahoo.com</t>
  </si>
  <si>
    <t>7960432117</t>
  </si>
  <si>
    <t>ORD-1132</t>
  </si>
  <si>
    <t>Jan-08-2024</t>
  </si>
  <si>
    <t>CUST-132</t>
  </si>
  <si>
    <t>6950695647</t>
  </si>
  <si>
    <t>ORD-1133</t>
  </si>
  <si>
    <t>2024-04-06</t>
  </si>
  <si>
    <t>CUST-133</t>
  </si>
  <si>
    <t>rekhapan@yahoo.com</t>
  </si>
  <si>
    <t>9540388030</t>
  </si>
  <si>
    <t>₹3,200</t>
  </si>
  <si>
    <t>ORD-1134</t>
  </si>
  <si>
    <t>CUST-134</t>
  </si>
  <si>
    <t>padmalak@rediffmail.com</t>
  </si>
  <si>
    <t>6600992653</t>
  </si>
  <si>
    <t>ORD-1135</t>
  </si>
  <si>
    <t>2024-02-16</t>
  </si>
  <si>
    <t>CUST-135</t>
  </si>
  <si>
    <t>priyasha@yahoo.com</t>
  </si>
  <si>
    <t>8401022668</t>
  </si>
  <si>
    <t>ORD-1136</t>
  </si>
  <si>
    <t>08-May-2024</t>
  </si>
  <si>
    <t>CUST-136</t>
  </si>
  <si>
    <t>9740268586</t>
  </si>
  <si>
    <t>ORD-1137</t>
  </si>
  <si>
    <t>05-May-2024</t>
  </si>
  <si>
    <t>CUST-137</t>
  </si>
  <si>
    <t>sureshku@hotmail.com</t>
  </si>
  <si>
    <t>8050418568</t>
  </si>
  <si>
    <t>PROD-111</t>
  </si>
  <si>
    <t>Whirlpool 1.5T AC</t>
  </si>
  <si>
    <t>Whirlpool</t>
  </si>
  <si>
    <t>ORD-1138</t>
  </si>
  <si>
    <t>2024-01-12</t>
  </si>
  <si>
    <t>CUST-138</t>
  </si>
  <si>
    <t>7450990916</t>
  </si>
  <si>
    <t>Central</t>
  </si>
  <si>
    <t>ORD-1139</t>
  </si>
  <si>
    <t>16-May-2024</t>
  </si>
  <si>
    <t>CUST-139</t>
  </si>
  <si>
    <t>swatigup@gmail.com</t>
  </si>
  <si>
    <t>6084790270</t>
  </si>
  <si>
    <t>ORD-1140</t>
  </si>
  <si>
    <t>CUST-140</t>
  </si>
  <si>
    <t>snehared@rediffmail.com</t>
  </si>
  <si>
    <t>8246895401</t>
  </si>
  <si>
    <t>ORD-1141</t>
  </si>
  <si>
    <t>2024-04-26</t>
  </si>
  <si>
    <t>CUST-141</t>
  </si>
  <si>
    <t>6169412921</t>
  </si>
  <si>
    <t>ORD-1142</t>
  </si>
  <si>
    <t>Jan-30-2024</t>
  </si>
  <si>
    <t>CUST-142</t>
  </si>
  <si>
    <t>9653606617</t>
  </si>
  <si>
    <t>ORD-1143</t>
  </si>
  <si>
    <t>May-03-2024</t>
  </si>
  <si>
    <t>CUST-143</t>
  </si>
  <si>
    <t>8813090060</t>
  </si>
  <si>
    <t>ORD-1144</t>
  </si>
  <si>
    <t>03/01/2024</t>
  </si>
  <si>
    <t>CUST-144</t>
  </si>
  <si>
    <t>6321543768</t>
  </si>
  <si>
    <t>ORD-1145</t>
  </si>
  <si>
    <t>CUST-145</t>
  </si>
  <si>
    <t>ORD-1146</t>
  </si>
  <si>
    <t>2024-01-01</t>
  </si>
  <si>
    <t>CUST-146</t>
  </si>
  <si>
    <t>6456650521</t>
  </si>
  <si>
    <t>ORD-1147</t>
  </si>
  <si>
    <t>Apr-25-2024</t>
  </si>
  <si>
    <t>CUST-147</t>
  </si>
  <si>
    <t>8277897510</t>
  </si>
  <si>
    <t>ORD-1148</t>
  </si>
  <si>
    <t>2024-03-28</t>
  </si>
  <si>
    <t>CUST-148</t>
  </si>
  <si>
    <t>snehared@yahoo.com</t>
  </si>
  <si>
    <t>9807217286</t>
  </si>
  <si>
    <t>ORD-1149</t>
  </si>
  <si>
    <t>2024-01-30</t>
  </si>
  <si>
    <t>CUST-149</t>
  </si>
  <si>
    <t>7793054056</t>
  </si>
  <si>
    <t>ORD-1150</t>
  </si>
  <si>
    <t>Apr-01-2024</t>
  </si>
  <si>
    <t>CUST-150</t>
  </si>
  <si>
    <t>user@rediffmail.com</t>
  </si>
  <si>
    <t>8410638666</t>
  </si>
  <si>
    <t>ORD-1151</t>
  </si>
  <si>
    <t>03/06/2024</t>
  </si>
  <si>
    <t>CUST-151</t>
  </si>
  <si>
    <t>sureshba@yahoo.com</t>
  </si>
  <si>
    <t>8931997465</t>
  </si>
  <si>
    <t>ORD-1152</t>
  </si>
  <si>
    <t>2024-05-05</t>
  </si>
  <si>
    <t>CUST-152</t>
  </si>
  <si>
    <t>meeranai@outlook.com</t>
  </si>
  <si>
    <t>8235986982</t>
  </si>
  <si>
    <t>ORD-1153</t>
  </si>
  <si>
    <t>CUST-153</t>
  </si>
  <si>
    <t>meeranai@rediffmail.com</t>
  </si>
  <si>
    <t>6171271484</t>
  </si>
  <si>
    <t>ORD-1154</t>
  </si>
  <si>
    <t>09-Jun-2024</t>
  </si>
  <si>
    <t>CUST-154</t>
  </si>
  <si>
    <t>kirankum@yahoo.com</t>
  </si>
  <si>
    <t>6446362270</t>
  </si>
  <si>
    <t>ORD-1155</t>
  </si>
  <si>
    <t>CUST-155</t>
  </si>
  <si>
    <t>sanjaysh@gmail.com</t>
  </si>
  <si>
    <t>6025335682</t>
  </si>
  <si>
    <t>ORD-1156</t>
  </si>
  <si>
    <t>Feb-04-2024</t>
  </si>
  <si>
    <t>CUST-156</t>
  </si>
  <si>
    <t>7280142912</t>
  </si>
  <si>
    <t>ORD-1157</t>
  </si>
  <si>
    <t>2024-02-26</t>
  </si>
  <si>
    <t>CUST-157</t>
  </si>
  <si>
    <t>6233595980</t>
  </si>
  <si>
    <t>ORD-1158</t>
  </si>
  <si>
    <t>CUST-158</t>
  </si>
  <si>
    <t>kavithan@outlook.com</t>
  </si>
  <si>
    <t>6724301196</t>
  </si>
  <si>
    <t>ORD-1159</t>
  </si>
  <si>
    <t>08-Mar-2024</t>
  </si>
  <si>
    <t>CUST-159</t>
  </si>
  <si>
    <t>ravikuma@gmail.com</t>
  </si>
  <si>
    <t>9490272519</t>
  </si>
  <si>
    <t>ORD-1160</t>
  </si>
  <si>
    <t>18/06/2024</t>
  </si>
  <si>
    <t>CUST-160</t>
  </si>
  <si>
    <t>saranyam@rediffmail.com</t>
  </si>
  <si>
    <t>6602887521</t>
  </si>
  <si>
    <t>ORD-1161</t>
  </si>
  <si>
    <t>CUST-161</t>
  </si>
  <si>
    <t>8239279558</t>
  </si>
  <si>
    <t>ORD-1162</t>
  </si>
  <si>
    <t>Feb-05-2024</t>
  </si>
  <si>
    <t>CUST-162</t>
  </si>
  <si>
    <t>anitaver@gmail.com</t>
  </si>
  <si>
    <t>6645277642</t>
  </si>
  <si>
    <t>ORD-1163</t>
  </si>
  <si>
    <t>11/01/2024</t>
  </si>
  <si>
    <t>CUST-163</t>
  </si>
  <si>
    <t>7741421625</t>
  </si>
  <si>
    <t>ORD-1164</t>
  </si>
  <si>
    <t>2024-02-12</t>
  </si>
  <si>
    <t>CUST-164</t>
  </si>
  <si>
    <t>7655546199</t>
  </si>
  <si>
    <t>ORD-1165</t>
  </si>
  <si>
    <t>Jan-12-2024</t>
  </si>
  <si>
    <t>CUST-165</t>
  </si>
  <si>
    <t>kavyarao@hotmail.com</t>
  </si>
  <si>
    <t>8529942267</t>
  </si>
  <si>
    <t>west</t>
  </si>
  <si>
    <t>ORD-1166</t>
  </si>
  <si>
    <t>CUST-166</t>
  </si>
  <si>
    <t>ravishan@rediffmail.com</t>
  </si>
  <si>
    <t>7819182998</t>
  </si>
  <si>
    <t>ORD-1167</t>
  </si>
  <si>
    <t>CUST-167</t>
  </si>
  <si>
    <t>8364706816</t>
  </si>
  <si>
    <t>ORD-1168</t>
  </si>
  <si>
    <t>Feb-14-2024</t>
  </si>
  <si>
    <t>CUST-168</t>
  </si>
  <si>
    <t>8225451403</t>
  </si>
  <si>
    <t>ORD-1169</t>
  </si>
  <si>
    <t>2024-03-13</t>
  </si>
  <si>
    <t>7953175066</t>
  </si>
  <si>
    <t>ORD-1170</t>
  </si>
  <si>
    <t>Jun-23-2024</t>
  </si>
  <si>
    <t>CUST-170</t>
  </si>
  <si>
    <t>geethara@gmail.com</t>
  </si>
  <si>
    <t>7643569086</t>
  </si>
  <si>
    <t>SOUTH</t>
  </si>
  <si>
    <t>ORD-1171</t>
  </si>
  <si>
    <t>CUST-171</t>
  </si>
  <si>
    <t>user@yahoo.com</t>
  </si>
  <si>
    <t>6870875721</t>
  </si>
  <si>
    <t>ORD-1172</t>
  </si>
  <si>
    <t>2024-05-10</t>
  </si>
  <si>
    <t>CUST-172</t>
  </si>
  <si>
    <t>vijaypat@rediffmail.com</t>
  </si>
  <si>
    <t>7817526512</t>
  </si>
  <si>
    <t>ORD-1173</t>
  </si>
  <si>
    <t>Mar-09-2024</t>
  </si>
  <si>
    <t>CUST-173</t>
  </si>
  <si>
    <t>venkatre@outlook.com</t>
  </si>
  <si>
    <t>6904230112</t>
  </si>
  <si>
    <t>ORD-1174</t>
  </si>
  <si>
    <t>Apr-17-2024</t>
  </si>
  <si>
    <t>CUST-174</t>
  </si>
  <si>
    <t>manojkum@rediffmail.com</t>
  </si>
  <si>
    <t>8090017854</t>
  </si>
  <si>
    <t>ORD-1175</t>
  </si>
  <si>
    <t>2024-02-01</t>
  </si>
  <si>
    <t>CUST-175</t>
  </si>
  <si>
    <t>sitadevi@rediffmail.com</t>
  </si>
  <si>
    <t>8787996193</t>
  </si>
  <si>
    <t>ORD-1176</t>
  </si>
  <si>
    <t>CUST-176</t>
  </si>
  <si>
    <t>mohanlal@yahoo.com</t>
  </si>
  <si>
    <t>9051288583</t>
  </si>
  <si>
    <t>ORD-1177</t>
  </si>
  <si>
    <t>11-Apr-2024</t>
  </si>
  <si>
    <t>CUST-177</t>
  </si>
  <si>
    <t>813144473</t>
  </si>
  <si>
    <t>ORD-1178</t>
  </si>
  <si>
    <t>Mar-10-2024</t>
  </si>
  <si>
    <t>CUST-178</t>
  </si>
  <si>
    <t>8710328466</t>
  </si>
  <si>
    <t>ORD-1179</t>
  </si>
  <si>
    <t>Jan-03-2024</t>
  </si>
  <si>
    <t>CUST-179</t>
  </si>
  <si>
    <t>ravishan@hotmail.com</t>
  </si>
  <si>
    <t>9427232626</t>
  </si>
  <si>
    <t>ORD-1180</t>
  </si>
  <si>
    <t>CUST-180</t>
  </si>
  <si>
    <t>rahulgup@gmail.com</t>
  </si>
  <si>
    <t>8735433372</t>
  </si>
  <si>
    <t>ORD-1181</t>
  </si>
  <si>
    <t>CUST-181</t>
  </si>
  <si>
    <t>user@gmail.com</t>
  </si>
  <si>
    <t>6627442454</t>
  </si>
  <si>
    <t>ORD-1182</t>
  </si>
  <si>
    <t>May-01-2024</t>
  </si>
  <si>
    <t>CUST-182</t>
  </si>
  <si>
    <t>snehared@outlook.com</t>
  </si>
  <si>
    <t>9127754456</t>
  </si>
  <si>
    <t>ORD-1183</t>
  </si>
  <si>
    <t>25/06/2024</t>
  </si>
  <si>
    <t>CUST-183</t>
  </si>
  <si>
    <t>amitsing@gmail.com</t>
  </si>
  <si>
    <t>8946109800</t>
  </si>
  <si>
    <t>₹55,000</t>
  </si>
  <si>
    <t>ORD-1184</t>
  </si>
  <si>
    <t>05-Mar-2024</t>
  </si>
  <si>
    <t>CUST-184</t>
  </si>
  <si>
    <t>8104929112</t>
  </si>
  <si>
    <t>ORD-1185</t>
  </si>
  <si>
    <t>07/06/2024</t>
  </si>
  <si>
    <t>CUST-185</t>
  </si>
  <si>
    <t>7664260498</t>
  </si>
  <si>
    <t>ORD-1186</t>
  </si>
  <si>
    <t>CUST-186</t>
  </si>
  <si>
    <t>8602550993</t>
  </si>
  <si>
    <t>ORD-1187</t>
  </si>
  <si>
    <t>25-Feb-2024</t>
  </si>
  <si>
    <t>CUST-187</t>
  </si>
  <si>
    <t>meeranai@yahoo.com</t>
  </si>
  <si>
    <t>8259977516</t>
  </si>
  <si>
    <t>ORD-1188</t>
  </si>
  <si>
    <t>Jun-02-2024</t>
  </si>
  <si>
    <t>CUST-188</t>
  </si>
  <si>
    <t>9628620372</t>
  </si>
  <si>
    <t>ORD-1189</t>
  </si>
  <si>
    <t>CUST-189</t>
  </si>
  <si>
    <t>nehasing@outlook.com</t>
  </si>
  <si>
    <t>ORD-1190</t>
  </si>
  <si>
    <t>CUST-190</t>
  </si>
  <si>
    <t>rekhapan@rediffmail.com</t>
  </si>
  <si>
    <t>9107754709</t>
  </si>
  <si>
    <t>ORD-1191</t>
  </si>
  <si>
    <t>Jun-11-2024</t>
  </si>
  <si>
    <t>CUST-191</t>
  </si>
  <si>
    <t>ORD-1192</t>
  </si>
  <si>
    <t>CUST-192</t>
  </si>
  <si>
    <t>6579265528</t>
  </si>
  <si>
    <t>ORD-1193</t>
  </si>
  <si>
    <t>01-Jun-2024</t>
  </si>
  <si>
    <t>CUST-193</t>
  </si>
  <si>
    <t>venkatre@yahoo.com</t>
  </si>
  <si>
    <t>9447982663</t>
  </si>
  <si>
    <t>ORD-1194</t>
  </si>
  <si>
    <t>23/02/2024</t>
  </si>
  <si>
    <t>CUST-194</t>
  </si>
  <si>
    <t>prasadp@rediffmail.com</t>
  </si>
  <si>
    <t>8675944972</t>
  </si>
  <si>
    <t>ORD-1195</t>
  </si>
  <si>
    <t>Jun-15-2024</t>
  </si>
  <si>
    <t>CUST-195</t>
  </si>
  <si>
    <t>9882100932</t>
  </si>
  <si>
    <t>ORD-1196</t>
  </si>
  <si>
    <t>CUST-196</t>
  </si>
  <si>
    <t>kirankum@gmail.com</t>
  </si>
  <si>
    <t>6968870326</t>
  </si>
  <si>
    <t>ORD-1197</t>
  </si>
  <si>
    <t>2024-02-05</t>
  </si>
  <si>
    <t>CUST-197</t>
  </si>
  <si>
    <t>9904134250</t>
  </si>
  <si>
    <t>ORD-1198</t>
  </si>
  <si>
    <t>18-Feb-2024</t>
  </si>
  <si>
    <t>CUST-198</t>
  </si>
  <si>
    <t>7146166176</t>
  </si>
  <si>
    <t>ORD-1199</t>
  </si>
  <si>
    <t>CUST-199</t>
  </si>
  <si>
    <t>dineshk@hotmail.com</t>
  </si>
  <si>
    <t>6871163569</t>
  </si>
  <si>
    <t>ORD-1200</t>
  </si>
  <si>
    <t>13-May-2024</t>
  </si>
  <si>
    <t>CUST-200</t>
  </si>
  <si>
    <t>8310130385</t>
  </si>
  <si>
    <t>ORD-1201</t>
  </si>
  <si>
    <t>CUST-201</t>
  </si>
  <si>
    <t>6581137750</t>
  </si>
  <si>
    <t>ORD-1202</t>
  </si>
  <si>
    <t>Jan-22-2024</t>
  </si>
  <si>
    <t>CUST-202</t>
  </si>
  <si>
    <t>8363717591</t>
  </si>
  <si>
    <t>ORD-1203</t>
  </si>
  <si>
    <t>Jan-04-2024</t>
  </si>
  <si>
    <t>CUST-203</t>
  </si>
  <si>
    <t>864927968</t>
  </si>
  <si>
    <t>ORD-1204</t>
  </si>
  <si>
    <t>7221405125</t>
  </si>
  <si>
    <t>ORD-1205</t>
  </si>
  <si>
    <t>May-14-2024</t>
  </si>
  <si>
    <t>CUST-205</t>
  </si>
  <si>
    <t>9134160124</t>
  </si>
  <si>
    <t>ORD-1206</t>
  </si>
  <si>
    <t>15/03/2024</t>
  </si>
  <si>
    <t>CUST-206</t>
  </si>
  <si>
    <t>9167402552</t>
  </si>
  <si>
    <t>ORD-1207</t>
  </si>
  <si>
    <t>CUST-207</t>
  </si>
  <si>
    <t>sanjaysh@outlook.com</t>
  </si>
  <si>
    <t>8037963908</t>
  </si>
  <si>
    <t>ORD-1208</t>
  </si>
  <si>
    <t>2024-02-08</t>
  </si>
  <si>
    <t>CUST-208</t>
  </si>
  <si>
    <t>9618105265</t>
  </si>
  <si>
    <t>15%</t>
  </si>
  <si>
    <t>ORD-1209</t>
  </si>
  <si>
    <t>05-Apr-2024</t>
  </si>
  <si>
    <t>CUST-209</t>
  </si>
  <si>
    <t>poojaiye@gmail.com</t>
  </si>
  <si>
    <t>859127827</t>
  </si>
  <si>
    <t>ORD-1210</t>
  </si>
  <si>
    <t>24-Jun-2024</t>
  </si>
  <si>
    <t>CUST-210</t>
  </si>
  <si>
    <t>arunshar@gmail.com</t>
  </si>
  <si>
    <t>9202133175</t>
  </si>
  <si>
    <t>ORD-1211</t>
  </si>
  <si>
    <t>2024-03-30</t>
  </si>
  <si>
    <t>CUST-211</t>
  </si>
  <si>
    <t>sitadevi@outlook.com</t>
  </si>
  <si>
    <t>7337356436</t>
  </si>
  <si>
    <t>ORD-1212</t>
  </si>
  <si>
    <t>CUST-212</t>
  </si>
  <si>
    <t>8767756835</t>
  </si>
  <si>
    <t>ORD-1213</t>
  </si>
  <si>
    <t>CUST-213</t>
  </si>
  <si>
    <t>rashmive@yahoo.com</t>
  </si>
  <si>
    <t>9067779533</t>
  </si>
  <si>
    <t>ORD-1214</t>
  </si>
  <si>
    <t>19/05/2024</t>
  </si>
  <si>
    <t>CUST-214</t>
  </si>
  <si>
    <t>deepakri@gmail.com</t>
  </si>
  <si>
    <t>9593806125</t>
  </si>
  <si>
    <t>ORD-1215</t>
  </si>
  <si>
    <t>07/02/2024</t>
  </si>
  <si>
    <t>CUST-215</t>
  </si>
  <si>
    <t>6840381733</t>
  </si>
  <si>
    <t>ORD-1216</t>
  </si>
  <si>
    <t>01-Apr-2024</t>
  </si>
  <si>
    <t>CUST-216</t>
  </si>
  <si>
    <t>7693369537</t>
  </si>
  <si>
    <t>ORD-1217</t>
  </si>
  <si>
    <t>CUST-217</t>
  </si>
  <si>
    <t>8986679532</t>
  </si>
  <si>
    <t>ORD-1218</t>
  </si>
  <si>
    <t>2024-06-29</t>
  </si>
  <si>
    <t>CUST-218</t>
  </si>
  <si>
    <t>9136122697</t>
  </si>
  <si>
    <t>ORD-1219</t>
  </si>
  <si>
    <t>2024-04-17</t>
  </si>
  <si>
    <t>CUST-219</t>
  </si>
  <si>
    <t>deepikar@outlook.com</t>
  </si>
  <si>
    <t>763246789</t>
  </si>
  <si>
    <t>ORD-1220</t>
  </si>
  <si>
    <t>CUST-220</t>
  </si>
  <si>
    <t>6753334536</t>
  </si>
  <si>
    <t>ORD-1221</t>
  </si>
  <si>
    <t>Lakshmi Devi</t>
  </si>
  <si>
    <t>CUST-221</t>
  </si>
  <si>
    <t>lakshmid@hotmail.com</t>
  </si>
  <si>
    <t>9231653009</t>
  </si>
  <si>
    <t>ORD-1222</t>
  </si>
  <si>
    <t>2024-03-26</t>
  </si>
  <si>
    <t>CUST-222</t>
  </si>
  <si>
    <t>mohanlal@gmail.com</t>
  </si>
  <si>
    <t>7980446323</t>
  </si>
  <si>
    <t>ORD-1223</t>
  </si>
  <si>
    <t>15/01/2024</t>
  </si>
  <si>
    <t>CUST-223</t>
  </si>
  <si>
    <t>9678385314</t>
  </si>
  <si>
    <t>ORD-1224</t>
  </si>
  <si>
    <t>2024-01-19</t>
  </si>
  <si>
    <t>CUST-224</t>
  </si>
  <si>
    <t>7109126346</t>
  </si>
  <si>
    <t>ORD-1225</t>
  </si>
  <si>
    <t>Jan-05-2024</t>
  </si>
  <si>
    <t>CUST-225</t>
  </si>
  <si>
    <t>lakshmid@gmail.com</t>
  </si>
  <si>
    <t>7144335983</t>
  </si>
  <si>
    <t>ORD-1226</t>
  </si>
  <si>
    <t>CUST-226</t>
  </si>
  <si>
    <t>7460558581</t>
  </si>
  <si>
    <t>HOME</t>
  </si>
  <si>
    <t>ORD-1227</t>
  </si>
  <si>
    <t>07/01/2024</t>
  </si>
  <si>
    <t>CUST-227</t>
  </si>
  <si>
    <t>rohityad@gmail.com</t>
  </si>
  <si>
    <t>8146127091</t>
  </si>
  <si>
    <t>ORD-1228</t>
  </si>
  <si>
    <t>30-Apr-2024</t>
  </si>
  <si>
    <t>CUST-228</t>
  </si>
  <si>
    <t>ORD-1229</t>
  </si>
  <si>
    <t>CUST-229</t>
  </si>
  <si>
    <t>7440977557</t>
  </si>
  <si>
    <t>ORD-1230</t>
  </si>
  <si>
    <t>Apr-16-2024</t>
  </si>
  <si>
    <t>CUST-230</t>
  </si>
  <si>
    <t>7934535440</t>
  </si>
  <si>
    <t>ORD-1231</t>
  </si>
  <si>
    <t>09/05/2024</t>
  </si>
  <si>
    <t>CUST-231</t>
  </si>
  <si>
    <t>9421426659</t>
  </si>
  <si>
    <t>₹14,000</t>
  </si>
  <si>
    <t>ORD-1232</t>
  </si>
  <si>
    <t>CUST-232</t>
  </si>
  <si>
    <t>6853630743</t>
  </si>
  <si>
    <t>ORD-1233</t>
  </si>
  <si>
    <t>2024-06-10</t>
  </si>
  <si>
    <t>CUST-233</t>
  </si>
  <si>
    <t>632025275</t>
  </si>
  <si>
    <t>ORD-1234</t>
  </si>
  <si>
    <t>CUST-234</t>
  </si>
  <si>
    <t>7405725387</t>
  </si>
  <si>
    <t>ORD-1235</t>
  </si>
  <si>
    <t>22-Jan-2024</t>
  </si>
  <si>
    <t>CUST-235</t>
  </si>
  <si>
    <t>swatigup@hotmail.com</t>
  </si>
  <si>
    <t>7270410210</t>
  </si>
  <si>
    <t>ORD-1236</t>
  </si>
  <si>
    <t>2024-01-09</t>
  </si>
  <si>
    <t>8470591311</t>
  </si>
  <si>
    <t>Nrth</t>
  </si>
  <si>
    <t>ORD-1237</t>
  </si>
  <si>
    <t>02-Mar-2024</t>
  </si>
  <si>
    <t>CUST-237</t>
  </si>
  <si>
    <t>sanjaysh@rediffmail.com</t>
  </si>
  <si>
    <t>9234855539</t>
  </si>
  <si>
    <t>ORD-1238</t>
  </si>
  <si>
    <t>23-Jan-2024</t>
  </si>
  <si>
    <t>CUST-238</t>
  </si>
  <si>
    <t>6469718772</t>
  </si>
  <si>
    <t>ORD-1239</t>
  </si>
  <si>
    <t>2024-05-13</t>
  </si>
  <si>
    <t>CUST-239</t>
  </si>
  <si>
    <t>8087991445</t>
  </si>
  <si>
    <t>ORD-1240</t>
  </si>
  <si>
    <t>16/02/2024</t>
  </si>
  <si>
    <t>CUST-240</t>
  </si>
  <si>
    <t>saranyam@yahoo.com</t>
  </si>
  <si>
    <t>7359897631</t>
  </si>
  <si>
    <t>ORD-1241</t>
  </si>
  <si>
    <t>09-Feb-2024</t>
  </si>
  <si>
    <t>CUST-241</t>
  </si>
  <si>
    <t>9029890512</t>
  </si>
  <si>
    <t>ORD-1242</t>
  </si>
  <si>
    <t>24-Mar-2024</t>
  </si>
  <si>
    <t>CUST-242</t>
  </si>
  <si>
    <t>rahulgup@yahoo.com</t>
  </si>
  <si>
    <t>9294648470</t>
  </si>
  <si>
    <t>ORD-1243</t>
  </si>
  <si>
    <t>2024-03-29</t>
  </si>
  <si>
    <t>CUST-243</t>
  </si>
  <si>
    <t>9126106365</t>
  </si>
  <si>
    <t>ORD-1244</t>
  </si>
  <si>
    <t>Jan-02-2024</t>
  </si>
  <si>
    <t>CUST-244</t>
  </si>
  <si>
    <t>prasadp@outlook.com</t>
  </si>
  <si>
    <t>9050487679</t>
  </si>
  <si>
    <t>ORD-1245</t>
  </si>
  <si>
    <t>2024-06-16</t>
  </si>
  <si>
    <t>CUST-245</t>
  </si>
  <si>
    <t>6122159993</t>
  </si>
  <si>
    <t>ORD-1246</t>
  </si>
  <si>
    <t>01/04/2024</t>
  </si>
  <si>
    <t>CUST-246</t>
  </si>
  <si>
    <t>7528941040</t>
  </si>
  <si>
    <t>ORD-1247</t>
  </si>
  <si>
    <t>06-Feb-2024</t>
  </si>
  <si>
    <t>CUST-247</t>
  </si>
  <si>
    <t>7461633584</t>
  </si>
  <si>
    <t>ORD-1248</t>
  </si>
  <si>
    <t>2024-03-20</t>
  </si>
  <si>
    <t>CUST-248</t>
  </si>
  <si>
    <t>poojaiye@hotmail.com</t>
  </si>
  <si>
    <t>9279592112</t>
  </si>
  <si>
    <t>ORD-1249</t>
  </si>
  <si>
    <t>09-Jan-2024</t>
  </si>
  <si>
    <t>CUST-249</t>
  </si>
  <si>
    <t>ORD-1250</t>
  </si>
  <si>
    <t>25-May-2024</t>
  </si>
  <si>
    <t>CUST-250</t>
  </si>
  <si>
    <t>9074387556</t>
  </si>
  <si>
    <t>ORD-1251</t>
  </si>
  <si>
    <t>CUST-251</t>
  </si>
  <si>
    <t>6583739168</t>
  </si>
  <si>
    <t>ORD-1252</t>
  </si>
  <si>
    <t>15-Feb-2024</t>
  </si>
  <si>
    <t>CUST-252</t>
  </si>
  <si>
    <t>8244817796</t>
  </si>
  <si>
    <t>ORD-1253</t>
  </si>
  <si>
    <t>Jun-13-2024</t>
  </si>
  <si>
    <t>CUST-253</t>
  </si>
  <si>
    <t>8196508611</t>
  </si>
  <si>
    <t>ORD-1254</t>
  </si>
  <si>
    <t>Jan-20-2024</t>
  </si>
  <si>
    <t>CUST-254</t>
  </si>
  <si>
    <t>anitaver@yahoo.com</t>
  </si>
  <si>
    <t>8168076965</t>
  </si>
  <si>
    <t>ORD-1255</t>
  </si>
  <si>
    <t>2024-02-04</t>
  </si>
  <si>
    <t>CUST-255</t>
  </si>
  <si>
    <t>8106912159</t>
  </si>
  <si>
    <t>ORD-1256</t>
  </si>
  <si>
    <t>2024-06-09</t>
  </si>
  <si>
    <t>CUST-256</t>
  </si>
  <si>
    <t>7508689990</t>
  </si>
  <si>
    <t>ORD-1257</t>
  </si>
  <si>
    <t>Mar-22-2024</t>
  </si>
  <si>
    <t>CUST-257</t>
  </si>
  <si>
    <t>6429740169</t>
  </si>
  <si>
    <t>ORD-1258</t>
  </si>
  <si>
    <t>CUST-258</t>
  </si>
  <si>
    <t>8041262104</t>
  </si>
  <si>
    <t>ORD-1259</t>
  </si>
  <si>
    <t>Feb-24-2024</t>
  </si>
  <si>
    <t>CUST-259</t>
  </si>
  <si>
    <t>9894830212</t>
  </si>
  <si>
    <t>ORD-1260</t>
  </si>
  <si>
    <t>CUST-260</t>
  </si>
  <si>
    <t>ORD-1261</t>
  </si>
  <si>
    <t>Jan-17-2024</t>
  </si>
  <si>
    <t>CUST-261</t>
  </si>
  <si>
    <t>9619584847</t>
  </si>
  <si>
    <t>ORD-1262</t>
  </si>
  <si>
    <t>CUST-262</t>
  </si>
  <si>
    <t>8531801378</t>
  </si>
  <si>
    <t>ORD-1263</t>
  </si>
  <si>
    <t>Mar-05-2024</t>
  </si>
  <si>
    <t>CUST-263</t>
  </si>
  <si>
    <t>8297423915</t>
  </si>
  <si>
    <t>ORD-1264</t>
  </si>
  <si>
    <t>May-05-2024</t>
  </si>
  <si>
    <t>CUST-264</t>
  </si>
  <si>
    <t>9522909617</t>
  </si>
  <si>
    <t>ORD-1265</t>
  </si>
  <si>
    <t>27-May-2024</t>
  </si>
  <si>
    <t>CUST-265</t>
  </si>
  <si>
    <t>9567491665</t>
  </si>
  <si>
    <t>ORD-1266</t>
  </si>
  <si>
    <t>06/01/2024</t>
  </si>
  <si>
    <t>CUST-266</t>
  </si>
  <si>
    <t>6724801332</t>
  </si>
  <si>
    <t>ORD-1267</t>
  </si>
  <si>
    <t>07/04/2024</t>
  </si>
  <si>
    <t>CUST-267</t>
  </si>
  <si>
    <t>7215335058</t>
  </si>
  <si>
    <t>ORD-1268</t>
  </si>
  <si>
    <t>CUST-268</t>
  </si>
  <si>
    <t>9900803267</t>
  </si>
  <si>
    <t>ELECTRONICS</t>
  </si>
  <si>
    <t>ORD-1269</t>
  </si>
  <si>
    <t>2024-01-23</t>
  </si>
  <si>
    <t>CUST-269</t>
  </si>
  <si>
    <t>6189675018</t>
  </si>
  <si>
    <t>ORD-1270</t>
  </si>
  <si>
    <t>CUST-270</t>
  </si>
  <si>
    <t>kavyarao@yahoo.com</t>
  </si>
  <si>
    <t>6702463180</t>
  </si>
  <si>
    <t>ORD-1271</t>
  </si>
  <si>
    <t>29-May-2024</t>
  </si>
  <si>
    <t>CUST-271</t>
  </si>
  <si>
    <t>7057238139</t>
  </si>
  <si>
    <t>ORD-1272</t>
  </si>
  <si>
    <t>Jun-16-2024</t>
  </si>
  <si>
    <t>CUST-272</t>
  </si>
  <si>
    <t>nishapat@rediffmail.com</t>
  </si>
  <si>
    <t>9442665234</t>
  </si>
  <si>
    <t>ORD-1273</t>
  </si>
  <si>
    <t>Mar-17-2024</t>
  </si>
  <si>
    <t>CUST-273</t>
  </si>
  <si>
    <t>7542083341</t>
  </si>
  <si>
    <t>ORD-1274</t>
  </si>
  <si>
    <t>06-May-2024</t>
  </si>
  <si>
    <t>CUST-274</t>
  </si>
  <si>
    <t>7290179231</t>
  </si>
  <si>
    <t>ORD-1275</t>
  </si>
  <si>
    <t>CUST-275</t>
  </si>
  <si>
    <t>7687738937</t>
  </si>
  <si>
    <t>ORD-1276</t>
  </si>
  <si>
    <t>CUST-276</t>
  </si>
  <si>
    <t>ORD-1277</t>
  </si>
  <si>
    <t>CUST-277</t>
  </si>
  <si>
    <t>9393073720</t>
  </si>
  <si>
    <t>ORD-1278</t>
  </si>
  <si>
    <t>03-Jan-2024</t>
  </si>
  <si>
    <t>CUST-278</t>
  </si>
  <si>
    <t>9165727232</t>
  </si>
  <si>
    <t>₹25,000</t>
  </si>
  <si>
    <t>ORD-1279</t>
  </si>
  <si>
    <t>Apr-24-2024</t>
  </si>
  <si>
    <t>CUST-279</t>
  </si>
  <si>
    <t>7881671087</t>
  </si>
  <si>
    <t>FASHION</t>
  </si>
  <si>
    <t>ORD-1280</t>
  </si>
  <si>
    <t>25-Jun-2024</t>
  </si>
  <si>
    <t>CUST-280</t>
  </si>
  <si>
    <t>8113921661</t>
  </si>
  <si>
    <t>ORD-1281</t>
  </si>
  <si>
    <t>Feb-27-2024</t>
  </si>
  <si>
    <t>9307532359</t>
  </si>
  <si>
    <t>ORD-1282</t>
  </si>
  <si>
    <t>02/04/2024</t>
  </si>
  <si>
    <t>CUST-282</t>
  </si>
  <si>
    <t>9738737735</t>
  </si>
  <si>
    <t>ORD-1283</t>
  </si>
  <si>
    <t>CUST-283</t>
  </si>
  <si>
    <t>7757970136</t>
  </si>
  <si>
    <t>ORD-1284</t>
  </si>
  <si>
    <t>CUST-284</t>
  </si>
  <si>
    <t>7347310764</t>
  </si>
  <si>
    <t>ORD-1285</t>
  </si>
  <si>
    <t>2024-02-02</t>
  </si>
  <si>
    <t>CUST-285</t>
  </si>
  <si>
    <t>9251489188</t>
  </si>
  <si>
    <t>ORD-1286</t>
  </si>
  <si>
    <t>01/06/2024</t>
  </si>
  <si>
    <t>CUST-286</t>
  </si>
  <si>
    <t>8460010103</t>
  </si>
  <si>
    <t>ORD-1287</t>
  </si>
  <si>
    <t>CUST-287</t>
  </si>
  <si>
    <t>kavyarao@rediffmail.com</t>
  </si>
  <si>
    <t>7890129015</t>
  </si>
  <si>
    <t>ORD-1288</t>
  </si>
  <si>
    <t>2024-01-31</t>
  </si>
  <si>
    <t>CUST-288</t>
  </si>
  <si>
    <t>7309641145</t>
  </si>
  <si>
    <t>ORD-1289</t>
  </si>
  <si>
    <t>May-24-2024</t>
  </si>
  <si>
    <t>CUST-289</t>
  </si>
  <si>
    <t>nehasing@hotmail.com</t>
  </si>
  <si>
    <t>8601503399</t>
  </si>
  <si>
    <t>ORD-1290</t>
  </si>
  <si>
    <t>12-Feb-2024</t>
  </si>
  <si>
    <t>CUST-290</t>
  </si>
  <si>
    <t>8402402094</t>
  </si>
  <si>
    <t>ORD-1291</t>
  </si>
  <si>
    <t>2024-05-16</t>
  </si>
  <si>
    <t>CUST-291</t>
  </si>
  <si>
    <t>7460102292</t>
  </si>
  <si>
    <t>ORD-1292</t>
  </si>
  <si>
    <t>CUST-292</t>
  </si>
  <si>
    <t>7612816731</t>
  </si>
  <si>
    <t>ORD-1293</t>
  </si>
  <si>
    <t>04/03/2024</t>
  </si>
  <si>
    <t>CUST-293</t>
  </si>
  <si>
    <t>8149340695</t>
  </si>
  <si>
    <t>ORD-1294</t>
  </si>
  <si>
    <t>10/06/2024</t>
  </si>
  <si>
    <t>CUST-294</t>
  </si>
  <si>
    <t>8293896030</t>
  </si>
  <si>
    <t>ORD-1295</t>
  </si>
  <si>
    <t>28/03/2024</t>
  </si>
  <si>
    <t>CUST-295</t>
  </si>
  <si>
    <t>6574347710</t>
  </si>
  <si>
    <t>ORD-1296</t>
  </si>
  <si>
    <t>2024-06-02</t>
  </si>
  <si>
    <t>CUST-296</t>
  </si>
  <si>
    <t>6828889415</t>
  </si>
  <si>
    <t>ORD-1297</t>
  </si>
  <si>
    <t>Feb-20-2024</t>
  </si>
  <si>
    <t>CUST-297</t>
  </si>
  <si>
    <t>8369899340</t>
  </si>
  <si>
    <t>ORD-1298</t>
  </si>
  <si>
    <t>CUST-298</t>
  </si>
  <si>
    <t>6222749017</t>
  </si>
  <si>
    <t>ORD-1299</t>
  </si>
  <si>
    <t>Jun-25-2024</t>
  </si>
  <si>
    <t>CUST-299</t>
  </si>
  <si>
    <t>6269913445</t>
  </si>
  <si>
    <t>ORD-1300</t>
  </si>
  <si>
    <t>CUST-300</t>
  </si>
  <si>
    <t>9822880514</t>
  </si>
  <si>
    <t>ORD-1301</t>
  </si>
  <si>
    <t>Apr-28-2024</t>
  </si>
  <si>
    <t>CUST-301</t>
  </si>
  <si>
    <t>8902436255</t>
  </si>
  <si>
    <t>ORD-1302</t>
  </si>
  <si>
    <t>CUST-302</t>
  </si>
  <si>
    <t>priyasha@outlook.com</t>
  </si>
  <si>
    <t>9330728529</t>
  </si>
  <si>
    <t>ORD-1303</t>
  </si>
  <si>
    <t>Feb-18-2024</t>
  </si>
  <si>
    <t>CUST-303</t>
  </si>
  <si>
    <t>8484255247</t>
  </si>
  <si>
    <t>ORD-1304</t>
  </si>
  <si>
    <t>12/04/2024</t>
  </si>
  <si>
    <t>CUST-304</t>
  </si>
  <si>
    <t>ravishan@gmail.com</t>
  </si>
  <si>
    <t>6128924554</t>
  </si>
  <si>
    <t>ORD-1305</t>
  </si>
  <si>
    <t>26-Jan-2024</t>
  </si>
  <si>
    <t>CUST-305</t>
  </si>
  <si>
    <t>kavithan@yahoo.com</t>
  </si>
  <si>
    <t>6476608276</t>
  </si>
  <si>
    <t>ORD-1306</t>
  </si>
  <si>
    <t>11/06/2024</t>
  </si>
  <si>
    <t>CUST-306</t>
  </si>
  <si>
    <t>preethis@rediffmail.com</t>
  </si>
  <si>
    <t>7263505268</t>
  </si>
  <si>
    <t>ORD-1307</t>
  </si>
  <si>
    <t>CUST-307</t>
  </si>
  <si>
    <t>8125115553</t>
  </si>
  <si>
    <t>ORD-1308</t>
  </si>
  <si>
    <t>2024-01-22</t>
  </si>
  <si>
    <t>CUST-308</t>
  </si>
  <si>
    <t>8200148905</t>
  </si>
  <si>
    <t>ORD-1309</t>
  </si>
  <si>
    <t>CUST-309</t>
  </si>
  <si>
    <t>8899563887</t>
  </si>
  <si>
    <t>ORD-1310</t>
  </si>
  <si>
    <t>CUST-310</t>
  </si>
  <si>
    <t>preethis@yahoo.com</t>
  </si>
  <si>
    <t>9375735416</t>
  </si>
  <si>
    <t>ORD-1311</t>
  </si>
  <si>
    <t>CUST-311</t>
  </si>
  <si>
    <t>7286932005</t>
  </si>
  <si>
    <t>ORD-1312</t>
  </si>
  <si>
    <t>2024-06-12</t>
  </si>
  <si>
    <t>CUST-312</t>
  </si>
  <si>
    <t>9549682349</t>
  </si>
  <si>
    <t>Soth</t>
  </si>
  <si>
    <t>ORD-1313</t>
  </si>
  <si>
    <t>CUST-313</t>
  </si>
  <si>
    <t>dineshk@yahoo.com</t>
  </si>
  <si>
    <t>8855262673</t>
  </si>
  <si>
    <t>ORD-1314</t>
  </si>
  <si>
    <t>2024-01-24</t>
  </si>
  <si>
    <t>CUST-314</t>
  </si>
  <si>
    <t>9403103542</t>
  </si>
  <si>
    <t>ORD-1315</t>
  </si>
  <si>
    <t>19-Jun-2024</t>
  </si>
  <si>
    <t>CUST-315</t>
  </si>
  <si>
    <t>sitadevi@yahoo.com</t>
  </si>
  <si>
    <t>9272167208</t>
  </si>
  <si>
    <t>ORD-1316</t>
  </si>
  <si>
    <t>CUST-316</t>
  </si>
  <si>
    <t>8082025057</t>
  </si>
  <si>
    <t>ORD-1317</t>
  </si>
  <si>
    <t>CUST-317</t>
  </si>
  <si>
    <t>9592745045</t>
  </si>
  <si>
    <t>ORD-1318</t>
  </si>
  <si>
    <t>25/01/2024</t>
  </si>
  <si>
    <t>CUST-318</t>
  </si>
  <si>
    <t>7405061904</t>
  </si>
  <si>
    <t>ORD-1319</t>
  </si>
  <si>
    <t>12-Jan-2024</t>
  </si>
  <si>
    <t>CUST-319</t>
  </si>
  <si>
    <t>6437286028</t>
  </si>
  <si>
    <t>ORD-1320</t>
  </si>
  <si>
    <t>12/06/2024</t>
  </si>
  <si>
    <t>CUST-320</t>
  </si>
  <si>
    <t>9851638315</t>
  </si>
  <si>
    <t>ORD-1321</t>
  </si>
  <si>
    <t>2024-04-16</t>
  </si>
  <si>
    <t>CUST-321</t>
  </si>
  <si>
    <t>arjunmeh@yahoo.com</t>
  </si>
  <si>
    <t>7040451458</t>
  </si>
  <si>
    <t>ORD-1322</t>
  </si>
  <si>
    <t>31/05/2024</t>
  </si>
  <si>
    <t>CUST-322</t>
  </si>
  <si>
    <t>6705056722</t>
  </si>
  <si>
    <t>ORD-1323</t>
  </si>
  <si>
    <t>Jan-06-2024</t>
  </si>
  <si>
    <t>CUST-323</t>
  </si>
  <si>
    <t>8556293060</t>
  </si>
  <si>
    <t>ORD-1324</t>
  </si>
  <si>
    <t>Apr-05-2024</t>
  </si>
  <si>
    <t>CUST-324</t>
  </si>
  <si>
    <t>9958255823</t>
  </si>
  <si>
    <t>ORD-1325</t>
  </si>
  <si>
    <t>27/06/2024</t>
  </si>
  <si>
    <t>CUST-325</t>
  </si>
  <si>
    <t>7062638465</t>
  </si>
  <si>
    <t>ORD-1326</t>
  </si>
  <si>
    <t>CUST-326</t>
  </si>
  <si>
    <t>9425382217</t>
  </si>
  <si>
    <t>ORD-1327</t>
  </si>
  <si>
    <t>16-Feb-2024</t>
  </si>
  <si>
    <t>CUST-327</t>
  </si>
  <si>
    <t>aaravsha@yahoo.com</t>
  </si>
  <si>
    <t>6784816771</t>
  </si>
  <si>
    <t>ORD-1328</t>
  </si>
  <si>
    <t>CUST-328</t>
  </si>
  <si>
    <t>8233701335</t>
  </si>
  <si>
    <t>ORD-1329</t>
  </si>
  <si>
    <t>05-Feb-2024</t>
  </si>
  <si>
    <t>CUST-329</t>
  </si>
  <si>
    <t>anitaver@rediffmail.com</t>
  </si>
  <si>
    <t>9500620658</t>
  </si>
  <si>
    <t>ORD-1330</t>
  </si>
  <si>
    <t>01-May-2024</t>
  </si>
  <si>
    <t>CUST-330</t>
  </si>
  <si>
    <t>9736014761</t>
  </si>
  <si>
    <t>ORD-1331</t>
  </si>
  <si>
    <t>21-Apr-2024</t>
  </si>
  <si>
    <t>CUST-331</t>
  </si>
  <si>
    <t>6946507856</t>
  </si>
  <si>
    <t>ORD-1332</t>
  </si>
  <si>
    <t>CUST-332</t>
  </si>
  <si>
    <t>7461310436</t>
  </si>
  <si>
    <t>ORD-1333</t>
  </si>
  <si>
    <t>Jan-28-2024</t>
  </si>
  <si>
    <t>CUST-333</t>
  </si>
  <si>
    <t>7274847434</t>
  </si>
  <si>
    <t>ORD-1334</t>
  </si>
  <si>
    <t>09/02/2024</t>
  </si>
  <si>
    <t>CUST-334</t>
  </si>
  <si>
    <t>9717001674</t>
  </si>
  <si>
    <t>ORD-1335</t>
  </si>
  <si>
    <t>CUST-335</t>
  </si>
  <si>
    <t>9047655254</t>
  </si>
  <si>
    <t>ORD-1336</t>
  </si>
  <si>
    <t>15-Jan-2024</t>
  </si>
  <si>
    <t>CUST-336</t>
  </si>
  <si>
    <t>sitadevi@hotmail.com</t>
  </si>
  <si>
    <t>8213777230</t>
  </si>
  <si>
    <t>ORD-1337</t>
  </si>
  <si>
    <t>04-Apr-2024</t>
  </si>
  <si>
    <t>CUST-337</t>
  </si>
  <si>
    <t>preethis@gmail.com</t>
  </si>
  <si>
    <t>9901885221</t>
  </si>
  <si>
    <t>ORD-1338</t>
  </si>
  <si>
    <t>17-Jan-2024</t>
  </si>
  <si>
    <t>CUST-338</t>
  </si>
  <si>
    <t>6775946689</t>
  </si>
  <si>
    <t>ORD-1339</t>
  </si>
  <si>
    <t>CUST-339</t>
  </si>
  <si>
    <t>8293952330</t>
  </si>
  <si>
    <t>ORD-1340</t>
  </si>
  <si>
    <t>2024-02-25</t>
  </si>
  <si>
    <t>CUST-340</t>
  </si>
  <si>
    <t>7119588195</t>
  </si>
  <si>
    <t>ORD-1341</t>
  </si>
  <si>
    <t>17/04/2024</t>
  </si>
  <si>
    <t>CUST-341</t>
  </si>
  <si>
    <t>7062994474</t>
  </si>
  <si>
    <t>ORD-1342</t>
  </si>
  <si>
    <t>2024-05-14</t>
  </si>
  <si>
    <t>CUST-342</t>
  </si>
  <si>
    <t>8457400192</t>
  </si>
  <si>
    <t>ORD-1343</t>
  </si>
  <si>
    <t>Feb-06-2024</t>
  </si>
  <si>
    <t>CUST-343</t>
  </si>
  <si>
    <t>7589785135</t>
  </si>
  <si>
    <t>ORD-1344</t>
  </si>
  <si>
    <t>11-Jun-2024</t>
  </si>
  <si>
    <t>CUST-344</t>
  </si>
  <si>
    <t>6246580623</t>
  </si>
  <si>
    <t>ORD-1345</t>
  </si>
  <si>
    <t>29/03/2024</t>
  </si>
  <si>
    <t>CUST-345</t>
  </si>
  <si>
    <t>7926945825</t>
  </si>
  <si>
    <t>ORD-1346</t>
  </si>
  <si>
    <t>2024-03-16</t>
  </si>
  <si>
    <t>CUST-346</t>
  </si>
  <si>
    <t>9990492791</t>
  </si>
  <si>
    <t>ORD-1347</t>
  </si>
  <si>
    <t>CUST-347</t>
  </si>
  <si>
    <t>7607646915</t>
  </si>
  <si>
    <t>ORD-1348</t>
  </si>
  <si>
    <t>11/02/2024</t>
  </si>
  <si>
    <t>CUST-348</t>
  </si>
  <si>
    <t>8128446595</t>
  </si>
  <si>
    <t>ORD-1349</t>
  </si>
  <si>
    <t>CUST-349</t>
  </si>
  <si>
    <t>7842334552</t>
  </si>
  <si>
    <t>ORD-1350</t>
  </si>
  <si>
    <t>CUST-350</t>
  </si>
  <si>
    <t>6627963449</t>
  </si>
  <si>
    <t>ORD-1351</t>
  </si>
  <si>
    <t>CUST-351</t>
  </si>
  <si>
    <t>6910436665</t>
  </si>
  <si>
    <t>ORD-1352</t>
  </si>
  <si>
    <t>2024-03-01</t>
  </si>
  <si>
    <t>CUST-352</t>
  </si>
  <si>
    <t>8703933724</t>
  </si>
  <si>
    <t>ORD-1353</t>
  </si>
  <si>
    <t>CUST-353</t>
  </si>
  <si>
    <t>7799609152</t>
  </si>
  <si>
    <t>ORD-1354</t>
  </si>
  <si>
    <t>Apr-08-2024</t>
  </si>
  <si>
    <t>CUST-354</t>
  </si>
  <si>
    <t>716934628</t>
  </si>
  <si>
    <t>ORD-1355</t>
  </si>
  <si>
    <t>CUST-355</t>
  </si>
  <si>
    <t>786542187</t>
  </si>
  <si>
    <t>ORD-1356</t>
  </si>
  <si>
    <t>CUST-356</t>
  </si>
  <si>
    <t>8366002146</t>
  </si>
  <si>
    <t>ORD-1357</t>
  </si>
  <si>
    <t>CUST-357</t>
  </si>
  <si>
    <t>8952218016</t>
  </si>
  <si>
    <t>ORD-1358</t>
  </si>
  <si>
    <t>CUST-358</t>
  </si>
  <si>
    <t>ORD-1359</t>
  </si>
  <si>
    <t>Jan-27-2024</t>
  </si>
  <si>
    <t>CUST-359</t>
  </si>
  <si>
    <t>ravikuma@yahoo.com</t>
  </si>
  <si>
    <t>ORD-1360</t>
  </si>
  <si>
    <t>Feb-15-2024</t>
  </si>
  <si>
    <t>CUST-360</t>
  </si>
  <si>
    <t>9835910672</t>
  </si>
  <si>
    <t>ORD-1361</t>
  </si>
  <si>
    <t>Jan-29-2024</t>
  </si>
  <si>
    <t>CUST-361</t>
  </si>
  <si>
    <t>6547761887</t>
  </si>
  <si>
    <t>₹50</t>
  </si>
  <si>
    <t>ORD-1362</t>
  </si>
  <si>
    <t>May-28-2024</t>
  </si>
  <si>
    <t>CUST-362</t>
  </si>
  <si>
    <t>6012309827</t>
  </si>
  <si>
    <t>ORD-1363</t>
  </si>
  <si>
    <t>06-Apr-2024</t>
  </si>
  <si>
    <t>CUST-363</t>
  </si>
  <si>
    <t>8846478071</t>
  </si>
  <si>
    <t>ORD-1364</t>
  </si>
  <si>
    <t>29/01/2024</t>
  </si>
  <si>
    <t>CUST-364</t>
  </si>
  <si>
    <t>ORD-1365</t>
  </si>
  <si>
    <t>CUST-365</t>
  </si>
  <si>
    <t>8598813438</t>
  </si>
  <si>
    <t>ORD-1366</t>
  </si>
  <si>
    <t>20/03/2024</t>
  </si>
  <si>
    <t>CUST-366</t>
  </si>
  <si>
    <t>8448658676</t>
  </si>
  <si>
    <t>ORD-1367</t>
  </si>
  <si>
    <t>ORD-1368</t>
  </si>
  <si>
    <t>CUST-368</t>
  </si>
  <si>
    <t>7850707619</t>
  </si>
  <si>
    <t>ORD-1369</t>
  </si>
  <si>
    <t>2024-03-12</t>
  </si>
  <si>
    <t>CUST-369</t>
  </si>
  <si>
    <t>7107861448</t>
  </si>
  <si>
    <t>ORD-1370</t>
  </si>
  <si>
    <t>CUST-370</t>
  </si>
  <si>
    <t>6183290189</t>
  </si>
  <si>
    <t>ORD-1371</t>
  </si>
  <si>
    <t>22/01/2024</t>
  </si>
  <si>
    <t>CUST-371</t>
  </si>
  <si>
    <t>7411844389</t>
  </si>
  <si>
    <t>ORD-1372</t>
  </si>
  <si>
    <t>24-Feb-2024</t>
  </si>
  <si>
    <t>CUST-372</t>
  </si>
  <si>
    <t>7158988822</t>
  </si>
  <si>
    <t>ORD-1373</t>
  </si>
  <si>
    <t>Mar-30-2024</t>
  </si>
  <si>
    <t>CUST-373</t>
  </si>
  <si>
    <t>lakshmid@rediffmail.com</t>
  </si>
  <si>
    <t>8992261129</t>
  </si>
  <si>
    <t>ORD-1374</t>
  </si>
  <si>
    <t>CUST-374</t>
  </si>
  <si>
    <t>8484110392</t>
  </si>
  <si>
    <t>ORD-1375</t>
  </si>
  <si>
    <t>CUST-375</t>
  </si>
  <si>
    <t>8246997276</t>
  </si>
  <si>
    <t>ORD-1376</t>
  </si>
  <si>
    <t>CUST-376</t>
  </si>
  <si>
    <t>7907409402</t>
  </si>
  <si>
    <t>ORD-1377</t>
  </si>
  <si>
    <t>CUST-377</t>
  </si>
  <si>
    <t>arunshar@outlook.com</t>
  </si>
  <si>
    <t>9905575726</t>
  </si>
  <si>
    <t>ORD-1378</t>
  </si>
  <si>
    <t>CUST-378</t>
  </si>
  <si>
    <t>6680510314</t>
  </si>
  <si>
    <t>ORD-1379</t>
  </si>
  <si>
    <t>Jan-21-2024</t>
  </si>
  <si>
    <t>CUST-379</t>
  </si>
  <si>
    <t>8712279536</t>
  </si>
  <si>
    <t>ORD-1380</t>
  </si>
  <si>
    <t>CUST-380</t>
  </si>
  <si>
    <t>7552189659</t>
  </si>
  <si>
    <t>ORD-1381</t>
  </si>
  <si>
    <t>CUST-381</t>
  </si>
  <si>
    <t>6021537349</t>
  </si>
  <si>
    <t>ORD-1382</t>
  </si>
  <si>
    <t>21-Feb-2024</t>
  </si>
  <si>
    <t>CUST-382</t>
  </si>
  <si>
    <t>9474678928</t>
  </si>
  <si>
    <t>ORD-1383</t>
  </si>
  <si>
    <t>CUST-383</t>
  </si>
  <si>
    <t>9856428261</t>
  </si>
  <si>
    <t>ORD-1384</t>
  </si>
  <si>
    <t>01-Feb-2024</t>
  </si>
  <si>
    <t>CUST-384</t>
  </si>
  <si>
    <t>8437261880</t>
  </si>
  <si>
    <t>ORD-1385</t>
  </si>
  <si>
    <t>May-06-2024</t>
  </si>
  <si>
    <t>CUST-385</t>
  </si>
  <si>
    <t>6735039551</t>
  </si>
  <si>
    <t>ORD-1386</t>
  </si>
  <si>
    <t>2024-03-22</t>
  </si>
  <si>
    <t>CUST-386</t>
  </si>
  <si>
    <t>6202176030</t>
  </si>
  <si>
    <t>0%</t>
  </si>
  <si>
    <t>ORD-1387</t>
  </si>
  <si>
    <t>17-May-2024</t>
  </si>
  <si>
    <t>CUST-387</t>
  </si>
  <si>
    <t>6475897833</t>
  </si>
  <si>
    <t>ORD-1388</t>
  </si>
  <si>
    <t>Jun-18-2024</t>
  </si>
  <si>
    <t>CUST-388</t>
  </si>
  <si>
    <t>6394275305</t>
  </si>
  <si>
    <t>ORD-1389</t>
  </si>
  <si>
    <t>2024-05-11</t>
  </si>
  <si>
    <t>CUST-389</t>
  </si>
  <si>
    <t>lakshmid@outlook.com</t>
  </si>
  <si>
    <t>9641303241</t>
  </si>
  <si>
    <t>ORD-1390</t>
  </si>
  <si>
    <t>CUST-390</t>
  </si>
  <si>
    <t>8280135461</t>
  </si>
  <si>
    <t>ORD-1391</t>
  </si>
  <si>
    <t>May-15-2024</t>
  </si>
  <si>
    <t>CUST-391</t>
  </si>
  <si>
    <t>6477096961</t>
  </si>
  <si>
    <t>ORD-1392</t>
  </si>
  <si>
    <t>01-Jan-2024</t>
  </si>
  <si>
    <t>CUST-392</t>
  </si>
  <si>
    <t>9894108415</t>
  </si>
  <si>
    <t>ORD-1393</t>
  </si>
  <si>
    <t>05/05/2024</t>
  </si>
  <si>
    <t>CUST-393</t>
  </si>
  <si>
    <t>7248369039</t>
  </si>
  <si>
    <t>ORD-1394</t>
  </si>
  <si>
    <t>2024-01-29</t>
  </si>
  <si>
    <t>CUST-394</t>
  </si>
  <si>
    <t>6945990607</t>
  </si>
  <si>
    <t>12%</t>
  </si>
  <si>
    <t>ORD-1395</t>
  </si>
  <si>
    <t>Apr-10-2024</t>
  </si>
  <si>
    <t>CUST-395</t>
  </si>
  <si>
    <t>8233716848</t>
  </si>
  <si>
    <t>ORD-1396</t>
  </si>
  <si>
    <t>CUST-396</t>
  </si>
  <si>
    <t>8097517915</t>
  </si>
  <si>
    <t>ORD-1397</t>
  </si>
  <si>
    <t>Jan-09-2024</t>
  </si>
  <si>
    <t>CUST-397</t>
  </si>
  <si>
    <t>7814895510</t>
  </si>
  <si>
    <t>ORD-1398</t>
  </si>
  <si>
    <t>Feb-16-2024</t>
  </si>
  <si>
    <t>CUST-398</t>
  </si>
  <si>
    <t>8981280198</t>
  </si>
  <si>
    <t>ORD-1399</t>
  </si>
  <si>
    <t>2024-06-07</t>
  </si>
  <si>
    <t>CUST-399</t>
  </si>
  <si>
    <t>7987744439</t>
  </si>
  <si>
    <t>ORD-1400</t>
  </si>
  <si>
    <t>CUST-400</t>
  </si>
  <si>
    <t>deepikar@yahoo.com</t>
  </si>
  <si>
    <t>6027705952</t>
  </si>
  <si>
    <t>ORD-1401</t>
  </si>
  <si>
    <t>Mar-07-2024</t>
  </si>
  <si>
    <t>CUST-401</t>
  </si>
  <si>
    <t>6093019873</t>
  </si>
  <si>
    <t>ORD-1402</t>
  </si>
  <si>
    <t>2024-01-08</t>
  </si>
  <si>
    <t>CUST-402</t>
  </si>
  <si>
    <t>6146387689</t>
  </si>
  <si>
    <t>ORD-1403</t>
  </si>
  <si>
    <t>27/04/2024</t>
  </si>
  <si>
    <t>CUST-403</t>
  </si>
  <si>
    <t>9604875522</t>
  </si>
  <si>
    <t>ORD-1404</t>
  </si>
  <si>
    <t>May-07-2024</t>
  </si>
  <si>
    <t>CUST-404</t>
  </si>
  <si>
    <t>9146695115</t>
  </si>
  <si>
    <t>ORD-1405</t>
  </si>
  <si>
    <t>06/04/2024</t>
  </si>
  <si>
    <t>CUST-405</t>
  </si>
  <si>
    <t>8109271409</t>
  </si>
  <si>
    <t>ORD-1406</t>
  </si>
  <si>
    <t>CUST-406</t>
  </si>
  <si>
    <t>7531092238</t>
  </si>
  <si>
    <t>ORD-1407</t>
  </si>
  <si>
    <t>CUST-407</t>
  </si>
  <si>
    <t>8147685544</t>
  </si>
  <si>
    <t>ORD-1408</t>
  </si>
  <si>
    <t>CUST-408</t>
  </si>
  <si>
    <t>9288116238</t>
  </si>
  <si>
    <t>ORD-1409</t>
  </si>
  <si>
    <t>CUST-409</t>
  </si>
  <si>
    <t>8372952079</t>
  </si>
  <si>
    <t>ORD-1410</t>
  </si>
  <si>
    <t>15-Apr-2024</t>
  </si>
  <si>
    <t>CUST-410</t>
  </si>
  <si>
    <t>venkatre@gmail.com</t>
  </si>
  <si>
    <t>6244313440</t>
  </si>
  <si>
    <t>ORD-1411</t>
  </si>
  <si>
    <t>2024-03-18</t>
  </si>
  <si>
    <t>CUST-411</t>
  </si>
  <si>
    <t>9835313369</t>
  </si>
  <si>
    <t>ORD-1412</t>
  </si>
  <si>
    <t>Jun-27-2024</t>
  </si>
  <si>
    <t>CUST-412</t>
  </si>
  <si>
    <t>618122712</t>
  </si>
  <si>
    <t>ORD-1413</t>
  </si>
  <si>
    <t>CUST-413</t>
  </si>
  <si>
    <t>9252373514</t>
  </si>
  <si>
    <t>ORD-1414</t>
  </si>
  <si>
    <t>07/03/2024</t>
  </si>
  <si>
    <t>CUST-414</t>
  </si>
  <si>
    <t>priyasha@hotmail.com</t>
  </si>
  <si>
    <t>6566388979</t>
  </si>
  <si>
    <t>ORD-1415</t>
  </si>
  <si>
    <t>28-Apr-2024</t>
  </si>
  <si>
    <t>CUST-415</t>
  </si>
  <si>
    <t>ORD-1416</t>
  </si>
  <si>
    <t>29-Feb-2024</t>
  </si>
  <si>
    <t>CUST-416</t>
  </si>
  <si>
    <t>8490611661</t>
  </si>
  <si>
    <t>ORD-1417</t>
  </si>
  <si>
    <t>Jan-19-2024</t>
  </si>
  <si>
    <t>CUST-417</t>
  </si>
  <si>
    <t>ORD-1418</t>
  </si>
  <si>
    <t>Feb-25-2024</t>
  </si>
  <si>
    <t>CUST-418</t>
  </si>
  <si>
    <t>9275392865</t>
  </si>
  <si>
    <t>ORD-1419</t>
  </si>
  <si>
    <t>2024-03-03</t>
  </si>
  <si>
    <t>CUST-419</t>
  </si>
  <si>
    <t>6495711899</t>
  </si>
  <si>
    <t>ORD-1420</t>
  </si>
  <si>
    <t>2024-06-04</t>
  </si>
  <si>
    <t>CUST-420</t>
  </si>
  <si>
    <t>7808278260</t>
  </si>
  <si>
    <t>ORD-1421</t>
  </si>
  <si>
    <t>May-11-2024</t>
  </si>
  <si>
    <t>CUST-421</t>
  </si>
  <si>
    <t>7036955025</t>
  </si>
  <si>
    <t>ORD-1422</t>
  </si>
  <si>
    <t>CUST-422</t>
  </si>
  <si>
    <t>rahulgup@rediffmail.com</t>
  </si>
  <si>
    <t>7947884297</t>
  </si>
  <si>
    <t>ORD-1423</t>
  </si>
  <si>
    <t>2024-04-20</t>
  </si>
  <si>
    <t>CUST-423</t>
  </si>
  <si>
    <t>6711214547</t>
  </si>
  <si>
    <t>ORD-1424</t>
  </si>
  <si>
    <t>17/05/2024</t>
  </si>
  <si>
    <t>CUST-424</t>
  </si>
  <si>
    <t>8453135685</t>
  </si>
  <si>
    <t>ORD-1425</t>
  </si>
  <si>
    <t>CUST-425</t>
  </si>
  <si>
    <t>8886567960</t>
  </si>
  <si>
    <t>ORD-1426</t>
  </si>
  <si>
    <t>Mar-08-2024</t>
  </si>
  <si>
    <t>CUST-426</t>
  </si>
  <si>
    <t>6852864391</t>
  </si>
  <si>
    <t>ORD-1427</t>
  </si>
  <si>
    <t>Mar-15-2024</t>
  </si>
  <si>
    <t>CUST-427</t>
  </si>
  <si>
    <t>rohityad@hotmail.com</t>
  </si>
  <si>
    <t>7268807306</t>
  </si>
  <si>
    <t>ORD-1428</t>
  </si>
  <si>
    <t>24/06/2024</t>
  </si>
  <si>
    <t>CUST-428</t>
  </si>
  <si>
    <t>9362220210</t>
  </si>
  <si>
    <t>ORD-1429</t>
  </si>
  <si>
    <t>CUST-429</t>
  </si>
  <si>
    <t>8318282966</t>
  </si>
  <si>
    <t>ORD-1430</t>
  </si>
  <si>
    <t>Mar-25-2024</t>
  </si>
  <si>
    <t>CUST-430</t>
  </si>
  <si>
    <t>610752650</t>
  </si>
  <si>
    <t>ORD-1431</t>
  </si>
  <si>
    <t>CUST-431</t>
  </si>
  <si>
    <t>6652180311</t>
  </si>
  <si>
    <t>ORD-1432</t>
  </si>
  <si>
    <t>2024-05-03</t>
  </si>
  <si>
    <t>CUST-432</t>
  </si>
  <si>
    <t>deepakri@rediffmail.com</t>
  </si>
  <si>
    <t>8134748605</t>
  </si>
  <si>
    <t>ORD-1433</t>
  </si>
  <si>
    <t>CUST-433</t>
  </si>
  <si>
    <t>9105400552</t>
  </si>
  <si>
    <t>ORD-1434</t>
  </si>
  <si>
    <t>11-May-2024</t>
  </si>
  <si>
    <t>9250803652</t>
  </si>
  <si>
    <t>ORD-1435</t>
  </si>
  <si>
    <t>ravikuma@outlook.com</t>
  </si>
  <si>
    <t>7246385682</t>
  </si>
  <si>
    <t>ORD-1436</t>
  </si>
  <si>
    <t>CUST-436</t>
  </si>
  <si>
    <t>8553162493</t>
  </si>
  <si>
    <t>ORD-1437</t>
  </si>
  <si>
    <t>27/01/2024</t>
  </si>
  <si>
    <t>CUST-437</t>
  </si>
  <si>
    <t>user@outlook.com</t>
  </si>
  <si>
    <t>8243337877</t>
  </si>
  <si>
    <t>ORD-1438</t>
  </si>
  <si>
    <t>23-Mar-2024</t>
  </si>
  <si>
    <t>CUST-438</t>
  </si>
  <si>
    <t>7827103713</t>
  </si>
  <si>
    <t>ORD-1439</t>
  </si>
  <si>
    <t>Apr-23-2024</t>
  </si>
  <si>
    <t>CUST-439</t>
  </si>
  <si>
    <t>7870086183</t>
  </si>
  <si>
    <t>ORD-1440</t>
  </si>
  <si>
    <t>CUST-440</t>
  </si>
  <si>
    <t>aaravsha@gmail.com</t>
  </si>
  <si>
    <t>7710659735</t>
  </si>
  <si>
    <t>ORD-1441</t>
  </si>
  <si>
    <t>CUST-441</t>
  </si>
  <si>
    <t>6267685864</t>
  </si>
  <si>
    <t>ORD-1442</t>
  </si>
  <si>
    <t>17/01/2024</t>
  </si>
  <si>
    <t>6741247904</t>
  </si>
  <si>
    <t>ORD-1443</t>
  </si>
  <si>
    <t>2024-02-17</t>
  </si>
  <si>
    <t>CUST-443</t>
  </si>
  <si>
    <t>6934266427</t>
  </si>
  <si>
    <t>ORD-1444</t>
  </si>
  <si>
    <t>21/02/2024</t>
  </si>
  <si>
    <t>CUST-444</t>
  </si>
  <si>
    <t>8104042880</t>
  </si>
  <si>
    <t>ORD-1445</t>
  </si>
  <si>
    <t>2024-05-21</t>
  </si>
  <si>
    <t>CUST-445</t>
  </si>
  <si>
    <t>6135068330</t>
  </si>
  <si>
    <t>ORD-1446</t>
  </si>
  <si>
    <t>19/03/2024</t>
  </si>
  <si>
    <t>CUST-446</t>
  </si>
  <si>
    <t>8648329782</t>
  </si>
  <si>
    <t>ORD-1447</t>
  </si>
  <si>
    <t>May-27-2024</t>
  </si>
  <si>
    <t>CUST-447</t>
  </si>
  <si>
    <t>9807897578</t>
  </si>
  <si>
    <t>ORD-1448</t>
  </si>
  <si>
    <t>21/01/2024</t>
  </si>
  <si>
    <t>CUST-448</t>
  </si>
  <si>
    <t>6662017406</t>
  </si>
  <si>
    <t>ORD-1449</t>
  </si>
  <si>
    <t>Jun-21-2024</t>
  </si>
  <si>
    <t>CUST-449</t>
  </si>
  <si>
    <t>9180118830</t>
  </si>
  <si>
    <t>ORD-1450</t>
  </si>
  <si>
    <t>16/06/2024</t>
  </si>
  <si>
    <t>CUST-450</t>
  </si>
  <si>
    <t>saranyam@outlook.com</t>
  </si>
  <si>
    <t>8064384875</t>
  </si>
  <si>
    <t>ORD-1451</t>
  </si>
  <si>
    <t>May-04-2024</t>
  </si>
  <si>
    <t>CUST-451</t>
  </si>
  <si>
    <t>8723512559</t>
  </si>
  <si>
    <t>ORD-1452</t>
  </si>
  <si>
    <t>CUST-452</t>
  </si>
  <si>
    <t>8102907940</t>
  </si>
  <si>
    <t>ORD-1453</t>
  </si>
  <si>
    <t>7179811350</t>
  </si>
  <si>
    <t>ORD-1454</t>
  </si>
  <si>
    <t>CUST-454</t>
  </si>
  <si>
    <t>aaravsha@outlook.com</t>
  </si>
  <si>
    <t>6340519100</t>
  </si>
  <si>
    <t>ORD-1455</t>
  </si>
  <si>
    <t>Jun-03-2024</t>
  </si>
  <si>
    <t>CUST-455</t>
  </si>
  <si>
    <t>6080397265</t>
  </si>
  <si>
    <t>ORD-1456</t>
  </si>
  <si>
    <t>CUST-456</t>
  </si>
  <si>
    <t>9669431030</t>
  </si>
  <si>
    <t>ORD-1457</t>
  </si>
  <si>
    <t>08/06/2024</t>
  </si>
  <si>
    <t>CUST-457</t>
  </si>
  <si>
    <t>6100538078</t>
  </si>
  <si>
    <t>ORD-1458</t>
  </si>
  <si>
    <t>CUST-458</t>
  </si>
  <si>
    <t>8707013363</t>
  </si>
  <si>
    <t>ORD-1459</t>
  </si>
  <si>
    <t>CUST-459</t>
  </si>
  <si>
    <t>8662537389</t>
  </si>
  <si>
    <t>₹12,000</t>
  </si>
  <si>
    <t>ORD-1460</t>
  </si>
  <si>
    <t>02/03/2024</t>
  </si>
  <si>
    <t>CUST-460</t>
  </si>
  <si>
    <t>9841614871</t>
  </si>
  <si>
    <t>ORD-1461</t>
  </si>
  <si>
    <t>May-13-2024</t>
  </si>
  <si>
    <t>CUST-461</t>
  </si>
  <si>
    <t>priyasha@gmail.com</t>
  </si>
  <si>
    <t>9793989568</t>
  </si>
  <si>
    <t>ORD-1462</t>
  </si>
  <si>
    <t>CUST-462</t>
  </si>
  <si>
    <t>6725649626</t>
  </si>
  <si>
    <t>ORD-1463</t>
  </si>
  <si>
    <t>CUST-463</t>
  </si>
  <si>
    <t>799099179</t>
  </si>
  <si>
    <t>ORD-1464</t>
  </si>
  <si>
    <t>07-Feb-2024</t>
  </si>
  <si>
    <t>CUST-464</t>
  </si>
  <si>
    <t>7743089433</t>
  </si>
  <si>
    <t>ORD-1465</t>
  </si>
  <si>
    <t>CUST-465</t>
  </si>
  <si>
    <t>6513641216</t>
  </si>
  <si>
    <t>ORD-1466</t>
  </si>
  <si>
    <t>Jan-15-2024</t>
  </si>
  <si>
    <t>CUST-466</t>
  </si>
  <si>
    <t>6784624638</t>
  </si>
  <si>
    <t>ORD-1467</t>
  </si>
  <si>
    <t>CUST-467</t>
  </si>
  <si>
    <t>6358141037</t>
  </si>
  <si>
    <t>ORD-1468</t>
  </si>
  <si>
    <t>CUST-468</t>
  </si>
  <si>
    <t>7465194957</t>
  </si>
  <si>
    <t>ORD-1469</t>
  </si>
  <si>
    <t>CUST-469</t>
  </si>
  <si>
    <t>7374457648</t>
  </si>
  <si>
    <t>ORD-1470</t>
  </si>
  <si>
    <t>2024-02-28</t>
  </si>
  <si>
    <t>CUST-470</t>
  </si>
  <si>
    <t>9121194116</t>
  </si>
  <si>
    <t>ORD-1471</t>
  </si>
  <si>
    <t>CUST-471</t>
  </si>
  <si>
    <t>6856640430</t>
  </si>
  <si>
    <t>ORD-1472</t>
  </si>
  <si>
    <t>CUST-472</t>
  </si>
  <si>
    <t>8026541115</t>
  </si>
  <si>
    <t>ORD-1473</t>
  </si>
  <si>
    <t>CUST-473</t>
  </si>
  <si>
    <t>7979136775</t>
  </si>
  <si>
    <t>ORD-1474</t>
  </si>
  <si>
    <t>May-17-2024</t>
  </si>
  <si>
    <t>CUST-474</t>
  </si>
  <si>
    <t>8427974255</t>
  </si>
  <si>
    <t>ORD-1475</t>
  </si>
  <si>
    <t>19/01/2024</t>
  </si>
  <si>
    <t>CUST-475</t>
  </si>
  <si>
    <t>9175950536</t>
  </si>
  <si>
    <t>ORD-1476</t>
  </si>
  <si>
    <t>CUST-476</t>
  </si>
  <si>
    <t>ORD-1477</t>
  </si>
  <si>
    <t>Jan-07-2024</t>
  </si>
  <si>
    <t>CUST-477</t>
  </si>
  <si>
    <t>7714457336</t>
  </si>
  <si>
    <t>ORD-1478</t>
  </si>
  <si>
    <t>2024-05-02</t>
  </si>
  <si>
    <t>CUST-478</t>
  </si>
  <si>
    <t>ORD-1479</t>
  </si>
  <si>
    <t>CUST-479</t>
  </si>
  <si>
    <t>6167464267</t>
  </si>
  <si>
    <t>ORD-1480</t>
  </si>
  <si>
    <t>Mar-19-2024</t>
  </si>
  <si>
    <t>CUST-480</t>
  </si>
  <si>
    <t>613867393</t>
  </si>
  <si>
    <t xml:space="preserve">  🧹  DATA CLEANING STEPS — Step-by-Step Guide with Formulas, Before/After Examples &amp; Mini Exercises</t>
  </si>
  <si>
    <t xml:space="preserve">  STEP 01  —  REMOVE DUPLICATES</t>
  </si>
  <si>
    <t>Telugu: Data lo same Order_ID rendu sarlu vastundi. Idi totals ni wrongly double chestundi. COUNTIF formula use chesi flag cheyyi, tarvata Data → Remove Duplicates use cheyyandi.</t>
  </si>
  <si>
    <t>Step</t>
  </si>
  <si>
    <t>Action</t>
  </si>
  <si>
    <t>Formula / Method</t>
  </si>
  <si>
    <t>Expected Result</t>
  </si>
  <si>
    <t>Add helper column 'Dup_Flag' in column W</t>
  </si>
  <si>
    <t>Shows DUPLICATE for repeated Order_IDs</t>
  </si>
  <si>
    <t>2</t>
  </si>
  <si>
    <t>Filter column W for 'DUPLICATE'</t>
  </si>
  <si>
    <t>Data → Filter → Filter by 'DUPLICATE'</t>
  </si>
  <si>
    <t>All duplicate rows visible</t>
  </si>
  <si>
    <t>3</t>
  </si>
  <si>
    <t>Review and delete duplicates</t>
  </si>
  <si>
    <t>Select rows → Right click → Delete Row</t>
  </si>
  <si>
    <t>~20 duplicate rows removed</t>
  </si>
  <si>
    <t>4</t>
  </si>
  <si>
    <t>Alternative: Use Excel built-in</t>
  </si>
  <si>
    <t>Data tab → Remove Duplicates → Select 'Order_ID' → OK</t>
  </si>
  <si>
    <t>Excel removes dupes automatically</t>
  </si>
  <si>
    <t>5</t>
  </si>
  <si>
    <t>Verify count after removal</t>
  </si>
  <si>
    <t>Should equal 0 duplicates remaining</t>
  </si>
  <si>
    <t>✏️  MINI EXERCISE: Open Raw_Data sheet. Add column W named 'Dup_Flag'. Write the formula. Count how many duplicates exist. Record the number.</t>
  </si>
  <si>
    <t xml:space="preserve">  STEP 02  —  TRIM &amp; CLEAN — Remove Extra Spaces &amp; Hidden Characters</t>
  </si>
  <si>
    <t>Function</t>
  </si>
  <si>
    <t>Syntax</t>
  </si>
  <si>
    <t>Before</t>
  </si>
  <si>
    <t>After</t>
  </si>
  <si>
    <t>Apply To</t>
  </si>
  <si>
    <t>TRIM</t>
  </si>
  <si>
    <t>Sneha Reddy</t>
  </si>
  <si>
    <t>Customer_Name, City, Product_Name</t>
  </si>
  <si>
    <t>CLEAN</t>
  </si>
  <si>
    <t>Ravi
Kumar</t>
  </si>
  <si>
    <t>Data imported from other systems</t>
  </si>
  <si>
    <t>TRIM+CLEAN</t>
  </si>
  <si>
    <t xml:space="preserve">  AMIT	SINGH  </t>
  </si>
  <si>
    <t>Use both together always</t>
  </si>
  <si>
    <t>With PROPER</t>
  </si>
  <si>
    <t xml:space="preserve">  amit singh  </t>
  </si>
  <si>
    <t>Amit Singh</t>
  </si>
  <si>
    <t>Best practice for names</t>
  </si>
  <si>
    <t>✏️  MINI EXERCISE: Create Clean_Data sheet. Copy headers. In C3 write =PROPER(TRIM(CLEAN(Raw_Data!C3))). Copy down all 500 rows. Count how many changed.</t>
  </si>
  <si>
    <t xml:space="preserve">  STEP 03  —  HANDLE MISSING VALUES (BLANKS)</t>
  </si>
  <si>
    <t>Column</t>
  </si>
  <si>
    <t>Detection Formula</t>
  </si>
  <si>
    <t>Fill Strategy</t>
  </si>
  <si>
    <t>Formula</t>
  </si>
  <si>
    <t>Fill with 'Unknown'</t>
  </si>
  <si>
    <t>Flag as 'MISSING'</t>
  </si>
  <si>
    <t>Fill 'Not Provided'</t>
  </si>
  <si>
    <t>Fill 0 &amp; Flag</t>
  </si>
  <si>
    <t>Flag 'Check Required'</t>
  </si>
  <si>
    <t>✏️  MINI EXERCISE: Use COUNTBLANK() to create a data quality summary — count blanks in each of the 22 columns and list them in a table.</t>
  </si>
  <si>
    <t xml:space="preserve">  STEP 04  —  FIX DATE FORMATS — Standardize to DD-MMM-YYYY</t>
  </si>
  <si>
    <t>Issue</t>
  </si>
  <si>
    <t>Example Input</t>
  </si>
  <si>
    <t>Problem</t>
  </si>
  <si>
    <t>Fix Formula</t>
  </si>
  <si>
    <t>Clean Output</t>
  </si>
  <si>
    <t>Mixed separators</t>
  </si>
  <si>
    <t>DD/MM or MM/DD ambiguous</t>
  </si>
  <si>
    <t>ISO format</t>
  </si>
  <si>
    <t>2024-01-15</t>
  </si>
  <si>
    <t>Text not recognized</t>
  </si>
  <si>
    <t>US format</t>
  </si>
  <si>
    <t>Month-Day-Year order</t>
  </si>
  <si>
    <t>Extract Day</t>
  </si>
  <si>
    <t>Need Day number</t>
  </si>
  <si>
    <t>15</t>
  </si>
  <si>
    <t>Extract Month Name</t>
  </si>
  <si>
    <t>Need Month name</t>
  </si>
  <si>
    <t>January</t>
  </si>
  <si>
    <t>Extract Year</t>
  </si>
  <si>
    <t>Need Year</t>
  </si>
  <si>
    <t>2024</t>
  </si>
  <si>
    <t>Day of Week</t>
  </si>
  <si>
    <t>Need weekday</t>
  </si>
  <si>
    <t>Monday</t>
  </si>
  <si>
    <t>✏️  MINI EXERCISE: Add 3 new columns to Clean_Data: Order_Day, Order_Month, Order_Year using DAY(), MONTH(), YEAR() functions on the cleaned date column.</t>
  </si>
  <si>
    <t xml:space="preserve">  STEP 05  —  STANDARDIZE CATEGORIES &amp; TEXT FIELDS</t>
  </si>
  <si>
    <t>Wrong casing/typo</t>
  </si>
  <si>
    <t>Inconsistent</t>
  </si>
  <si>
    <t>Typos/wrong values</t>
  </si>
  <si>
    <t>NO / N / 0</t>
  </si>
  <si>
    <t>Mixed case</t>
  </si>
  <si>
    <t>✏️  MINI EXERCISE: Write a COUNTIF formula to count how many rows have 'Check Required' in the cleaned Category column. What % of total is this?</t>
  </si>
  <si>
    <t xml:space="preserve">  STEP 06  —  FIX INVALID NUMBERS (Quantity, Discount, Price)</t>
  </si>
  <si>
    <t>Validation Rule</t>
  </si>
  <si>
    <t>Negative values &amp; text</t>
  </si>
  <si>
    <t>Must be 1–100 whole number</t>
  </si>
  <si>
    <t>Values &gt; 80 or negative</t>
  </si>
  <si>
    <t>Must be 0–80 decimal</t>
  </si>
  <si>
    <t>Blank or text format</t>
  </si>
  <si>
    <t>Must be positive number</t>
  </si>
  <si>
    <t>Wrong calculation</t>
  </si>
  <si>
    <t>Recalculate from parts</t>
  </si>
  <si>
    <t>✏️  MINI EXERCISE: Count negative Quantity rows: =COUNTIF(O3:O502,"&lt;0"). Count Discount &gt; 80: =COUNTIF(R3:R502,"&gt;80"). These are your 'critical' errors.</t>
  </si>
  <si>
    <t xml:space="preserve">  📋  DATA CLEANING SUMMARY — Issues Found &amp; Fixed</t>
  </si>
  <si>
    <t>#</t>
  </si>
  <si>
    <t>Issue Type</t>
  </si>
  <si>
    <t>Column(s)</t>
  </si>
  <si>
    <t>Count (Approx)</t>
  </si>
  <si>
    <t>Formula Used</t>
  </si>
  <si>
    <t>Status</t>
  </si>
  <si>
    <t>Duplicate Records</t>
  </si>
  <si>
    <t>~20</t>
  </si>
  <si>
    <t>Fix with Remove Duplicates</t>
  </si>
  <si>
    <t>Extra Spaces</t>
  </si>
  <si>
    <t>Customer_Name, City</t>
  </si>
  <si>
    <t>~45</t>
  </si>
  <si>
    <t>Fixed with TRIM+CLEAN</t>
  </si>
  <si>
    <t>Wrong Casing</t>
  </si>
  <si>
    <t>~80</t>
  </si>
  <si>
    <t>Fixed with PROPER</t>
  </si>
  <si>
    <t>Blank Customer Names</t>
  </si>
  <si>
    <t>~15</t>
  </si>
  <si>
    <t>Filled with 'Unknown'</t>
  </si>
  <si>
    <t>Blank Phone Numbers</t>
  </si>
  <si>
    <t>~25</t>
  </si>
  <si>
    <t>Flagged as 'Not Provided'</t>
  </si>
  <si>
    <t>6</t>
  </si>
  <si>
    <t>Invalid Date Formats</t>
  </si>
  <si>
    <t>~30</t>
  </si>
  <si>
    <t>Standardized to DD-MMM-YYYY</t>
  </si>
  <si>
    <t>7</t>
  </si>
  <si>
    <t>Invalid Categories</t>
  </si>
  <si>
    <t>SWITCH/IF on LOWER(TRIM)</t>
  </si>
  <si>
    <t>Standardized categories</t>
  </si>
  <si>
    <t>8</t>
  </si>
  <si>
    <t>Negative Quantities</t>
  </si>
  <si>
    <t>Flagged &amp; corrected</t>
  </si>
  <si>
    <t>9</t>
  </si>
  <si>
    <t>Discount &gt; 80%</t>
  </si>
  <si>
    <t>~10</t>
  </si>
  <si>
    <t>Set to 0 for review</t>
  </si>
  <si>
    <t>10</t>
  </si>
  <si>
    <t>Invalid Region Values</t>
  </si>
  <si>
    <t>SWITCH on LOWER(TRIM)</t>
  </si>
  <si>
    <t>Standardized to 4 valid values</t>
  </si>
  <si>
    <t>11</t>
  </si>
  <si>
    <t>Blank Product Names</t>
  </si>
  <si>
    <t>Flagged for review</t>
  </si>
  <si>
    <t>12</t>
  </si>
  <si>
    <t>Text in Number columns</t>
  </si>
  <si>
    <t>Quantity, Price</t>
  </si>
  <si>
    <t>~12</t>
  </si>
  <si>
    <t>Converted to numbers</t>
  </si>
  <si>
    <t xml:space="preserve">  ✅  CLEAN DATA — Processed &amp; Standardized Dataset  |  Ready for Analysis</t>
  </si>
  <si>
    <t>2024-04-07</t>
  </si>
  <si>
    <t>Arjun Mehta</t>
  </si>
  <si>
    <t>Nescafe Classic 200G</t>
  </si>
  <si>
    <t>2024-04-02</t>
  </si>
  <si>
    <t>preethi@gmail.com</t>
  </si>
  <si>
    <t>2024-03-02</t>
  </si>
  <si>
    <t>Rekha Pandey</t>
  </si>
  <si>
    <t>Not Provided</t>
  </si>
  <si>
    <t>Oneplus Nord Ce 3</t>
  </si>
  <si>
    <t>Oneplus</t>
  </si>
  <si>
    <t>2024-06-23</t>
  </si>
  <si>
    <t>Dinesh K</t>
  </si>
  <si>
    <t>2024-05-04</t>
  </si>
  <si>
    <t>Swati Gupta</t>
  </si>
  <si>
    <t>2024-06-21</t>
  </si>
  <si>
    <t>Nisha Patel</t>
  </si>
  <si>
    <t>2024-05-19</t>
  </si>
  <si>
    <t>Rashmi Verma</t>
  </si>
  <si>
    <t>Arun Sharma</t>
  </si>
  <si>
    <t>Hp Pavilion Laptop</t>
  </si>
  <si>
    <t>Hp</t>
  </si>
  <si>
    <t>Iphone 14 Pro</t>
  </si>
  <si>
    <t>2024-03-05</t>
  </si>
  <si>
    <t>Suresh Babu</t>
  </si>
  <si>
    <t>2024-04-25</t>
  </si>
  <si>
    <t>Levi'S 511 Jeans</t>
  </si>
  <si>
    <t>Levi'S</t>
  </si>
  <si>
    <t>2024-06-14</t>
  </si>
  <si>
    <t>Padma Lakshmi</t>
  </si>
  <si>
    <t>2024-04-14</t>
  </si>
  <si>
    <t>Deepa Krishnan</t>
  </si>
  <si>
    <t>Syska Led Bulb Pack</t>
  </si>
  <si>
    <t>2024-04-03</t>
  </si>
  <si>
    <t>2024-04-01</t>
  </si>
  <si>
    <t>Priya Sharma</t>
  </si>
  <si>
    <t>Bangalor</t>
  </si>
  <si>
    <t>Samsung Tv 43"</t>
  </si>
  <si>
    <t>2024-04-04</t>
  </si>
  <si>
    <t>Amul Butter 500G</t>
  </si>
  <si>
    <t>2024-04-10</t>
  </si>
  <si>
    <t>2024-03-25</t>
  </si>
  <si>
    <t>Sita Devi</t>
  </si>
  <si>
    <t>2024-01-17</t>
  </si>
  <si>
    <t>Deepika Rao</t>
  </si>
  <si>
    <t>2024-01-10</t>
  </si>
  <si>
    <t>Unknown</t>
  </si>
  <si>
    <t>2024-05-24</t>
  </si>
  <si>
    <t>Lg Double Door Refrigerator</t>
  </si>
  <si>
    <t>Lg</t>
  </si>
  <si>
    <t>2024-05-18</t>
  </si>
  <si>
    <t>2024-02-21</t>
  </si>
  <si>
    <t>2024-03-24</t>
  </si>
  <si>
    <t>2024-01-18</t>
  </si>
  <si>
    <t>2024-01-02</t>
  </si>
  <si>
    <t>Check Required</t>
  </si>
  <si>
    <t>Manish Tiwari</t>
  </si>
  <si>
    <t>2024-06-28</t>
  </si>
  <si>
    <t>mohan@gmail.com</t>
  </si>
  <si>
    <t>Vip Trolley Bag</t>
  </si>
  <si>
    <t>Vip</t>
  </si>
  <si>
    <t>2024-04-24</t>
  </si>
  <si>
    <t>2024-05-17</t>
  </si>
  <si>
    <t>Aarav Shah</t>
  </si>
  <si>
    <t>Kavitha N</t>
  </si>
  <si>
    <t>aarav@gmail.com</t>
  </si>
  <si>
    <t>2024-02-23</t>
  </si>
  <si>
    <t>Neha Singh</t>
  </si>
  <si>
    <t>2024-01-13</t>
  </si>
  <si>
    <t>2024-06-27</t>
  </si>
  <si>
    <t>Manoj Kumar</t>
  </si>
  <si>
    <t>2024-03-06</t>
  </si>
  <si>
    <t>2024-04-27</t>
  </si>
  <si>
    <t>Pooja Iyer</t>
  </si>
  <si>
    <t>2024-05-08</t>
  </si>
  <si>
    <t>2024-03-14</t>
  </si>
  <si>
    <t>2024-04-23</t>
  </si>
  <si>
    <t>2024-01-14</t>
  </si>
  <si>
    <t>2024-03-27</t>
  </si>
  <si>
    <t>Kiran Kumar</t>
  </si>
  <si>
    <t>2024-04-09</t>
  </si>
  <si>
    <t>2024-06-25</t>
  </si>
  <si>
    <t>2024-04-05</t>
  </si>
  <si>
    <t>vijay@gmail.com</t>
  </si>
  <si>
    <t>2024-02-03</t>
  </si>
  <si>
    <t>2024-01-06</t>
  </si>
  <si>
    <t>rohit@gmail.com</t>
  </si>
  <si>
    <t>2024-06-13</t>
  </si>
  <si>
    <t>2024-03-10</t>
  </si>
  <si>
    <t>2024-05-09</t>
  </si>
  <si>
    <t>2024-01-25</t>
  </si>
  <si>
    <t>Sanjay Shah</t>
  </si>
  <si>
    <t>2024-01-27</t>
  </si>
  <si>
    <t>2024-06-26</t>
  </si>
  <si>
    <t>2024-03-15</t>
  </si>
  <si>
    <t>2024-06-05</t>
  </si>
  <si>
    <t>manoj@gmail.com</t>
  </si>
  <si>
    <t>2024-05-25</t>
  </si>
  <si>
    <t>2024-02-24</t>
  </si>
  <si>
    <t>2024-02-11</t>
  </si>
  <si>
    <t>saranya@gmail.com</t>
  </si>
  <si>
    <t>Ravi Shankar</t>
  </si>
  <si>
    <t>sneha@gmail.com</t>
  </si>
  <si>
    <t>2024-02-20</t>
  </si>
  <si>
    <t>2024-05-06</t>
  </si>
  <si>
    <t>Whirlpool 1.5T Ac</t>
  </si>
  <si>
    <t>2024-01-20</t>
  </si>
  <si>
    <t>2024-06-06</t>
  </si>
  <si>
    <t>2024-06-11</t>
  </si>
  <si>
    <t>nisha@gmail.com</t>
  </si>
  <si>
    <t>2024-06-08</t>
  </si>
  <si>
    <t>2024-02-22</t>
  </si>
  <si>
    <t>manish@gmail.com</t>
  </si>
  <si>
    <t>2024-06-15</t>
  </si>
  <si>
    <t>2024-04-18</t>
  </si>
  <si>
    <t>2024-03-08</t>
  </si>
  <si>
    <t>MISSING</t>
  </si>
  <si>
    <t>2024-02-13</t>
  </si>
  <si>
    <t>2024-03-11</t>
  </si>
  <si>
    <t>2024-06-17</t>
  </si>
  <si>
    <t>kiran@gmail.com</t>
  </si>
  <si>
    <t>2024-02-19</t>
  </si>
  <si>
    <t>2024-06-22</t>
  </si>
  <si>
    <t>2024-05-12</t>
  </si>
  <si>
    <t>2024-04-12</t>
  </si>
  <si>
    <t>deepika@gmail.com</t>
  </si>
  <si>
    <t>2024-02-09</t>
  </si>
  <si>
    <t>2024-04-11</t>
  </si>
  <si>
    <t>2024-04-08</t>
  </si>
  <si>
    <t>2024-01-26</t>
  </si>
  <si>
    <t>2024-01-03</t>
  </si>
  <si>
    <t>2024-01-11</t>
  </si>
  <si>
    <t>anita@gmail.com</t>
  </si>
  <si>
    <t>2024-03-07</t>
  </si>
  <si>
    <t>2024-05-27</t>
  </si>
  <si>
    <t>2024-03-23</t>
  </si>
  <si>
    <t>2024-03-04</t>
  </si>
  <si>
    <t>arjun@gmail.com</t>
  </si>
  <si>
    <t>2024-05-20</t>
  </si>
  <si>
    <t>amit@gmail.com</t>
  </si>
  <si>
    <t>2024-05-26</t>
  </si>
  <si>
    <t>2024-06-03</t>
  </si>
  <si>
    <t>divya@gmail.com</t>
  </si>
  <si>
    <t>2024-01-28</t>
  </si>
  <si>
    <t>2024-04-21</t>
  </si>
  <si>
    <t>2024-02-07</t>
  </si>
  <si>
    <t>sanjay@gmail.com</t>
  </si>
  <si>
    <t>2024-03-19</t>
  </si>
  <si>
    <t>2024-06-20</t>
  </si>
  <si>
    <t>deepa@gmail.com</t>
  </si>
  <si>
    <t>2024-02-14</t>
  </si>
  <si>
    <t>2024-03-21</t>
  </si>
  <si>
    <t>💡  ✅ Clean Data: 480 rows after removing ~20 duplicates &amp; fixing all data quality issues | Ready for Pivot Tables &amp; Dashboard</t>
  </si>
  <si>
    <t xml:space="preserve">  ✅  DATA VALIDATION — Rules, Drop-downs &amp; Custom Formulas</t>
  </si>
  <si>
    <t xml:space="preserve">  📌  Telugu: Data entry time lo wrong values enter avvakaundaniki Data Validation use chestham. Idi prevent chestundi errors before they happen!</t>
  </si>
  <si>
    <t xml:space="preserve">  REFERENCE LISTS (Named Ranges for Validations)</t>
  </si>
  <si>
    <t>Valid Regions</t>
  </si>
  <si>
    <t>Valid Categories</t>
  </si>
  <si>
    <t>Valid Payment Modes</t>
  </si>
  <si>
    <t>Valid Order Status</t>
  </si>
  <si>
    <t>Valid Return Flag</t>
  </si>
  <si>
    <t>Valid States</t>
  </si>
  <si>
    <t xml:space="preserve">  VALIDATION RULES GUIDE — How to Apply Each Rule</t>
  </si>
  <si>
    <t>Validation Type</t>
  </si>
  <si>
    <t>Settings</t>
  </si>
  <si>
    <t>Error Message</t>
  </si>
  <si>
    <t>Step-by-Step</t>
  </si>
  <si>
    <t>Region (I)</t>
  </si>
  <si>
    <t>List</t>
  </si>
  <si>
    <t>Source: North,South,East,West</t>
  </si>
  <si>
    <t>Invalid! Select: North/South/East/West</t>
  </si>
  <si>
    <t>Data → Validation → Allow: List → Source: North,South,East,West</t>
  </si>
  <si>
    <t>Category (L)</t>
  </si>
  <si>
    <t>Source: =CategoryList (named range)</t>
  </si>
  <si>
    <t>Invalid Category! Use the dropdown.</t>
  </si>
  <si>
    <t>Create named range first, then Data → Validation → List → =CategoryList</t>
  </si>
  <si>
    <t>Quantity (O)</t>
  </si>
  <si>
    <t>Whole Number</t>
  </si>
  <si>
    <t>Min: 1 | Max: 100</t>
  </si>
  <si>
    <t>Quantity must be between 1 and 100</t>
  </si>
  <si>
    <t>Data → Validation → Whole Number → Between 1 and 100</t>
  </si>
  <si>
    <t>Discount_% (R)</t>
  </si>
  <si>
    <t>Decimal</t>
  </si>
  <si>
    <t>Min: 0 | Max: 80</t>
  </si>
  <si>
    <t>Discount cannot exceed 80%</t>
  </si>
  <si>
    <t>Data → Validation → Decimal → Between 0 and 80</t>
  </si>
  <si>
    <t>Unit_Price (Q)</t>
  </si>
  <si>
    <t>Min: 1 | Max: 500000</t>
  </si>
  <si>
    <t>Price must be positive</t>
  </si>
  <si>
    <t>Data → Validation → Decimal → Greater than 0</t>
  </si>
  <si>
    <t>Order_Date (B)</t>
  </si>
  <si>
    <t>Date</t>
  </si>
  <si>
    <t>End: =TODAY()</t>
  </si>
  <si>
    <t>Order date cannot be future</t>
  </si>
  <si>
    <t>Data → Validation → Date → Less than or equal to =TODAY()</t>
  </si>
  <si>
    <t>Email (E)</t>
  </si>
  <si>
    <t>Custom Formula</t>
  </si>
  <si>
    <t>Invalid email format! Need @ and .</t>
  </si>
  <si>
    <t>Data → Validation → Custom → enter formula</t>
  </si>
  <si>
    <t>Phone (F)</t>
  </si>
  <si>
    <t>Phone must be exactly 10 digits</t>
  </si>
  <si>
    <t>Data → Validation → Custom → =AND(LEN(F3)=10,ISNUMBER(VALUE(F3)))</t>
  </si>
  <si>
    <t>Return_Flag (V)</t>
  </si>
  <si>
    <t>Source: Yes,No</t>
  </si>
  <si>
    <t>Select Yes or No only</t>
  </si>
  <si>
    <t>Data → Validation → List → Yes,No</t>
  </si>
  <si>
    <t>Order_Status (U)</t>
  </si>
  <si>
    <t>Source: =OrderStatusList</t>
  </si>
  <si>
    <t>Select valid status only</t>
  </si>
  <si>
    <t>Create named range, then apply list validation</t>
  </si>
  <si>
    <t xml:space="preserve">  ✏️  PRACTICE SHEET — Enter data below. Validations are applied. Try entering invalid values!</t>
  </si>
  <si>
    <t>ORD-XXXX</t>
  </si>
  <si>
    <t>Your Name Here</t>
  </si>
  <si>
    <t>ORD-YYYY</t>
  </si>
  <si>
    <t>2024-07-20</t>
  </si>
  <si>
    <t>Test User</t>
  </si>
  <si>
    <t xml:space="preserve">  📋  REFERENCE LISTS — Named Ranges for Data Validation Dropdowns</t>
  </si>
  <si>
    <t>Gender</t>
  </si>
  <si>
    <t>Male</t>
  </si>
  <si>
    <t>Female</t>
  </si>
  <si>
    <t>Other</t>
  </si>
  <si>
    <t>Laptop</t>
  </si>
  <si>
    <t>💡  To create named range: Select the list → click Name Box (left of formula bar) → type name (e.g., RegionList) → Enter. Then use =RegionList in Data Validation.</t>
  </si>
  <si>
    <t xml:space="preserve">  📊  CHART DATA — Summarized Tables for Visualization</t>
  </si>
  <si>
    <t xml:space="preserve">  TABLE 1: Sales by Region</t>
  </si>
  <si>
    <t>Total Sales (₹)</t>
  </si>
  <si>
    <t>Orders</t>
  </si>
  <si>
    <t>Avg Order (₹)</t>
  </si>
  <si>
    <t xml:space="preserve">  TABLE 2: Monthly Sales Trend</t>
  </si>
  <si>
    <t>Month</t>
  </si>
  <si>
    <t>Growth %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</si>
  <si>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</si>
  <si>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</si>
  <si>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</si>
  <si>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</si>
  <si>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</si>
  <si>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</si>
  <si>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</si>
  <si>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</si>
  <si>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</si>
  <si>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</si>
  <si>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</si>
  <si>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</si>
  <si>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 xml:space="preserve">  TABLE 3: Sales by Category</t>
  </si>
  <si>
    <t>Sales (₹)</t>
  </si>
  <si>
    <t>% Share</t>
  </si>
  <si>
    <t xml:space="preserve">  TABLE 4: Order Status Distribution</t>
  </si>
  <si>
    <t>Count</t>
  </si>
  <si>
    <t xml:space="preserve">  TABLE 5: Top 10 Products by Sales</t>
  </si>
  <si>
    <t>Product</t>
  </si>
  <si>
    <t>Qty Sold</t>
  </si>
  <si>
    <t>LG Refrigerator</t>
  </si>
  <si>
    <t xml:space="preserve">  📊  DATA VISUALIZATION GUIDE — Charts, When to Use &amp; How to Build</t>
  </si>
  <si>
    <t xml:space="preserve">  CHART SELECTION GUIDE</t>
  </si>
  <si>
    <t>Chart Type</t>
  </si>
  <si>
    <t>Best Used For</t>
  </si>
  <si>
    <t>Example Use Case</t>
  </si>
  <si>
    <t>Data Needed</t>
  </si>
  <si>
    <t>Avoid When</t>
  </si>
  <si>
    <t>Column Chart</t>
  </si>
  <si>
    <t>Compare values across categories</t>
  </si>
  <si>
    <t>Sales by Region (North vs South vs East vs West)</t>
  </si>
  <si>
    <t>Category | Value</t>
  </si>
  <si>
    <t>Too many categories (&gt;10)</t>
  </si>
  <si>
    <t>Bar Chart (Horizontal)</t>
  </si>
  <si>
    <t>Ranking or long category names</t>
  </si>
  <si>
    <t>Top 10 Products by Sales</t>
  </si>
  <si>
    <t>Item Name | Value</t>
  </si>
  <si>
    <t>Showing time trends</t>
  </si>
  <si>
    <t>Line Chart</t>
  </si>
  <si>
    <t>Show trend over time</t>
  </si>
  <si>
    <t>Monthly Sales Trend Jan–Dec</t>
  </si>
  <si>
    <t>Time Period | Value</t>
  </si>
  <si>
    <t>Comparing unrelated categories</t>
  </si>
  <si>
    <t>Pie Chart</t>
  </si>
  <si>
    <t>Show proportion of a whole</t>
  </si>
  <si>
    <t>Category-wise Sales Share</t>
  </si>
  <si>
    <t>Category | %</t>
  </si>
  <si>
    <t>More than 6 slices — use Donut</t>
  </si>
  <si>
    <t>Donut Chart</t>
  </si>
  <si>
    <t>Same as pie but with center info</t>
  </si>
  <si>
    <t>Order Status Distribution</t>
  </si>
  <si>
    <t>Status | Count</t>
  </si>
  <si>
    <t>Too many small slices</t>
  </si>
  <si>
    <t>Clustered Column</t>
  </si>
  <si>
    <t>Compare multiple series</t>
  </si>
  <si>
    <t>Sales vs Target by Region</t>
  </si>
  <si>
    <t>Category | Series1 | Series2</t>
  </si>
  <si>
    <t>Too many series (&gt;3)</t>
  </si>
  <si>
    <t>Area Chart</t>
  </si>
  <si>
    <t>Cumulative trend</t>
  </si>
  <si>
    <t>Running Total of Sales</t>
  </si>
  <si>
    <t>Time | Cumulative Value</t>
  </si>
  <si>
    <t>Non-time series data</t>
  </si>
  <si>
    <t>Scatter Plot</t>
  </si>
  <si>
    <t>Correlation between 2 variables</t>
  </si>
  <si>
    <t>Price vs Quantity Sold</t>
  </si>
  <si>
    <t>X value | Y value</t>
  </si>
  <si>
    <t>Categorical data</t>
  </si>
  <si>
    <t xml:space="preserve">  HOW TO BUILD EACH CHART — Step-by-Step</t>
  </si>
  <si>
    <t xml:space="preserve">  CHART 1: Sales by Region (Column Chart)</t>
  </si>
  <si>
    <t>1. Go to Chart_Data sheet → Select A4:B8 (Region + Total Sales)</t>
  </si>
  <si>
    <t>2. Insert tab → Charts group → Insert Column Chart → Clustered Column</t>
  </si>
  <si>
    <t>3. Click Chart Title → Type 'Total Sales by Region'</t>
  </si>
  <si>
    <t>4. Right-click bars → Add Data Labels → Show Values</t>
  </si>
  <si>
    <t>5. Chart Design tab → Change Colors → choose blue family</t>
  </si>
  <si>
    <t>6. Format: Remove gridlines, add axis titles (Region / Sales in ₹)</t>
  </si>
  <si>
    <t xml:space="preserve">  CHART 2: Monthly Sales Trend (Line Chart)</t>
  </si>
  <si>
    <t>1. Select Chart_Data!A13:B25 (Month + Sales)</t>
  </si>
  <si>
    <t>2. Insert → Charts → Line → Line with Markers</t>
  </si>
  <si>
    <t>3. Right-click line → Add Trendline → Linear → check 'Display Equation'</t>
  </si>
  <si>
    <t>4. Title: 'Monthly Sales Trend — 2024'</t>
  </si>
  <si>
    <t>5. Format markers: Diamond shape, size 8</t>
  </si>
  <si>
    <t>6. Add Data Labels for peak and low months only</t>
  </si>
  <si>
    <t xml:space="preserve">  CHART 3: Category Sales Share (Pie Chart)</t>
  </si>
  <si>
    <t>1. Select Chart_Data!A27:B32 (Category + Sales)</t>
  </si>
  <si>
    <t>2. Insert → Pie Chart → 2D Pie</t>
  </si>
  <si>
    <t>3. Right-click → Add Data Labels → Category Name + Percentage</t>
  </si>
  <si>
    <t>4. Move legend to bottom</t>
  </si>
  <si>
    <t>5. NEVER use 3D Pie — it's misleading!</t>
  </si>
  <si>
    <t>6. Pull out Electronics slice (drag it out slightly for emphasis)</t>
  </si>
  <si>
    <t xml:space="preserve">  CHART 4: Top 10 Products (Horizontal Bar)</t>
  </si>
  <si>
    <t>1. Select Chart_Data!A45:B55 (Product + Sales)</t>
  </si>
  <si>
    <t>2. Insert → Bar Chart → Clustered Bar (horizontal)</t>
  </si>
  <si>
    <t>3. Right-click → Sort data → Largest to Smallest</t>
  </si>
  <si>
    <t>4. Add Data Labels at end of bars</t>
  </si>
  <si>
    <t>5. Title: 'Top 10 Products by Revenue'</t>
  </si>
  <si>
    <t>6. Color: gradient from dark blue (top) to light blue (bottom)</t>
  </si>
  <si>
    <t xml:space="preserve">  ❌  COMMON CHART MISTAKES BEGINNERS MAKE</t>
  </si>
  <si>
    <t>❌ MISTAKE</t>
  </si>
  <si>
    <t>✅ CORRECT APPROACH</t>
  </si>
  <si>
    <t>Using 3D charts (3D Pie, 3D Column)</t>
  </si>
  <si>
    <t>Use 2D charts only — 3D distorts visual perception</t>
  </si>
  <si>
    <t>Pie chart with 7+ slices</t>
  </si>
  <si>
    <t>Group small slices into 'Other' — max 6 slices</t>
  </si>
  <si>
    <t>No chart title or axis labels</t>
  </si>
  <si>
    <t>Always add: Title + X-axis + Y-axis labels + Units</t>
  </si>
  <si>
    <t>Too many colors (rainbow charts)</t>
  </si>
  <si>
    <t>Use 1–3 colors max. Use color to highlight important data only</t>
  </si>
  <si>
    <t>Line chart for categories (non-time)</t>
  </si>
  <si>
    <t>Line = time series only. Use Bar/Column for categories</t>
  </si>
  <si>
    <t>Starting Y-axis at non-zero to exaggerate</t>
  </si>
  <si>
    <t>Keep Y-axis at 0 unless justified. Misleads viewers</t>
  </si>
  <si>
    <t>No data labels on pie chart</t>
  </si>
  <si>
    <t>Always show % labels on pie/donut charts</t>
  </si>
  <si>
    <t>Cluttered chart with too much data</t>
  </si>
  <si>
    <t>Simplify — one chart = one message</t>
  </si>
  <si>
    <t xml:space="preserve">  🛒  E-COMMERCE SALES PERFORMANCE DASHBOARD  —  FY 2024  |  India Region</t>
  </si>
  <si>
    <t xml:space="preserve">  Data Source: Flipkart-style E-Commerce Dataset  |  480 Clean Records  |  January – June 2024  |  Last Updated: April 2025</t>
  </si>
  <si>
    <t>💰 Total Sales</t>
  </si>
  <si>
    <t>📦 Total Orders</t>
  </si>
  <si>
    <t>📈 Avg Order Value</t>
  </si>
  <si>
    <t>✅ Delivered %</t>
  </si>
  <si>
    <t>🔄 Return Rate</t>
  </si>
  <si>
    <t>₹54,70,000</t>
  </si>
  <si>
    <t>480</t>
  </si>
  <si>
    <t>₹11,396</t>
  </si>
  <si>
    <t>76.0%</t>
  </si>
  <si>
    <t>6.0%</t>
  </si>
  <si>
    <t>+12.3% vs LY</t>
  </si>
  <si>
    <t>↑ 8.2% MoM</t>
  </si>
  <si>
    <t>Target: ₹10,000</t>
  </si>
  <si>
    <t>Target: 80%</t>
  </si>
  <si>
    <t>Below 7% = Good</t>
  </si>
  <si>
    <t xml:space="preserve">  📊 SALES BY REGION</t>
  </si>
  <si>
    <t xml:space="preserve">  📈 MONTHLY SALES TREND</t>
  </si>
  <si>
    <t>Avg Order</t>
  </si>
  <si>
    <t>Sales</t>
  </si>
  <si>
    <t>Growth</t>
  </si>
  <si>
    <t>Target Hit?</t>
  </si>
  <si>
    <t>₹12,50,000</t>
  </si>
  <si>
    <t>₹9,843</t>
  </si>
  <si>
    <t>22.8%</t>
  </si>
  <si>
    <t>⬆ Good</t>
  </si>
  <si>
    <t>Jan</t>
  </si>
  <si>
    <t>₹4,20,000</t>
  </si>
  <si>
    <t>-</t>
  </si>
  <si>
    <t>✅</t>
  </si>
  <si>
    <t>₹18,40,000</t>
  </si>
  <si>
    <t>₹9,946</t>
  </si>
  <si>
    <t>33.6%</t>
  </si>
  <si>
    <t>⬆ Best</t>
  </si>
  <si>
    <t>Feb</t>
  </si>
  <si>
    <t>₹3,80,000</t>
  </si>
  <si>
    <t>-9.5%</t>
  </si>
  <si>
    <t>❌</t>
  </si>
  <si>
    <t>₹8,60,000</t>
  </si>
  <si>
    <t>₹10,000</t>
  </si>
  <si>
    <t>15.7%</t>
  </si>
  <si>
    <t>→ Average</t>
  </si>
  <si>
    <t>Mar</t>
  </si>
  <si>
    <t>₹5,10,000</t>
  </si>
  <si>
    <t>+34.2%</t>
  </si>
  <si>
    <t>₹15,20,000</t>
  </si>
  <si>
    <t>27.8%</t>
  </si>
  <si>
    <t>Apr</t>
  </si>
  <si>
    <t>₹4,70,000</t>
  </si>
  <si>
    <t>-7.8%</t>
  </si>
  <si>
    <t>May</t>
  </si>
  <si>
    <t>₹6,20,000</t>
  </si>
  <si>
    <t>+31.9%</t>
  </si>
  <si>
    <t>Jun</t>
  </si>
  <si>
    <t>₹5,90,000</t>
  </si>
  <si>
    <t>-4.8%</t>
  </si>
  <si>
    <t xml:space="preserve">  🥧 CATEGORY PERFORMANCE</t>
  </si>
  <si>
    <t xml:space="preserve">  🏆 TOP 5 PRODUCTS</t>
  </si>
  <si>
    <t>Share</t>
  </si>
  <si>
    <t>Avg (₹)</t>
  </si>
  <si>
    <t>Rank</t>
  </si>
  <si>
    <t>₹27,50,000</t>
  </si>
  <si>
    <t>50.3%</t>
  </si>
  <si>
    <t>₹8,90,000</t>
  </si>
  <si>
    <t>₹11,00,000</t>
  </si>
  <si>
    <t>20.1%</t>
  </si>
  <si>
    <t>₹6,667</t>
  </si>
  <si>
    <t>HP Laptop</t>
  </si>
  <si>
    <t>₹5,50,000</t>
  </si>
  <si>
    <t>₹8,20,000</t>
  </si>
  <si>
    <t>15.0%</t>
  </si>
  <si>
    <t>₹4,80,000</t>
  </si>
  <si>
    <t>8.8%</t>
  </si>
  <si>
    <t>₹4,000</t>
  </si>
  <si>
    <t>Whirlpool AC</t>
  </si>
  <si>
    <t>₹3,20,000</t>
  </si>
  <si>
    <t>5.8%</t>
  </si>
  <si>
    <t>Samsung TV</t>
  </si>
  <si>
    <t>₹3,50,000</t>
  </si>
  <si>
    <t xml:space="preserve">  📌  NEXT STEPS: 1) Create Pivot Tables from Clean_Data sheet  2) Insert PivotCharts  3) Add Slicers for Region, Category, Order_Status  4) Add Timeline for Order_Date  5) Connect all slicers via Report Connections</t>
  </si>
  <si>
    <t xml:space="preserve">  🎯  MINI PROJECT ASSIGNMENT — Student Performance Data Cleaning &amp; Dashboard</t>
  </si>
  <si>
    <t xml:space="preserve">  Telugu: Ee assignment complete chesi screenshot comment lo share cheyyandi. Best submissions featured avutaayi!</t>
  </si>
  <si>
    <t xml:space="preserve">  TASKS (Total: 100 Marks)</t>
  </si>
  <si>
    <t>Task</t>
  </si>
  <si>
    <t>Details</t>
  </si>
  <si>
    <t>Marks</t>
  </si>
  <si>
    <t>Your Answer</t>
  </si>
  <si>
    <t>TRIM + PROPER on Student Names</t>
  </si>
  <si>
    <t>Remove spaces, fix casing</t>
  </si>
  <si>
    <t>Remove Duplicate Student_IDs</t>
  </si>
  <si>
    <t>Use COUNTIF + Remove Duplicates</t>
  </si>
  <si>
    <t>Handle Blank Names</t>
  </si>
  <si>
    <t>Fill with 'Unknown Student'</t>
  </si>
  <si>
    <t>Fix Invalid CGPA (&gt;10 or &lt;0)</t>
  </si>
  <si>
    <t>Flag as 'Check Required'</t>
  </si>
  <si>
    <t>Standardize Gender (M→Male, F→Female)</t>
  </si>
  <si>
    <t>Use IF/SWITCH formula</t>
  </si>
  <si>
    <t>Data Validation on Placement_Status</t>
  </si>
  <si>
    <t>Dropdown: Placed/Not Placed</t>
  </si>
  <si>
    <t>Chart: Avg CGPA by Branch</t>
  </si>
  <si>
    <t>Clustered Column Chart</t>
  </si>
  <si>
    <t>Chart: Placement Rate by College</t>
  </si>
  <si>
    <t>Pie/Donut Chart</t>
  </si>
  <si>
    <t>Build a Mini KPI Dashboard</t>
  </si>
  <si>
    <t>3 KPI cards + 2 charts</t>
  </si>
  <si>
    <t>TOTAL: 100 Marks | Submission: Screenshot in YouTube comments | Deadline: 7 days from video upload</t>
  </si>
  <si>
    <t xml:space="preserve">  ASSIGNMENT DATASET — Student Performance Data (With Issues)</t>
  </si>
  <si>
    <t>Student_ID</t>
  </si>
  <si>
    <t>Name</t>
  </si>
  <si>
    <t>College</t>
  </si>
  <si>
    <t>Branch</t>
  </si>
  <si>
    <t>Semester</t>
  </si>
  <si>
    <t>CGPA</t>
  </si>
  <si>
    <t>Attendance_%</t>
  </si>
  <si>
    <t>Backlogs</t>
  </si>
  <si>
    <t>Placement_Status</t>
  </si>
  <si>
    <t>Package_LPA</t>
  </si>
  <si>
    <t>Year_of_Passing</t>
  </si>
  <si>
    <t>STU-1001</t>
  </si>
  <si>
    <t>anita verma</t>
  </si>
  <si>
    <t>Andhra University</t>
  </si>
  <si>
    <t>EEE</t>
  </si>
  <si>
    <t>Placed</t>
  </si>
  <si>
    <t>female</t>
  </si>
  <si>
    <t>STU-1002</t>
  </si>
  <si>
    <t>SNEHA REDDY</t>
  </si>
  <si>
    <t>IIT Hyderabad</t>
  </si>
  <si>
    <t>Not Placed</t>
  </si>
  <si>
    <t>2023</t>
  </si>
  <si>
    <t>STU-1003</t>
  </si>
  <si>
    <t>meera n</t>
  </si>
  <si>
    <t>BITS Pilani</t>
  </si>
  <si>
    <t>Chemical</t>
  </si>
  <si>
    <t>placed</t>
  </si>
  <si>
    <t>F</t>
  </si>
  <si>
    <t>STU-1004</t>
  </si>
  <si>
    <t>kabir mehta</t>
  </si>
  <si>
    <t>Osmania</t>
  </si>
  <si>
    <t>IT</t>
  </si>
  <si>
    <t>STU-1005</t>
  </si>
  <si>
    <t>priya devi</t>
  </si>
  <si>
    <t>VIT</t>
  </si>
  <si>
    <t>FEMALE</t>
  </si>
  <si>
    <t>ECE</t>
  </si>
  <si>
    <t>MALE</t>
  </si>
  <si>
    <t>STU-1007</t>
  </si>
  <si>
    <t>kavya rao</t>
  </si>
  <si>
    <t>JNTU</t>
  </si>
  <si>
    <t>STU-1008</t>
  </si>
  <si>
    <t>STU-1009</t>
  </si>
  <si>
    <t>CSE</t>
  </si>
  <si>
    <t>STU-1010</t>
  </si>
  <si>
    <t>Mechanical</t>
  </si>
  <si>
    <t>STU-1011</t>
  </si>
  <si>
    <t>not placed</t>
  </si>
  <si>
    <t>STU-1012</t>
  </si>
  <si>
    <t xml:space="preserve">  AMIT SHAH  </t>
  </si>
  <si>
    <t>STU-1013</t>
  </si>
  <si>
    <t xml:space="preserve">  Arjun Singh  </t>
  </si>
  <si>
    <t>NIT Warangal</t>
  </si>
  <si>
    <t>STU-1014</t>
  </si>
  <si>
    <t>STU-1015</t>
  </si>
  <si>
    <t>M</t>
  </si>
  <si>
    <t>STU-1016</t>
  </si>
  <si>
    <t>Civil</t>
  </si>
  <si>
    <t>STU-1017</t>
  </si>
  <si>
    <t>RAVI KUMAR</t>
  </si>
  <si>
    <t>STU-1018</t>
  </si>
  <si>
    <t>STU-1019</t>
  </si>
  <si>
    <t>PLACED</t>
  </si>
  <si>
    <t>STU-1020</t>
  </si>
  <si>
    <t>NOT PLACED</t>
  </si>
  <si>
    <t>male</t>
  </si>
  <si>
    <t>STU-1021</t>
  </si>
  <si>
    <t>ROHIT YADAV</t>
  </si>
  <si>
    <t>STU-1022</t>
  </si>
  <si>
    <t>STU-1023</t>
  </si>
  <si>
    <t>STU-1024</t>
  </si>
  <si>
    <t>STU-1025</t>
  </si>
  <si>
    <t>STU-1026</t>
  </si>
  <si>
    <t>STU-1027</t>
  </si>
  <si>
    <t>STU-1028</t>
  </si>
  <si>
    <t>STU-1029</t>
  </si>
  <si>
    <t>STU-1030</t>
  </si>
  <si>
    <t>STU-1031</t>
  </si>
  <si>
    <t>STU-1032</t>
  </si>
  <si>
    <t>STU-1033</t>
  </si>
  <si>
    <t>STU-1034</t>
  </si>
  <si>
    <t>STU-1035</t>
  </si>
  <si>
    <t>STU-1036</t>
  </si>
  <si>
    <t>STU-1037</t>
  </si>
  <si>
    <t>STU-1038</t>
  </si>
  <si>
    <t>STU-1039</t>
  </si>
  <si>
    <t>STU-1040</t>
  </si>
  <si>
    <t>STU-1041</t>
  </si>
  <si>
    <t>STU-1042</t>
  </si>
  <si>
    <t>STU-1043</t>
  </si>
  <si>
    <t>STU-1044</t>
  </si>
  <si>
    <t>STU-1045</t>
  </si>
  <si>
    <t>SURESH K</t>
  </si>
  <si>
    <t>STU-1046</t>
  </si>
  <si>
    <t>STU-1047</t>
  </si>
  <si>
    <t>STU-1048</t>
  </si>
  <si>
    <t>STU-1049</t>
  </si>
  <si>
    <t>STU-1050</t>
  </si>
  <si>
    <t>STU-1051</t>
  </si>
  <si>
    <t>STU-1052</t>
  </si>
  <si>
    <t>STU-1053</t>
  </si>
  <si>
    <t>STU-1054</t>
  </si>
  <si>
    <t>STU-1055</t>
  </si>
  <si>
    <t>STU-1056</t>
  </si>
  <si>
    <t>STU-1057</t>
  </si>
  <si>
    <t>STU-1058</t>
  </si>
  <si>
    <t>STU-1059</t>
  </si>
  <si>
    <t>STU-1060</t>
  </si>
  <si>
    <t>STU-1062</t>
  </si>
  <si>
    <t>STU-1063</t>
  </si>
  <si>
    <t>STU-1064</t>
  </si>
  <si>
    <t>STU-1065</t>
  </si>
  <si>
    <t>STU-1066</t>
  </si>
  <si>
    <t>STU-1067</t>
  </si>
  <si>
    <t>STU-1068</t>
  </si>
  <si>
    <t>STU-1069</t>
  </si>
  <si>
    <t>STU-1070</t>
  </si>
  <si>
    <t>STU-1071</t>
  </si>
  <si>
    <t>STU-1072</t>
  </si>
  <si>
    <t>STU-1073</t>
  </si>
  <si>
    <t>STU-1074</t>
  </si>
  <si>
    <t>STU-1075</t>
  </si>
  <si>
    <t>STU-1076</t>
  </si>
  <si>
    <t>STU-1077</t>
  </si>
  <si>
    <t>STU-1078</t>
  </si>
  <si>
    <t>STU-1079</t>
  </si>
  <si>
    <t>STU-1080</t>
  </si>
  <si>
    <t>STU-1081</t>
  </si>
  <si>
    <t>STU-1082</t>
  </si>
  <si>
    <t>STU-1083</t>
  </si>
  <si>
    <t>STU-1084</t>
  </si>
  <si>
    <t>STU-1085</t>
  </si>
  <si>
    <t>STU-1086</t>
  </si>
  <si>
    <t>STU-1087</t>
  </si>
  <si>
    <t>STU-1088</t>
  </si>
  <si>
    <t>STU-1089</t>
  </si>
  <si>
    <t>STU-1090</t>
  </si>
  <si>
    <t>STU-1091</t>
  </si>
  <si>
    <t>STU-1093</t>
  </si>
  <si>
    <t>STU-1094</t>
  </si>
  <si>
    <t>STU-1096</t>
  </si>
  <si>
    <t>STU-1098</t>
  </si>
  <si>
    <t>STU-1099</t>
  </si>
  <si>
    <t>STU-1100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</si>
</sst>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\₹#,##0"/>
    <numFmt numFmtId="166" formatCode="0.0&quot;%&quot;"/>
    <numFmt numFmtId="167" formatCode="0.0%"/>
  </numFmts>
  <fonts count="56">
    <font>
      <sz val="11"/>
      <color theme="1"/>
      <name val="Calibri"/>
      <scheme val="minor"/>
    </font>
    <font>
      <b/>
      <sz val="18"/>
      <color rgb="FFFFFFFF"/>
      <name val="Arial"/>
    </font>
    <font>
      <sz val="11"/>
      <name val="Calibri"/>
    </font>
    <font>
      <i/>
      <sz val="11"/>
      <color rgb="FF93C5FD"/>
      <name val="Arial"/>
    </font>
    <font>
      <b/>
      <sz val="10"/>
      <color rgb="FFFFFFFF"/>
      <name val="Arial"/>
    </font>
    <font>
      <b/>
      <sz val="10"/>
      <color rgb="FFDC2626"/>
      <name val="Arial"/>
    </font>
    <font>
      <b/>
      <sz val="10"/>
      <color rgb="FF374151"/>
      <name val="Arial"/>
    </font>
    <font>
      <sz val="10"/>
      <color rgb="FF374151"/>
      <name val="Arial"/>
    </font>
    <font>
      <b/>
      <sz val="10"/>
      <color rgb="FFD97706"/>
      <name val="Arial"/>
    </font>
    <font>
      <b/>
      <sz val="10"/>
      <color rgb="FF059669"/>
      <name val="Arial"/>
    </font>
    <font>
      <b/>
      <sz val="10"/>
      <color rgb="FF2563EB"/>
      <name val="Arial"/>
    </font>
    <font>
      <b/>
      <sz val="10"/>
      <color rgb="FF0EA5E9"/>
      <name val="Arial"/>
    </font>
    <font>
      <b/>
      <sz val="10"/>
      <color rgb="FF7C3AED"/>
      <name val="Arial"/>
    </font>
    <font>
      <b/>
      <sz val="10"/>
      <color rgb="FFEA580C"/>
      <name val="Arial"/>
    </font>
    <font>
      <b/>
      <sz val="10"/>
      <color rgb="FFDB2777"/>
      <name val="Arial"/>
    </font>
    <font>
      <b/>
      <sz val="10"/>
      <color rgb="FFCA8A04"/>
      <name val="Arial"/>
    </font>
    <font>
      <i/>
      <sz val="10"/>
      <color rgb="FF059669"/>
      <name val="Arial"/>
    </font>
    <font>
      <sz val="9"/>
      <color rgb="FF374151"/>
      <name val="Arial"/>
    </font>
    <font>
      <sz val="9"/>
      <color rgb="FFDC2626"/>
      <name val="Arial"/>
    </font>
    <font>
      <b/>
      <sz val="11"/>
      <color rgb="FFFFFFFF"/>
      <name val="Arial"/>
    </font>
    <font>
      <i/>
      <sz val="9"/>
      <color rgb="FF374151"/>
      <name val="Arial"/>
    </font>
    <font>
      <b/>
      <sz val="9"/>
      <color rgb="FFDC2626"/>
      <name val="Arial"/>
    </font>
    <font>
      <b/>
      <sz val="9"/>
      <color rgb="FF7C3AED"/>
      <name val="Arial"/>
    </font>
    <font>
      <b/>
      <sz val="9"/>
      <color rgb="FF0EA5E9"/>
      <name val="Arial"/>
    </font>
    <font>
      <sz val="9"/>
      <color rgb="FF059669"/>
      <name val="Arial"/>
    </font>
    <font>
      <sz val="9"/>
      <color rgb="FFD97706"/>
      <name val="Arial"/>
    </font>
    <font>
      <sz val="9"/>
      <color rgb="FF7C3AED"/>
      <name val="Arial"/>
    </font>
    <font>
      <sz val="9"/>
      <color rgb="FFEA580C"/>
      <name val="Arial"/>
    </font>
    <font>
      <b/>
      <sz val="12"/>
      <color rgb="FFFFFFFF"/>
      <name val="Arial"/>
    </font>
    <font>
      <b/>
      <sz val="9"/>
      <color rgb="FF374151"/>
      <name val="Arial"/>
    </font>
    <font>
      <sz val="9"/>
      <color rgb="FF0EA5E9"/>
      <name val="Arial"/>
    </font>
    <font>
      <b/>
      <i/>
      <sz val="9"/>
      <color rgb="FF059669"/>
      <name val="Arial"/>
    </font>
    <font>
      <b/>
      <sz val="9"/>
      <color rgb="FF2563EB"/>
      <name val="Arial"/>
    </font>
    <font>
      <b/>
      <i/>
      <sz val="9"/>
      <color rgb="FF0EA5E9"/>
      <name val="Arial"/>
    </font>
    <font>
      <sz val="10"/>
      <color rgb="FFD97706"/>
      <name val="Arial"/>
    </font>
    <font>
      <b/>
      <sz val="9"/>
      <color rgb="FF059669"/>
      <name val="Arial"/>
    </font>
    <font>
      <b/>
      <sz val="9"/>
      <color rgb="FFD97706"/>
      <name val="Arial"/>
    </font>
    <font>
      <sz val="10"/>
      <color rgb="FF7C3AED"/>
      <name val="Arial"/>
    </font>
    <font>
      <b/>
      <sz val="9"/>
      <color rgb="FFEA580C"/>
      <name val="Arial"/>
    </font>
    <font>
      <b/>
      <sz val="9"/>
      <color rgb="FFFFFFFF"/>
      <name val="Arial"/>
    </font>
    <font>
      <sz val="11"/>
      <color theme="1"/>
      <name val="Calibri"/>
    </font>
    <font>
      <b/>
      <sz val="14"/>
      <color rgb="FFFFFFFF"/>
      <name val="Arial"/>
    </font>
    <font>
      <i/>
      <sz val="9"/>
      <color rgb="FF93C5FD"/>
      <name val="Arial"/>
    </font>
    <font>
      <sz val="9"/>
      <color rgb="FF94A3B8"/>
      <name val="Arial"/>
    </font>
    <font>
      <b/>
      <sz val="20"/>
      <color rgb="FF059669"/>
      <name val="Arial"/>
    </font>
    <font>
      <b/>
      <sz val="20"/>
      <color rgb="FF0EA5E9"/>
      <name val="Arial"/>
    </font>
    <font>
      <b/>
      <sz val="20"/>
      <color rgb="FF2563EB"/>
      <name val="Arial"/>
    </font>
    <font>
      <b/>
      <sz val="20"/>
      <color rgb="FFD97706"/>
      <name val="Arial"/>
    </font>
    <font>
      <sz val="8"/>
      <color rgb="FF64748B"/>
      <name val="Arial"/>
    </font>
    <font>
      <b/>
      <sz val="9"/>
      <color rgb="FF1B2A4A"/>
      <name val="Arial"/>
    </font>
    <font>
      <sz val="9"/>
      <color rgb="FF2563EB"/>
      <name val="Arial"/>
    </font>
    <font>
      <b/>
      <sz val="9"/>
      <color rgb="FFDB2777"/>
      <name val="Arial"/>
    </font>
    <font>
      <b/>
      <sz val="12"/>
      <color rgb="FF0F172A"/>
      <name val="Arial"/>
    </font>
    <font>
      <b/>
      <sz val="10"/>
      <color rgb="FF1B2A4A"/>
      <name val="Arial"/>
    </font>
    <font>
      <sz val="9"/>
      <color rgb="FF374151"/>
      <name val="Arial"/>
      <family val="2"/>
    </font>
    <font>
      <sz val="9"/>
      <color rgb="FFDC2626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F3F4F6"/>
        <bgColor rgb="FFF3F4F6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DC2626"/>
        <bgColor rgb="FFDC2626"/>
      </patternFill>
    </fill>
    <fill>
      <patternFill patternType="solid">
        <fgColor rgb="FFFEE2E2"/>
        <bgColor rgb="FFFEE2E2"/>
      </patternFill>
    </fill>
    <fill>
      <patternFill patternType="solid">
        <fgColor rgb="FFEDE9FE"/>
        <bgColor rgb="FFEDE9FE"/>
      </patternFill>
    </fill>
    <fill>
      <patternFill patternType="solid">
        <fgColor rgb="FF0EA5E9"/>
        <bgColor rgb="FF0EA5E9"/>
      </patternFill>
    </fill>
    <fill>
      <patternFill patternType="solid">
        <fgColor rgb="FFE0F2FE"/>
        <bgColor rgb="FFE0F2FE"/>
      </patternFill>
    </fill>
    <fill>
      <patternFill patternType="solid">
        <fgColor rgb="FFD97706"/>
        <bgColor rgb="FFD97706"/>
      </patternFill>
    </fill>
    <fill>
      <patternFill patternType="solid">
        <fgColor rgb="FFFEF3C7"/>
        <bgColor rgb="FFFEF3C7"/>
      </patternFill>
    </fill>
    <fill>
      <patternFill patternType="solid">
        <fgColor rgb="FF059669"/>
        <bgColor rgb="FF059669"/>
      </patternFill>
    </fill>
    <fill>
      <patternFill patternType="solid">
        <fgColor rgb="FF7C3AED"/>
        <bgColor rgb="FF7C3AED"/>
      </patternFill>
    </fill>
    <fill>
      <patternFill patternType="solid">
        <fgColor rgb="FFEA580C"/>
        <bgColor rgb="FFEA580C"/>
      </patternFill>
    </fill>
    <fill>
      <patternFill patternType="solid">
        <fgColor rgb="FFFFEDD5"/>
        <bgColor rgb="FFFFEDD5"/>
      </patternFill>
    </fill>
    <fill>
      <patternFill patternType="solid">
        <fgColor rgb="FF2563EB"/>
        <bgColor rgb="FF2563EB"/>
      </patternFill>
    </fill>
    <fill>
      <patternFill patternType="solid">
        <fgColor rgb="FFDBEAFE"/>
        <bgColor rgb="FFDBEAFE"/>
      </patternFill>
    </fill>
    <fill>
      <patternFill patternType="solid">
        <fgColor rgb="FFF0FDF4"/>
        <bgColor rgb="FFF0FDF4"/>
      </patternFill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CA8A04"/>
        <bgColor rgb="FFCA8A04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59669"/>
      </left>
      <right/>
      <top style="thin">
        <color rgb="FF059669"/>
      </top>
      <bottom/>
      <diagonal/>
    </border>
    <border>
      <left/>
      <right/>
      <top style="thin">
        <color rgb="FF059669"/>
      </top>
      <bottom/>
      <diagonal/>
    </border>
    <border>
      <left/>
      <right style="thin">
        <color rgb="FF059669"/>
      </right>
      <top style="thin">
        <color rgb="FF059669"/>
      </top>
      <bottom/>
      <diagonal/>
    </border>
    <border>
      <left style="thin">
        <color rgb="FF0EA5E9"/>
      </left>
      <right/>
      <top style="thin">
        <color rgb="FF0EA5E9"/>
      </top>
      <bottom/>
      <diagonal/>
    </border>
    <border>
      <left/>
      <right/>
      <top style="thin">
        <color rgb="FF0EA5E9"/>
      </top>
      <bottom/>
      <diagonal/>
    </border>
    <border>
      <left/>
      <right style="thin">
        <color rgb="FF0EA5E9"/>
      </right>
      <top style="thin">
        <color rgb="FF0EA5E9"/>
      </top>
      <bottom/>
      <diagonal/>
    </border>
    <border>
      <left style="thin">
        <color rgb="FF2563EB"/>
      </left>
      <right/>
      <top style="thin">
        <color rgb="FF2563EB"/>
      </top>
      <bottom/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97706"/>
      </left>
      <right/>
      <top style="thin">
        <color rgb="FFD97706"/>
      </top>
      <bottom/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 style="thin">
        <color rgb="FF059669"/>
      </left>
      <right/>
      <top/>
      <bottom/>
      <diagonal/>
    </border>
    <border>
      <left/>
      <right style="thin">
        <color rgb="FF059669"/>
      </right>
      <top/>
      <bottom/>
      <diagonal/>
    </border>
    <border>
      <left style="thin">
        <color rgb="FF0EA5E9"/>
      </left>
      <right/>
      <top/>
      <bottom/>
      <diagonal/>
    </border>
    <border>
      <left/>
      <right style="thin">
        <color rgb="FF0EA5E9"/>
      </right>
      <top/>
      <bottom/>
      <diagonal/>
    </border>
    <border>
      <left style="thin">
        <color rgb="FF2563EB"/>
      </left>
      <right/>
      <top/>
      <bottom/>
      <diagonal/>
    </border>
    <border>
      <left/>
      <right style="thin">
        <color rgb="FF2563EB"/>
      </right>
      <top/>
      <bottom/>
      <diagonal/>
    </border>
    <border>
      <left style="thin">
        <color rgb="FFD97706"/>
      </left>
      <right/>
      <top/>
      <bottom/>
      <diagonal/>
    </border>
    <border>
      <left/>
      <right style="thin">
        <color rgb="FFD97706"/>
      </right>
      <top/>
      <bottom/>
      <diagonal/>
    </border>
    <border>
      <left style="thin">
        <color rgb="FF059669"/>
      </left>
      <right/>
      <top/>
      <bottom style="thin">
        <color rgb="FF059669"/>
      </bottom>
      <diagonal/>
    </border>
    <border>
      <left/>
      <right/>
      <top/>
      <bottom style="thin">
        <color rgb="FF059669"/>
      </bottom>
      <diagonal/>
    </border>
    <border>
      <left/>
      <right style="thin">
        <color rgb="FF059669"/>
      </right>
      <top/>
      <bottom style="thin">
        <color rgb="FF059669"/>
      </bottom>
      <diagonal/>
    </border>
    <border>
      <left style="thin">
        <color rgb="FF0EA5E9"/>
      </left>
      <right/>
      <top/>
      <bottom style="thin">
        <color rgb="FF0EA5E9"/>
      </bottom>
      <diagonal/>
    </border>
    <border>
      <left/>
      <right/>
      <top/>
      <bottom style="thin">
        <color rgb="FF0EA5E9"/>
      </bottom>
      <diagonal/>
    </border>
    <border>
      <left/>
      <right style="thin">
        <color rgb="FF0EA5E9"/>
      </right>
      <top/>
      <bottom style="thin">
        <color rgb="FF0EA5E9"/>
      </bottom>
      <diagonal/>
    </border>
    <border>
      <left style="thin">
        <color rgb="FF2563EB"/>
      </left>
      <right/>
      <top/>
      <bottom style="thin">
        <color rgb="FF2563EB"/>
      </bottom>
      <diagonal/>
    </border>
    <border>
      <left/>
      <right/>
      <top/>
      <bottom style="thin">
        <color rgb="FF2563EB"/>
      </bottom>
      <diagonal/>
    </border>
    <border>
      <left/>
      <right style="thin">
        <color rgb="FF2563EB"/>
      </right>
      <top/>
      <bottom style="thin">
        <color rgb="FF2563EB"/>
      </bottom>
      <diagonal/>
    </border>
    <border>
      <left style="thin">
        <color rgb="FFD97706"/>
      </left>
      <right/>
      <top/>
      <bottom style="thin">
        <color rgb="FFD97706"/>
      </bottom>
      <diagonal/>
    </border>
    <border>
      <left/>
      <right/>
      <top/>
      <bottom style="thin">
        <color rgb="FFD97706"/>
      </bottom>
      <diagonal/>
    </border>
    <border>
      <left/>
      <right style="thin">
        <color rgb="FFD97706"/>
      </right>
      <top/>
      <bottom style="thin">
        <color rgb="FFD97706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 style="thin">
        <color rgb="FFD1D5DB"/>
      </top>
      <bottom/>
      <diagonal/>
    </border>
  </borders>
  <cellStyleXfs count="1">
    <xf numFmtId="0" fontId="0" fillId="0" borderId="0"/>
  </cellStyleXfs>
  <cellXfs count="239">
    <xf numFmtId="0" fontId="0" fillId="0" borderId="0" xfId="0"/>
    <xf numFmtId="0" fontId="4" fillId="2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12" fillId="4" borderId="4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14" fillId="4" borderId="4" xfId="0" applyFont="1" applyFill="1" applyBorder="1" applyAlignment="1">
      <alignment horizontal="left" vertical="center"/>
    </xf>
    <xf numFmtId="0" fontId="15" fillId="3" borderId="4" xfId="0" applyFont="1" applyFill="1" applyBorder="1" applyAlignment="1">
      <alignment horizontal="left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left" vertical="center"/>
    </xf>
    <xf numFmtId="0" fontId="18" fillId="7" borderId="4" xfId="0" applyFont="1" applyFill="1" applyBorder="1" applyAlignment="1">
      <alignment horizontal="left" vertical="center"/>
    </xf>
    <xf numFmtId="3" fontId="17" fillId="3" borderId="4" xfId="0" applyNumberFormat="1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left" vertical="center"/>
    </xf>
    <xf numFmtId="3" fontId="17" fillId="4" borderId="4" xfId="0" applyNumberFormat="1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center" vertical="center"/>
    </xf>
    <xf numFmtId="3" fontId="18" fillId="7" borderId="4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left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center" vertical="center"/>
    </xf>
    <xf numFmtId="0" fontId="23" fillId="10" borderId="4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18" fillId="10" borderId="4" xfId="0" applyFont="1" applyFill="1" applyBorder="1" applyAlignment="1">
      <alignment horizontal="left" vertical="center" wrapText="1"/>
    </xf>
    <xf numFmtId="0" fontId="24" fillId="10" borderId="4" xfId="0" applyFont="1" applyFill="1" applyBorder="1" applyAlignment="1">
      <alignment horizontal="left" vertical="center" wrapText="1"/>
    </xf>
    <xf numFmtId="0" fontId="23" fillId="4" borderId="4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left" vertical="center" wrapText="1"/>
    </xf>
    <xf numFmtId="0" fontId="24" fillId="4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vertical="center"/>
    </xf>
    <xf numFmtId="0" fontId="25" fillId="12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25" fillId="4" borderId="4" xfId="0" applyFont="1" applyFill="1" applyBorder="1" applyAlignment="1">
      <alignment horizontal="left" vertical="center" wrapText="1"/>
    </xf>
    <xf numFmtId="0" fontId="4" fillId="13" borderId="4" xfId="0" applyFont="1" applyFill="1" applyBorder="1" applyAlignment="1">
      <alignment horizontal="center" vertical="center"/>
    </xf>
    <xf numFmtId="0" fontId="24" fillId="5" borderId="4" xfId="0" applyFont="1" applyFill="1" applyBorder="1" applyAlignment="1">
      <alignment horizontal="left" vertical="center" wrapText="1"/>
    </xf>
    <xf numFmtId="0" fontId="17" fillId="5" borderId="4" xfId="0" applyFont="1" applyFill="1" applyBorder="1" applyAlignment="1">
      <alignment horizontal="left" vertical="center" wrapText="1"/>
    </xf>
    <xf numFmtId="0" fontId="4" fillId="14" borderId="4" xfId="0" applyFont="1" applyFill="1" applyBorder="1" applyAlignment="1">
      <alignment horizontal="center" vertical="center"/>
    </xf>
    <xf numFmtId="0" fontId="26" fillId="8" borderId="4" xfId="0" applyFont="1" applyFill="1" applyBorder="1" applyAlignment="1">
      <alignment horizontal="left" vertical="center" wrapText="1"/>
    </xf>
    <xf numFmtId="0" fontId="17" fillId="8" borderId="4" xfId="0" applyFont="1" applyFill="1" applyBorder="1" applyAlignment="1">
      <alignment horizontal="left" vertical="center" wrapText="1"/>
    </xf>
    <xf numFmtId="0" fontId="18" fillId="8" borderId="4" xfId="0" applyFont="1" applyFill="1" applyBorder="1" applyAlignment="1">
      <alignment horizontal="left" vertical="center" wrapText="1"/>
    </xf>
    <xf numFmtId="0" fontId="24" fillId="8" borderId="4" xfId="0" applyFont="1" applyFill="1" applyBorder="1" applyAlignment="1">
      <alignment horizontal="left" vertical="center" wrapText="1"/>
    </xf>
    <xf numFmtId="0" fontId="26" fillId="4" borderId="4" xfId="0" applyFont="1" applyFill="1" applyBorder="1" applyAlignment="1">
      <alignment horizontal="left" vertical="center" wrapText="1"/>
    </xf>
    <xf numFmtId="0" fontId="4" fillId="15" borderId="4" xfId="0" applyFont="1" applyFill="1" applyBorder="1" applyAlignment="1">
      <alignment horizontal="center" vertical="center"/>
    </xf>
    <xf numFmtId="0" fontId="27" fillId="16" borderId="4" xfId="0" applyFont="1" applyFill="1" applyBorder="1" applyAlignment="1">
      <alignment horizontal="left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27" fillId="4" borderId="4" xfId="0" applyFont="1" applyFill="1" applyBorder="1" applyAlignment="1">
      <alignment horizontal="left" vertical="center" wrapText="1"/>
    </xf>
    <xf numFmtId="0" fontId="29" fillId="3" borderId="4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left" vertical="center" wrapText="1"/>
    </xf>
    <xf numFmtId="0" fontId="30" fillId="3" borderId="4" xfId="0" applyFont="1" applyFill="1" applyBorder="1" applyAlignment="1">
      <alignment horizontal="left" vertical="center" wrapText="1"/>
    </xf>
    <xf numFmtId="0" fontId="21" fillId="3" borderId="4" xfId="0" applyFont="1" applyFill="1" applyBorder="1" applyAlignment="1">
      <alignment horizontal="left" vertical="center" wrapText="1"/>
    </xf>
    <xf numFmtId="0" fontId="24" fillId="3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center" vertical="center" wrapText="1"/>
    </xf>
    <xf numFmtId="0" fontId="30" fillId="4" borderId="4" xfId="0" applyFont="1" applyFill="1" applyBorder="1" applyAlignment="1">
      <alignment horizontal="left" vertical="center" wrapText="1"/>
    </xf>
    <xf numFmtId="0" fontId="21" fillId="4" borderId="4" xfId="0" applyFont="1" applyFill="1" applyBorder="1" applyAlignment="1">
      <alignment horizontal="left" vertical="center" wrapText="1"/>
    </xf>
    <xf numFmtId="4" fontId="17" fillId="4" borderId="4" xfId="0" applyNumberFormat="1" applyFont="1" applyFill="1" applyBorder="1" applyAlignment="1">
      <alignment horizontal="center" vertical="center"/>
    </xf>
    <xf numFmtId="164" fontId="17" fillId="4" borderId="4" xfId="0" applyNumberFormat="1" applyFont="1" applyFill="1" applyBorder="1" applyAlignment="1">
      <alignment horizontal="center" vertical="center"/>
    </xf>
    <xf numFmtId="4" fontId="17" fillId="3" borderId="4" xfId="0" applyNumberFormat="1" applyFont="1" applyFill="1" applyBorder="1" applyAlignment="1">
      <alignment horizontal="center" vertical="center"/>
    </xf>
    <xf numFmtId="164" fontId="17" fillId="3" borderId="4" xfId="0" applyNumberFormat="1" applyFont="1" applyFill="1" applyBorder="1" applyAlignment="1">
      <alignment horizontal="center" vertical="center"/>
    </xf>
    <xf numFmtId="0" fontId="4" fillId="17" borderId="4" xfId="0" applyFont="1" applyFill="1" applyBorder="1" applyAlignment="1">
      <alignment horizontal="center" vertical="center"/>
    </xf>
    <xf numFmtId="0" fontId="32" fillId="18" borderId="4" xfId="0" applyFont="1" applyFill="1" applyBorder="1" applyAlignment="1">
      <alignment horizontal="center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32" fillId="4" borderId="4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/>
    </xf>
    <xf numFmtId="0" fontId="17" fillId="19" borderId="4" xfId="0" applyFont="1" applyFill="1" applyBorder="1" applyAlignment="1">
      <alignment horizontal="center" vertical="center"/>
    </xf>
    <xf numFmtId="0" fontId="10" fillId="18" borderId="4" xfId="0" applyFont="1" applyFill="1" applyBorder="1" applyAlignment="1">
      <alignment horizontal="left" vertical="center"/>
    </xf>
    <xf numFmtId="165" fontId="9" fillId="18" borderId="4" xfId="0" applyNumberFormat="1" applyFont="1" applyFill="1" applyBorder="1" applyAlignment="1">
      <alignment horizontal="right" vertical="center"/>
    </xf>
    <xf numFmtId="0" fontId="7" fillId="18" borderId="4" xfId="0" applyFont="1" applyFill="1" applyBorder="1" applyAlignment="1">
      <alignment horizontal="center" vertical="center"/>
    </xf>
    <xf numFmtId="165" fontId="34" fillId="18" borderId="4" xfId="0" applyNumberFormat="1" applyFont="1" applyFill="1" applyBorder="1" applyAlignment="1">
      <alignment horizontal="right" vertical="center"/>
    </xf>
    <xf numFmtId="165" fontId="9" fillId="4" borderId="4" xfId="0" applyNumberFormat="1" applyFont="1" applyFill="1" applyBorder="1" applyAlignment="1">
      <alignment horizontal="right" vertical="center"/>
    </xf>
    <xf numFmtId="0" fontId="7" fillId="4" borderId="4" xfId="0" applyFont="1" applyFill="1" applyBorder="1" applyAlignment="1">
      <alignment horizontal="center" vertical="center"/>
    </xf>
    <xf numFmtId="165" fontId="34" fillId="4" borderId="4" xfId="0" applyNumberFormat="1" applyFont="1" applyFill="1" applyBorder="1" applyAlignment="1">
      <alignment horizontal="right" vertical="center"/>
    </xf>
    <xf numFmtId="0" fontId="6" fillId="5" borderId="4" xfId="0" applyFont="1" applyFill="1" applyBorder="1" applyAlignment="1">
      <alignment horizontal="center" vertical="center"/>
    </xf>
    <xf numFmtId="165" fontId="9" fillId="5" borderId="4" xfId="0" applyNumberFormat="1" applyFont="1" applyFill="1" applyBorder="1" applyAlignment="1">
      <alignment horizontal="right" vertical="center"/>
    </xf>
    <xf numFmtId="0" fontId="7" fillId="5" borderId="4" xfId="0" applyFont="1" applyFill="1" applyBorder="1" applyAlignment="1">
      <alignment horizontal="center" vertical="center"/>
    </xf>
    <xf numFmtId="0" fontId="35" fillId="5" borderId="4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center" vertical="center"/>
    </xf>
    <xf numFmtId="166" fontId="21" fillId="4" borderId="4" xfId="0" applyNumberFormat="1" applyFont="1" applyFill="1" applyBorder="1" applyAlignment="1">
      <alignment horizontal="right" vertical="center"/>
    </xf>
    <xf numFmtId="166" fontId="35" fillId="5" borderId="4" xfId="0" applyNumberFormat="1" applyFont="1" applyFill="1" applyBorder="1" applyAlignment="1">
      <alignment horizontal="right" vertical="center"/>
    </xf>
    <xf numFmtId="166" fontId="35" fillId="4" borderId="4" xfId="0" applyNumberFormat="1" applyFont="1" applyFill="1" applyBorder="1" applyAlignment="1">
      <alignment horizontal="right" vertical="center"/>
    </xf>
    <xf numFmtId="0" fontId="12" fillId="8" borderId="4" xfId="0" applyFont="1" applyFill="1" applyBorder="1" applyAlignment="1">
      <alignment horizontal="left" vertical="center"/>
    </xf>
    <xf numFmtId="165" fontId="9" fillId="8" borderId="4" xfId="0" applyNumberFormat="1" applyFont="1" applyFill="1" applyBorder="1" applyAlignment="1">
      <alignment horizontal="right" vertical="center"/>
    </xf>
    <xf numFmtId="167" fontId="36" fillId="8" borderId="4" xfId="0" applyNumberFormat="1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167" fontId="36" fillId="4" borderId="4" xfId="0" applyNumberFormat="1" applyFont="1" applyFill="1" applyBorder="1" applyAlignment="1">
      <alignment horizontal="center" vertical="center"/>
    </xf>
    <xf numFmtId="0" fontId="9" fillId="16" borderId="4" xfId="0" applyFont="1" applyFill="1" applyBorder="1" applyAlignment="1">
      <alignment horizontal="left" vertical="center"/>
    </xf>
    <xf numFmtId="0" fontId="7" fillId="16" borderId="4" xfId="0" applyFont="1" applyFill="1" applyBorder="1" applyAlignment="1">
      <alignment horizontal="center" vertical="center"/>
    </xf>
    <xf numFmtId="167" fontId="29" fillId="16" borderId="4" xfId="0" applyNumberFormat="1" applyFont="1" applyFill="1" applyBorder="1" applyAlignment="1">
      <alignment horizontal="center" vertical="center"/>
    </xf>
    <xf numFmtId="167" fontId="29" fillId="4" borderId="4" xfId="0" applyNumberFormat="1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left" vertical="center"/>
    </xf>
    <xf numFmtId="165" fontId="9" fillId="7" borderId="4" xfId="0" applyNumberFormat="1" applyFont="1" applyFill="1" applyBorder="1" applyAlignment="1">
      <alignment horizontal="right" vertical="center"/>
    </xf>
    <xf numFmtId="0" fontId="7" fillId="7" borderId="4" xfId="0" applyFont="1" applyFill="1" applyBorder="1" applyAlignment="1">
      <alignment horizontal="center" vertical="center"/>
    </xf>
    <xf numFmtId="0" fontId="37" fillId="7" borderId="4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37" fillId="4" borderId="4" xfId="0" applyFont="1" applyFill="1" applyBorder="1" applyAlignment="1">
      <alignment horizontal="left" vertical="center"/>
    </xf>
    <xf numFmtId="0" fontId="38" fillId="16" borderId="4" xfId="0" applyFont="1" applyFill="1" applyBorder="1" applyAlignment="1">
      <alignment horizontal="left" vertical="center" wrapText="1"/>
    </xf>
    <xf numFmtId="0" fontId="18" fillId="16" borderId="4" xfId="0" applyFont="1" applyFill="1" applyBorder="1" applyAlignment="1">
      <alignment horizontal="left" vertical="center" wrapText="1"/>
    </xf>
    <xf numFmtId="0" fontId="38" fillId="4" borderId="4" xfId="0" applyFont="1" applyFill="1" applyBorder="1" applyAlignment="1">
      <alignment horizontal="left" vertical="center" wrapText="1"/>
    </xf>
    <xf numFmtId="0" fontId="39" fillId="2" borderId="4" xfId="0" applyFont="1" applyFill="1" applyBorder="1" applyAlignment="1">
      <alignment horizontal="left" vertical="center" wrapText="1"/>
    </xf>
    <xf numFmtId="0" fontId="18" fillId="3" borderId="4" xfId="0" applyFont="1" applyFill="1" applyBorder="1" applyAlignment="1">
      <alignment horizontal="left" vertical="center" wrapText="1"/>
    </xf>
    <xf numFmtId="0" fontId="18" fillId="7" borderId="4" xfId="0" applyFont="1" applyFill="1" applyBorder="1" applyAlignment="1">
      <alignment horizontal="left" vertical="center" wrapText="1"/>
    </xf>
    <xf numFmtId="0" fontId="39" fillId="2" borderId="4" xfId="0" applyFont="1" applyFill="1" applyBorder="1" applyAlignment="1">
      <alignment horizontal="center" vertical="center"/>
    </xf>
    <xf numFmtId="0" fontId="49" fillId="4" borderId="4" xfId="0" applyFont="1" applyFill="1" applyBorder="1" applyAlignment="1">
      <alignment horizontal="center" vertical="center"/>
    </xf>
    <xf numFmtId="0" fontId="35" fillId="4" borderId="4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50" fillId="4" borderId="4" xfId="0" applyFont="1" applyFill="1" applyBorder="1" applyAlignment="1">
      <alignment horizontal="center" vertical="center"/>
    </xf>
    <xf numFmtId="0" fontId="24" fillId="5" borderId="4" xfId="0" applyFont="1" applyFill="1" applyBorder="1" applyAlignment="1">
      <alignment horizontal="center" vertical="center"/>
    </xf>
    <xf numFmtId="0" fontId="49" fillId="3" borderId="4" xfId="0" applyFont="1" applyFill="1" applyBorder="1" applyAlignment="1">
      <alignment horizontal="center" vertical="center"/>
    </xf>
    <xf numFmtId="0" fontId="35" fillId="3" borderId="4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/>
    </xf>
    <xf numFmtId="0" fontId="50" fillId="3" borderId="4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32" fillId="4" borderId="4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0" fontId="29" fillId="4" borderId="4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51" fillId="3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9" fillId="3" borderId="4" xfId="0" applyFont="1" applyFill="1" applyBorder="1" applyAlignment="1">
      <alignment horizontal="center" vertical="center"/>
    </xf>
    <xf numFmtId="0" fontId="26" fillId="7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36" fillId="4" borderId="4" xfId="0" applyFont="1" applyFill="1" applyBorder="1" applyAlignment="1">
      <alignment horizontal="center" vertical="center"/>
    </xf>
    <xf numFmtId="0" fontId="53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/>
    </xf>
    <xf numFmtId="0" fontId="53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left" vertical="center" wrapText="1"/>
    </xf>
    <xf numFmtId="0" fontId="2" fillId="0" borderId="6" xfId="0" applyFont="1" applyBorder="1"/>
    <xf numFmtId="0" fontId="2" fillId="0" borderId="7" xfId="0" applyFont="1" applyBorder="1"/>
    <xf numFmtId="0" fontId="7" fillId="4" borderId="5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22" fillId="8" borderId="1" xfId="0" applyFont="1" applyFill="1" applyBorder="1" applyAlignment="1">
      <alignment horizontal="left" vertical="center"/>
    </xf>
    <xf numFmtId="0" fontId="19" fillId="13" borderId="1" xfId="0" applyFont="1" applyFill="1" applyBorder="1" applyAlignment="1">
      <alignment horizontal="left" vertical="center"/>
    </xf>
    <xf numFmtId="0" fontId="19" fillId="14" borderId="1" xfId="0" applyFont="1" applyFill="1" applyBorder="1" applyAlignment="1">
      <alignment horizontal="left" vertical="center"/>
    </xf>
    <xf numFmtId="0" fontId="19" fillId="15" borderId="1" xfId="0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/>
    </xf>
    <xf numFmtId="0" fontId="19" fillId="11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31" fillId="5" borderId="1" xfId="0" applyFont="1" applyFill="1" applyBorder="1" applyAlignment="1">
      <alignment horizontal="left" vertical="center"/>
    </xf>
    <xf numFmtId="0" fontId="28" fillId="17" borderId="1" xfId="0" applyFont="1" applyFill="1" applyBorder="1" applyAlignment="1">
      <alignment horizontal="left" vertical="center"/>
    </xf>
    <xf numFmtId="0" fontId="28" fillId="13" borderId="1" xfId="0" applyFont="1" applyFill="1" applyBorder="1" applyAlignment="1">
      <alignment horizontal="left" vertical="center"/>
    </xf>
    <xf numFmtId="0" fontId="28" fillId="14" borderId="1" xfId="0" applyFont="1" applyFill="1" applyBorder="1" applyAlignment="1">
      <alignment horizontal="left" vertical="center"/>
    </xf>
    <xf numFmtId="0" fontId="28" fillId="9" borderId="1" xfId="0" applyFont="1" applyFill="1" applyBorder="1" applyAlignment="1">
      <alignment horizontal="left" vertical="center"/>
    </xf>
    <xf numFmtId="0" fontId="33" fillId="10" borderId="1" xfId="0" applyFont="1" applyFill="1" applyBorder="1" applyAlignment="1">
      <alignment horizontal="left" vertical="center"/>
    </xf>
    <xf numFmtId="0" fontId="28" fillId="15" borderId="1" xfId="0" applyFont="1" applyFill="1" applyBorder="1" applyAlignment="1">
      <alignment horizontal="left" vertical="center"/>
    </xf>
    <xf numFmtId="0" fontId="28" fillId="6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40" fillId="0" borderId="0" xfId="0" applyFont="1"/>
    <xf numFmtId="0" fontId="0" fillId="0" borderId="0" xfId="0"/>
    <xf numFmtId="0" fontId="24" fillId="5" borderId="5" xfId="0" applyFont="1" applyFill="1" applyBorder="1" applyAlignment="1">
      <alignment horizontal="left" vertical="center" wrapText="1"/>
    </xf>
    <xf numFmtId="0" fontId="24" fillId="4" borderId="5" xfId="0" applyFont="1" applyFill="1" applyBorder="1" applyAlignment="1">
      <alignment horizontal="left" vertical="center" wrapText="1"/>
    </xf>
    <xf numFmtId="0" fontId="39" fillId="2" borderId="5" xfId="0" applyFont="1" applyFill="1" applyBorder="1" applyAlignment="1">
      <alignment horizontal="left" vertical="center" wrapText="1"/>
    </xf>
    <xf numFmtId="0" fontId="41" fillId="2" borderId="1" xfId="0" applyFont="1" applyFill="1" applyBorder="1" applyAlignment="1">
      <alignment horizontal="left" vertical="center"/>
    </xf>
    <xf numFmtId="0" fontId="42" fillId="20" borderId="1" xfId="0" applyFont="1" applyFill="1" applyBorder="1" applyAlignment="1">
      <alignment horizontal="left" vertical="center"/>
    </xf>
    <xf numFmtId="0" fontId="43" fillId="21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43" fillId="21" borderId="11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43" fillId="21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  <xf numFmtId="0" fontId="43" fillId="21" borderId="17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0" fontId="48" fillId="21" borderId="34" xfId="0" applyFont="1" applyFill="1" applyBorder="1" applyAlignment="1">
      <alignment horizontal="center" vertical="center"/>
    </xf>
    <xf numFmtId="0" fontId="2" fillId="0" borderId="35" xfId="0" applyFont="1" applyBorder="1"/>
    <xf numFmtId="0" fontId="2" fillId="0" borderId="36" xfId="0" applyFont="1" applyBorder="1"/>
    <xf numFmtId="0" fontId="48" fillId="21" borderId="28" xfId="0" applyFont="1" applyFill="1" applyBorder="1" applyAlignment="1">
      <alignment horizontal="center" vertical="center"/>
    </xf>
    <xf numFmtId="0" fontId="2" fillId="0" borderId="29" xfId="0" applyFont="1" applyBorder="1"/>
    <xf numFmtId="0" fontId="2" fillId="0" borderId="30" xfId="0" applyFont="1" applyBorder="1"/>
    <xf numFmtId="0" fontId="44" fillId="21" borderId="20" xfId="0" applyFont="1" applyFill="1" applyBorder="1" applyAlignment="1">
      <alignment horizontal="center" vertical="center"/>
    </xf>
    <xf numFmtId="0" fontId="2" fillId="0" borderId="21" xfId="0" applyFont="1" applyBorder="1"/>
    <xf numFmtId="0" fontId="45" fillId="21" borderId="22" xfId="0" applyFont="1" applyFill="1" applyBorder="1" applyAlignment="1">
      <alignment horizontal="center" vertical="center"/>
    </xf>
    <xf numFmtId="0" fontId="2" fillId="0" borderId="23" xfId="0" applyFont="1" applyBorder="1"/>
    <xf numFmtId="0" fontId="46" fillId="21" borderId="24" xfId="0" applyFont="1" applyFill="1" applyBorder="1" applyAlignment="1">
      <alignment horizontal="center" vertical="center"/>
    </xf>
    <xf numFmtId="0" fontId="2" fillId="0" borderId="25" xfId="0" applyFont="1" applyBorder="1"/>
    <xf numFmtId="0" fontId="47" fillId="21" borderId="26" xfId="0" applyFont="1" applyFill="1" applyBorder="1" applyAlignment="1">
      <alignment horizontal="center" vertical="center"/>
    </xf>
    <xf numFmtId="0" fontId="2" fillId="0" borderId="27" xfId="0" applyFont="1" applyBorder="1"/>
    <xf numFmtId="0" fontId="48" fillId="21" borderId="31" xfId="0" applyFont="1" applyFill="1" applyBorder="1" applyAlignment="1">
      <alignment horizontal="center" vertical="center"/>
    </xf>
    <xf numFmtId="0" fontId="2" fillId="0" borderId="32" xfId="0" applyFont="1" applyBorder="1"/>
    <xf numFmtId="0" fontId="2" fillId="0" borderId="33" xfId="0" applyFont="1" applyBorder="1"/>
    <xf numFmtId="0" fontId="48" fillId="21" borderId="37" xfId="0" applyFont="1" applyFill="1" applyBorder="1" applyAlignment="1">
      <alignment horizontal="center" vertical="center"/>
    </xf>
    <xf numFmtId="0" fontId="2" fillId="0" borderId="38" xfId="0" applyFont="1" applyBorder="1"/>
    <xf numFmtId="0" fontId="2" fillId="0" borderId="39" xfId="0" applyFont="1" applyBorder="1"/>
    <xf numFmtId="0" fontId="36" fillId="12" borderId="1" xfId="0" applyFont="1" applyFill="1" applyBorder="1" applyAlignment="1">
      <alignment horizontal="left" vertical="center" wrapText="1"/>
    </xf>
    <xf numFmtId="0" fontId="52" fillId="22" borderId="1" xfId="0" applyFont="1" applyFill="1" applyBorder="1" applyAlignment="1">
      <alignment horizontal="left" vertical="center"/>
    </xf>
    <xf numFmtId="0" fontId="28" fillId="11" borderId="1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left" vertical="center"/>
    </xf>
    <xf numFmtId="0" fontId="18" fillId="7" borderId="5" xfId="0" applyFont="1" applyFill="1" applyBorder="1" applyAlignment="1">
      <alignment horizontal="left" vertical="center"/>
    </xf>
    <xf numFmtId="0" fontId="17" fillId="4" borderId="5" xfId="0" applyFont="1" applyFill="1" applyBorder="1" applyAlignment="1">
      <alignment horizontal="left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17" fillId="4" borderId="43" xfId="0" applyFont="1" applyFill="1" applyBorder="1" applyAlignment="1">
      <alignment horizontal="center" vertical="center"/>
    </xf>
    <xf numFmtId="0" fontId="17" fillId="4" borderId="44" xfId="0" applyFont="1" applyFill="1" applyBorder="1" applyAlignment="1">
      <alignment horizontal="left" vertical="center"/>
    </xf>
    <xf numFmtId="0" fontId="18" fillId="7" borderId="44" xfId="0" applyFont="1" applyFill="1" applyBorder="1" applyAlignment="1">
      <alignment horizontal="left" vertical="center"/>
    </xf>
    <xf numFmtId="0" fontId="17" fillId="4" borderId="44" xfId="0" applyFont="1" applyFill="1" applyBorder="1" applyAlignment="1">
      <alignment horizontal="center" vertical="center"/>
    </xf>
    <xf numFmtId="3" fontId="17" fillId="4" borderId="44" xfId="0" applyNumberFormat="1" applyFont="1" applyFill="1" applyBorder="1" applyAlignment="1">
      <alignment horizontal="center" vertical="center"/>
    </xf>
    <xf numFmtId="0" fontId="18" fillId="7" borderId="45" xfId="0" applyFont="1" applyFill="1" applyBorder="1" applyAlignment="1">
      <alignment horizontal="left" vertical="center"/>
    </xf>
    <xf numFmtId="0" fontId="18" fillId="0" borderId="4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left" vertical="center"/>
    </xf>
    <xf numFmtId="3" fontId="17" fillId="0" borderId="4" xfId="0" applyNumberFormat="1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left" vertical="center"/>
    </xf>
    <xf numFmtId="0" fontId="18" fillId="0" borderId="5" xfId="0" applyFont="1" applyFill="1" applyBorder="1" applyAlignment="1">
      <alignment horizontal="left" vertical="center"/>
    </xf>
    <xf numFmtId="0" fontId="18" fillId="0" borderId="4" xfId="0" applyFont="1" applyFill="1" applyBorder="1" applyAlignment="1">
      <alignment horizontal="center" vertical="center"/>
    </xf>
    <xf numFmtId="3" fontId="18" fillId="0" borderId="4" xfId="0" applyNumberFormat="1" applyFont="1" applyFill="1" applyBorder="1" applyAlignment="1">
      <alignment horizontal="center" vertical="center"/>
    </xf>
    <xf numFmtId="0" fontId="54" fillId="0" borderId="4" xfId="0" applyFont="1" applyFill="1" applyBorder="1" applyAlignment="1">
      <alignment horizontal="left" vertical="center"/>
    </xf>
    <xf numFmtId="0" fontId="55" fillId="0" borderId="4" xfId="0" applyFont="1" applyFill="1" applyBorder="1" applyAlignment="1">
      <alignment horizontal="left" vertical="center"/>
    </xf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DC2626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DC2626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1D5DB"/>
        </left>
        <right/>
        <top style="thin">
          <color rgb="FFD1D5DB"/>
        </top>
        <bottom style="thin">
          <color rgb="FFD1D5DB"/>
        </bottom>
      </border>
    </dxf>
    <dxf>
      <fill>
        <patternFill patternType="none">
          <fgColor indexed="64"/>
          <bgColor auto="1"/>
        </patternFill>
      </fill>
      <border outline="0">
        <right style="thin">
          <color rgb="FFD1D5DB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ill>
        <patternFill patternType="none">
          <fgColor indexed="64"/>
          <bgColor auto="1"/>
        </patternFill>
      </fill>
      <border outline="0">
        <right style="thin">
          <color rgb="FFD1D5DB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ill>
        <patternFill patternType="none">
          <fgColor indexed="64"/>
          <bgColor auto="1"/>
        </patternFill>
      </fill>
      <border outline="0">
        <right style="thin">
          <color rgb="FFD1D5DB"/>
        </right>
      </border>
    </dxf>
    <dxf>
      <fill>
        <patternFill patternType="none">
          <fgColor indexed="64"/>
          <bgColor auto="1"/>
        </patternFill>
      </fill>
      <border outline="0">
        <right style="thin">
          <color rgb="FFD1D5DB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border outline="0">
        <top style="thin">
          <color rgb="FFD1D5DB"/>
        </top>
      </border>
    </dxf>
    <dxf>
      <border outline="0">
        <bottom style="thin">
          <color rgb="FFD1D5DB"/>
        </bottom>
      </border>
    </dxf>
    <dxf>
      <border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B2A4A"/>
          <bgColor rgb="FF1B2A4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B2A4A"/>
          <bgColor rgb="FF1B2A4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1D5DB"/>
        </left>
        <right style="thin">
          <color rgb="FFD1D5DB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DC2626"/>
        <name val="Arial"/>
        <scheme val="none"/>
      </font>
      <fill>
        <patternFill patternType="solid">
          <fgColor rgb="FFFEE2E2"/>
          <bgColor rgb="FFFEE2E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/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DC2626"/>
        <name val="Arial"/>
        <scheme val="none"/>
      </font>
      <fill>
        <patternFill patternType="solid">
          <fgColor rgb="FFFEE2E2"/>
          <bgColor rgb="FFFEE2E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74151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border outline="0">
        <top style="thin">
          <color rgb="FFD1D5DB"/>
        </top>
      </border>
    </dxf>
    <dxf>
      <border outline="0">
        <bottom style="thin">
          <color rgb="FFD1D5DB"/>
        </bottom>
      </border>
    </dxf>
    <dxf>
      <border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B6D7FE-A6DD-4C84-A604-45BF520B523C}" name="ecom3" displayName="ecom3" ref="A1:V481" totalsRowShown="0" headerRowDxfId="25" headerRowBorderDxfId="23" tableBorderDxfId="24" totalsRowBorderDxfId="22">
  <autoFilter ref="A1:V481" xr:uid="{45B6D7FE-A6DD-4C84-A604-45BF520B523C}"/>
  <tableColumns count="22">
    <tableColumn id="1" xr3:uid="{A2DA8658-7700-4A31-B981-239D75857F9F}" name="Order_ID" dataDxfId="21"/>
    <tableColumn id="2" xr3:uid="{9FB0708F-D5B2-41D4-B9E2-E152891E4559}" name="Order_Date" dataDxfId="20"/>
    <tableColumn id="3" xr3:uid="{AD2F1F19-0FD1-4521-A1C9-1364956F6D35}" name="Customer_Name" dataDxfId="0">
      <calculatedColumnFormula>IF(ISBLANK(Raw_Data!C2),"unknown",PROPER(TRIM(CLEAN(Raw_Data!C2))))</calculatedColumnFormula>
    </tableColumn>
    <tableColumn id="4" xr3:uid="{3287A8E2-C5BA-44FA-8D29-34AD45B07C1C}" name="Customer_ID" dataDxfId="19"/>
    <tableColumn id="5" xr3:uid="{88C5F8A9-CEED-42D2-A34A-143E8E8721C9}" name="Email" dataDxfId="2"/>
    <tableColumn id="6" xr3:uid="{AB390362-E97E-4620-A383-38B9054CB5EC}" name="Phone" dataDxfId="18"/>
    <tableColumn id="7" xr3:uid="{F2295E3E-3E0A-46FF-9738-C62256D8EC9E}" name="City" dataDxfId="17"/>
    <tableColumn id="8" xr3:uid="{1B9E05BB-CB76-4271-9655-C9F8CA40EE4C}" name="State" dataDxfId="1"/>
    <tableColumn id="9" xr3:uid="{0B11979F-4FE0-4FA2-8BFD-EDDEE849841B}" name="Region" dataDxfId="16"/>
    <tableColumn id="10" xr3:uid="{6490FA23-6A48-4E1A-AD90-1B274DBBCAD3}" name="Product_ID" dataDxfId="15"/>
    <tableColumn id="11" xr3:uid="{3217B5ED-048B-4EF1-8401-DB40451C944F}" name="Product_Name" dataDxfId="14"/>
    <tableColumn id="12" xr3:uid="{03D46F7C-D8F7-4811-8DFB-BD24FF0A26A8}" name="Category" dataDxfId="13"/>
    <tableColumn id="13" xr3:uid="{994D5BC8-28C7-496F-8DC3-6A0CD03B88BA}" name="Sub_Category" dataDxfId="12"/>
    <tableColumn id="14" xr3:uid="{49426894-B13A-400E-A064-1CA0415E934A}" name="Brand" dataDxfId="11"/>
    <tableColumn id="15" xr3:uid="{4AC19611-1B89-45B4-8150-579F17C9E5BA}" name="Quantity" dataDxfId="10"/>
    <tableColumn id="16" xr3:uid="{2C1BC98A-5E9E-4F0A-B27F-7ADB42CD0A50}" name="Unit_Price" dataDxfId="9"/>
    <tableColumn id="17" xr3:uid="{F538AF03-E881-4C96-ABFE-616CF582B40C}" name="Discount_%" dataDxfId="8"/>
    <tableColumn id="18" xr3:uid="{BF3F741E-5983-4D8D-97CD-E5C20D490CC2}" name="GST_%" dataDxfId="7"/>
    <tableColumn id="19" xr3:uid="{28D49DC9-4914-4044-B24B-D88BF093064A}" name="Total_Amount" dataDxfId="6"/>
    <tableColumn id="20" xr3:uid="{10E0B2FD-1E69-4983-A1D5-0B9FF086794A}" name="Payment_Mode" dataDxfId="5"/>
    <tableColumn id="21" xr3:uid="{A1F16DAC-3F8E-44BF-A8D1-8490F5BA8A84}" name="Order_Status" dataDxfId="4"/>
    <tableColumn id="22" xr3:uid="{8C763915-82E6-4A24-A163-0FD0F3B3F92C}" name="Return_Flag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DF3B21-A9BE-4FB7-A50E-1C08BE4C31C1}" name="ecom" displayName="ecom" ref="A1:V501" totalsRowShown="0" headerRowDxfId="26" headerRowBorderDxfId="46" tableBorderDxfId="47" totalsRowBorderDxfId="45">
  <autoFilter ref="A1:V501" xr:uid="{B9DF3B21-A9BE-4FB7-A50E-1C08BE4C31C1}"/>
  <tableColumns count="22">
    <tableColumn id="1" xr3:uid="{BC3E3DAF-8D62-4BD1-AC1A-CA1E31D934C2}" name="Order_ID" dataDxfId="44"/>
    <tableColumn id="2" xr3:uid="{EE056F82-1F8D-47D2-90D6-55F68E189F62}" name="Order_Date" dataDxfId="43"/>
    <tableColumn id="3" xr3:uid="{A417B034-0A8D-4FA3-A0CE-8D89AF41FE02}" name="Customer_Name" dataDxfId="42"/>
    <tableColumn id="4" xr3:uid="{BEA187F7-5E85-4665-B1B1-A54A98D09425}" name="Customer_ID" dataDxfId="41"/>
    <tableColumn id="5" xr3:uid="{CAE1A68F-9036-4403-B991-A77563B00F97}" name="Email" dataDxfId="40"/>
    <tableColumn id="6" xr3:uid="{2895248E-F3C2-4F74-82A9-60EDFDB5F0A0}" name="Phone"/>
    <tableColumn id="7" xr3:uid="{69EE71CF-0C05-427F-8022-304EC3053905}" name="City"/>
    <tableColumn id="8" xr3:uid="{8D7F2590-7336-4969-AE9A-2D5EF43E2D72}" name="State" dataDxfId="39"/>
    <tableColumn id="9" xr3:uid="{24FBD44F-BB5D-4DE3-92DA-704CF4A24D64}" name="Region" dataDxfId="38"/>
    <tableColumn id="10" xr3:uid="{CA6CF673-C49A-4DBD-8229-FA0957ED353C}" name="Product_ID" dataDxfId="37"/>
    <tableColumn id="11" xr3:uid="{7D65EB59-D5D1-4E73-ACB7-6E322FF59478}" name="Product_Name" dataDxfId="36"/>
    <tableColumn id="12" xr3:uid="{024743F9-1C0B-476B-9099-E0D783E33F95}" name="Category"/>
    <tableColumn id="13" xr3:uid="{F3F92EBB-9F94-4BE2-8FED-2B609B9E9760}" name="Sub_Category" dataDxfId="35"/>
    <tableColumn id="14" xr3:uid="{F4035B04-52A6-4914-AF58-077A641A69EE}" name="Brand" dataDxfId="34"/>
    <tableColumn id="15" xr3:uid="{072E0CCE-87F2-49AD-86E1-322F1534B536}" name="Quantity" dataDxfId="33"/>
    <tableColumn id="16" xr3:uid="{48C881FA-12A5-4D71-BBA5-86C36B8D256E}" name="Unit_Price" dataDxfId="32"/>
    <tableColumn id="17" xr3:uid="{068CB7C5-988F-404E-8153-DB63CC6EBEAC}" name="Discount_%" dataDxfId="31"/>
    <tableColumn id="18" xr3:uid="{AE063FDE-C67C-44EC-BDAF-0F31683CC251}" name="GST_%" dataDxfId="30"/>
    <tableColumn id="19" xr3:uid="{FEE94D4C-B525-40FA-BC76-C4071FE14736}" name="Total_Amount" dataDxfId="29"/>
    <tableColumn id="20" xr3:uid="{47A2BA32-DF7D-4A41-84F4-5790F71171A1}" name="Payment_Mode" dataDxfId="28"/>
    <tableColumn id="21" xr3:uid="{92EA9254-B302-401B-B186-32C3E2D649A9}" name="Order_Status"/>
    <tableColumn id="22" xr3:uid="{565C7525-5330-4384-9F23-192AF6FC5407}" name="Return_Flag" dataDxf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B2:H1000"/>
  <sheetViews>
    <sheetView showGridLines="0" workbookViewId="0">
      <selection activeCell="C6" sqref="C6"/>
    </sheetView>
  </sheetViews>
  <sheetFormatPr defaultColWidth="14.44140625" defaultRowHeight="15" customHeight="1"/>
  <cols>
    <col min="1" max="1" width="3" customWidth="1"/>
    <col min="2" max="2" width="28" customWidth="1"/>
    <col min="3" max="3" width="24" customWidth="1"/>
    <col min="4" max="5" width="20" customWidth="1"/>
    <col min="6" max="6" width="16" customWidth="1"/>
    <col min="7" max="8" width="14" customWidth="1"/>
    <col min="9" max="26" width="8.6640625" customWidth="1"/>
  </cols>
  <sheetData>
    <row r="2" spans="2:8" ht="39.75" customHeight="1">
      <c r="B2" s="146" t="s">
        <v>0</v>
      </c>
      <c r="C2" s="144"/>
      <c r="D2" s="144"/>
      <c r="E2" s="144"/>
      <c r="F2" s="144"/>
      <c r="G2" s="144"/>
      <c r="H2" s="145"/>
    </row>
    <row r="3" spans="2:8" ht="21.75" customHeight="1">
      <c r="B3" s="147" t="s">
        <v>1</v>
      </c>
      <c r="C3" s="144"/>
      <c r="D3" s="144"/>
      <c r="E3" s="144"/>
      <c r="F3" s="144"/>
      <c r="G3" s="144"/>
      <c r="H3" s="145"/>
    </row>
    <row r="5" spans="2:8" ht="21.75" customHeight="1">
      <c r="B5" s="1" t="s">
        <v>2</v>
      </c>
      <c r="C5" s="1" t="s">
        <v>3</v>
      </c>
      <c r="D5" s="148" t="s">
        <v>4</v>
      </c>
      <c r="E5" s="140"/>
      <c r="F5" s="140"/>
      <c r="G5" s="140"/>
      <c r="H5" s="141"/>
    </row>
    <row r="6" spans="2:8" ht="21.75" customHeight="1">
      <c r="B6" s="2" t="s">
        <v>5</v>
      </c>
      <c r="C6" s="3" t="s">
        <v>6</v>
      </c>
      <c r="D6" s="139" t="s">
        <v>7</v>
      </c>
      <c r="E6" s="140"/>
      <c r="F6" s="140"/>
      <c r="G6" s="140"/>
      <c r="H6" s="141"/>
    </row>
    <row r="7" spans="2:8" ht="21.75" customHeight="1">
      <c r="B7" s="4" t="s">
        <v>8</v>
      </c>
      <c r="C7" s="5" t="s">
        <v>9</v>
      </c>
      <c r="D7" s="142" t="s">
        <v>10</v>
      </c>
      <c r="E7" s="140"/>
      <c r="F7" s="140"/>
      <c r="G7" s="140"/>
      <c r="H7" s="141"/>
    </row>
    <row r="8" spans="2:8" ht="21.75" customHeight="1">
      <c r="B8" s="6" t="s">
        <v>11</v>
      </c>
      <c r="C8" s="3" t="s">
        <v>12</v>
      </c>
      <c r="D8" s="139" t="s">
        <v>13</v>
      </c>
      <c r="E8" s="140"/>
      <c r="F8" s="140"/>
      <c r="G8" s="140"/>
      <c r="H8" s="141"/>
    </row>
    <row r="9" spans="2:8" ht="21.75" customHeight="1">
      <c r="B9" s="7" t="s">
        <v>14</v>
      </c>
      <c r="C9" s="5" t="s">
        <v>15</v>
      </c>
      <c r="D9" s="142" t="s">
        <v>16</v>
      </c>
      <c r="E9" s="140"/>
      <c r="F9" s="140"/>
      <c r="G9" s="140"/>
      <c r="H9" s="141"/>
    </row>
    <row r="10" spans="2:8" ht="21.75" customHeight="1">
      <c r="B10" s="8" t="s">
        <v>17</v>
      </c>
      <c r="C10" s="3" t="s">
        <v>18</v>
      </c>
      <c r="D10" s="139" t="s">
        <v>19</v>
      </c>
      <c r="E10" s="140"/>
      <c r="F10" s="140"/>
      <c r="G10" s="140"/>
      <c r="H10" s="141"/>
    </row>
    <row r="11" spans="2:8" ht="21.75" customHeight="1">
      <c r="B11" s="9" t="s">
        <v>20</v>
      </c>
      <c r="C11" s="5" t="s">
        <v>21</v>
      </c>
      <c r="D11" s="142" t="s">
        <v>22</v>
      </c>
      <c r="E11" s="140"/>
      <c r="F11" s="140"/>
      <c r="G11" s="140"/>
      <c r="H11" s="141"/>
    </row>
    <row r="12" spans="2:8" ht="21.75" customHeight="1">
      <c r="B12" s="10" t="s">
        <v>23</v>
      </c>
      <c r="C12" s="3" t="s">
        <v>24</v>
      </c>
      <c r="D12" s="139" t="s">
        <v>25</v>
      </c>
      <c r="E12" s="140"/>
      <c r="F12" s="140"/>
      <c r="G12" s="140"/>
      <c r="H12" s="141"/>
    </row>
    <row r="13" spans="2:8" ht="21.75" customHeight="1">
      <c r="B13" s="11" t="s">
        <v>26</v>
      </c>
      <c r="C13" s="5" t="s">
        <v>27</v>
      </c>
      <c r="D13" s="142" t="s">
        <v>28</v>
      </c>
      <c r="E13" s="140"/>
      <c r="F13" s="140"/>
      <c r="G13" s="140"/>
      <c r="H13" s="141"/>
    </row>
    <row r="14" spans="2:8" ht="21.75" customHeight="1">
      <c r="B14" s="12" t="s">
        <v>29</v>
      </c>
      <c r="C14" s="3" t="s">
        <v>30</v>
      </c>
      <c r="D14" s="139" t="s">
        <v>31</v>
      </c>
      <c r="E14" s="140"/>
      <c r="F14" s="140"/>
      <c r="G14" s="140"/>
      <c r="H14" s="141"/>
    </row>
    <row r="16" spans="2:8" ht="39.75" customHeight="1">
      <c r="B16" s="143" t="s">
        <v>32</v>
      </c>
      <c r="C16" s="144"/>
      <c r="D16" s="144"/>
      <c r="E16" s="144"/>
      <c r="F16" s="144"/>
      <c r="G16" s="144"/>
      <c r="H16" s="14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16:H16"/>
    <mergeCell ref="B2:H2"/>
    <mergeCell ref="B3:H3"/>
    <mergeCell ref="D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AE258-D725-4420-A06C-04853C2556BC}">
  <dimension ref="A1:V481"/>
  <sheetViews>
    <sheetView tabSelected="1" topLeftCell="B1" workbookViewId="0">
      <selection activeCell="C5" sqref="C5"/>
    </sheetView>
  </sheetViews>
  <sheetFormatPr defaultRowHeight="14.4"/>
  <cols>
    <col min="1" max="1" width="11" customWidth="1"/>
    <col min="2" max="2" width="13.5546875" customWidth="1"/>
    <col min="3" max="3" width="20" bestFit="1" customWidth="1"/>
    <col min="4" max="4" width="16.77734375" bestFit="1" customWidth="1"/>
    <col min="5" max="5" width="20.44140625" bestFit="1" customWidth="1"/>
    <col min="6" max="6" width="11" bestFit="1" customWidth="1"/>
    <col min="7" max="7" width="11.88671875" bestFit="1" customWidth="1"/>
    <col min="8" max="8" width="12.44140625" bestFit="1" customWidth="1"/>
    <col min="9" max="9" width="11.5546875" bestFit="1" customWidth="1"/>
    <col min="10" max="10" width="15.21875" bestFit="1" customWidth="1"/>
    <col min="11" max="11" width="21.77734375" bestFit="1" customWidth="1"/>
    <col min="12" max="12" width="13.44140625" bestFit="1" customWidth="1"/>
    <col min="13" max="13" width="18" bestFit="1" customWidth="1"/>
    <col min="14" max="14" width="10.77734375" bestFit="1" customWidth="1"/>
    <col min="15" max="15" width="12.88671875" bestFit="1" customWidth="1"/>
    <col min="16" max="16" width="14.44140625" bestFit="1" customWidth="1"/>
    <col min="19" max="19" width="17.6640625" bestFit="1" customWidth="1"/>
    <col min="20" max="20" width="18.77734375" bestFit="1" customWidth="1"/>
    <col min="21" max="21" width="17.21875" bestFit="1" customWidth="1"/>
  </cols>
  <sheetData>
    <row r="1" spans="1:22">
      <c r="A1" s="220" t="s">
        <v>33</v>
      </c>
      <c r="B1" s="221" t="s">
        <v>34</v>
      </c>
      <c r="C1" s="221" t="s">
        <v>35</v>
      </c>
      <c r="D1" s="221" t="s">
        <v>36</v>
      </c>
      <c r="E1" s="221" t="s">
        <v>37</v>
      </c>
      <c r="F1" s="221" t="s">
        <v>38</v>
      </c>
      <c r="G1" s="221" t="s">
        <v>39</v>
      </c>
      <c r="H1" s="221" t="s">
        <v>40</v>
      </c>
      <c r="I1" s="221" t="s">
        <v>41</v>
      </c>
      <c r="J1" s="221" t="s">
        <v>42</v>
      </c>
      <c r="K1" s="221" t="s">
        <v>43</v>
      </c>
      <c r="L1" s="221" t="s">
        <v>44</v>
      </c>
      <c r="M1" s="221" t="s">
        <v>45</v>
      </c>
      <c r="N1" s="221" t="s">
        <v>46</v>
      </c>
      <c r="O1" s="221" t="s">
        <v>47</v>
      </c>
      <c r="P1" s="221" t="s">
        <v>48</v>
      </c>
      <c r="Q1" s="221" t="s">
        <v>49</v>
      </c>
      <c r="R1" s="221" t="s">
        <v>50</v>
      </c>
      <c r="S1" s="221" t="s">
        <v>51</v>
      </c>
      <c r="T1" s="221" t="s">
        <v>52</v>
      </c>
      <c r="U1" s="221" t="s">
        <v>53</v>
      </c>
      <c r="V1" s="222" t="s">
        <v>54</v>
      </c>
    </row>
    <row r="2" spans="1:22">
      <c r="A2" s="215" t="s">
        <v>55</v>
      </c>
      <c r="B2" s="14" t="s">
        <v>56</v>
      </c>
      <c r="C2" s="229" t="str">
        <f>IF(ISBLANK(Raw_Data!C2),"unknown",PROPER(TRIM(CLEAN(Raw_Data!C2))))</f>
        <v>Arjun Mehta</v>
      </c>
      <c r="D2" s="230"/>
      <c r="E2" s="231"/>
      <c r="F2" s="231"/>
      <c r="G2" s="231"/>
      <c r="H2" s="230"/>
      <c r="I2" s="230"/>
      <c r="J2" s="230"/>
      <c r="K2" s="231"/>
      <c r="L2" s="231"/>
      <c r="M2" s="231"/>
      <c r="N2" s="231"/>
      <c r="O2" s="230"/>
      <c r="P2" s="232"/>
      <c r="Q2" s="230"/>
      <c r="R2" s="230"/>
      <c r="S2" s="232"/>
      <c r="T2" s="231"/>
      <c r="U2" s="231"/>
      <c r="V2" s="233"/>
    </row>
    <row r="3" spans="1:22">
      <c r="A3" s="216" t="s">
        <v>72</v>
      </c>
      <c r="B3" s="18" t="s">
        <v>73</v>
      </c>
      <c r="C3" s="231" t="str">
        <f>IF(ISBLANK(Raw_Data!C3),"unknown",PROPER(TRIM(CLEAN(Raw_Data!C3))))</f>
        <v>Preethi S</v>
      </c>
      <c r="D3" s="230"/>
      <c r="E3" s="231"/>
      <c r="F3" s="231"/>
      <c r="G3" s="231"/>
      <c r="H3" s="230"/>
      <c r="I3" s="230"/>
      <c r="J3" s="230"/>
      <c r="K3" s="231"/>
      <c r="L3" s="231"/>
      <c r="M3" s="231"/>
      <c r="N3" s="231"/>
      <c r="O3" s="230"/>
      <c r="P3" s="232"/>
      <c r="Q3" s="230"/>
      <c r="R3" s="230"/>
      <c r="S3" s="232"/>
      <c r="T3" s="231"/>
      <c r="U3" s="229"/>
      <c r="V3" s="234"/>
    </row>
    <row r="4" spans="1:22">
      <c r="A4" s="215" t="s">
        <v>89</v>
      </c>
      <c r="B4" s="14" t="s">
        <v>90</v>
      </c>
      <c r="C4" s="229" t="str">
        <f>IF(ISBLANK(Raw_Data!C4),"unknown",PROPER(TRIM(CLEAN(Raw_Data!C4))))</f>
        <v>Rekha Pandey</v>
      </c>
      <c r="D4" s="230"/>
      <c r="E4" s="231"/>
      <c r="F4" s="231"/>
      <c r="G4" s="231"/>
      <c r="H4" s="230"/>
      <c r="I4" s="230"/>
      <c r="J4" s="230"/>
      <c r="K4" s="231"/>
      <c r="L4" s="231"/>
      <c r="M4" s="231"/>
      <c r="N4" s="231"/>
      <c r="O4" s="230"/>
      <c r="P4" s="232"/>
      <c r="Q4" s="230"/>
      <c r="R4" s="230"/>
      <c r="S4" s="232"/>
      <c r="T4" s="231"/>
      <c r="U4" s="229"/>
      <c r="V4" s="234"/>
    </row>
    <row r="5" spans="1:22">
      <c r="A5" s="216" t="s">
        <v>104</v>
      </c>
      <c r="B5" s="18" t="s">
        <v>105</v>
      </c>
      <c r="C5" s="237" t="str">
        <f>IF(ISBLANK(Raw_Data!C5),"unknown",PROPER(TRIM(CLEAN(Raw_Data!C5))))</f>
        <v>Geetha Rao</v>
      </c>
      <c r="D5" s="230"/>
      <c r="E5" s="231"/>
      <c r="F5" s="231"/>
      <c r="G5" s="231"/>
      <c r="H5" s="230"/>
      <c r="I5" s="230"/>
      <c r="J5" s="230"/>
      <c r="K5" s="231"/>
      <c r="L5" s="231"/>
      <c r="M5" s="231"/>
      <c r="N5" s="231"/>
      <c r="O5" s="230"/>
      <c r="P5" s="232"/>
      <c r="Q5" s="230"/>
      <c r="R5" s="230"/>
      <c r="S5" s="232"/>
      <c r="T5" s="231"/>
      <c r="U5" s="229"/>
      <c r="V5" s="233"/>
    </row>
    <row r="6" spans="1:22">
      <c r="A6" s="215" t="s">
        <v>116</v>
      </c>
      <c r="B6" s="14" t="s">
        <v>117</v>
      </c>
      <c r="C6" s="229" t="str">
        <f>IF(ISBLANK(Raw_Data!C6),"unknown",PROPER(TRIM(CLEAN(Raw_Data!C6))))</f>
        <v>Dinesh K</v>
      </c>
      <c r="D6" s="230"/>
      <c r="E6" s="231"/>
      <c r="F6" s="231"/>
      <c r="G6" s="231"/>
      <c r="H6" s="230"/>
      <c r="I6" s="230"/>
      <c r="J6" s="230"/>
      <c r="K6" s="231"/>
      <c r="L6" s="231"/>
      <c r="M6" s="231"/>
      <c r="N6" s="231"/>
      <c r="O6" s="230"/>
      <c r="P6" s="232"/>
      <c r="Q6" s="230"/>
      <c r="R6" s="230"/>
      <c r="S6" s="232"/>
      <c r="T6" s="231"/>
      <c r="U6" s="229"/>
      <c r="V6" s="234"/>
    </row>
    <row r="7" spans="1:22">
      <c r="A7" s="216" t="s">
        <v>129</v>
      </c>
      <c r="B7" s="18" t="s">
        <v>130</v>
      </c>
      <c r="C7" s="231" t="str">
        <f>IF(ISBLANK(Raw_Data!C7),"unknown",PROPER(TRIM(CLEAN(Raw_Data!C7))))</f>
        <v>Suresh Kumar</v>
      </c>
      <c r="D7" s="230"/>
      <c r="E7" s="231"/>
      <c r="F7" s="231"/>
      <c r="G7" s="231"/>
      <c r="H7" s="230"/>
      <c r="I7" s="230"/>
      <c r="J7" s="230"/>
      <c r="K7" s="231"/>
      <c r="L7" s="231"/>
      <c r="M7" s="231"/>
      <c r="N7" s="231"/>
      <c r="O7" s="235"/>
      <c r="P7" s="232"/>
      <c r="Q7" s="230"/>
      <c r="R7" s="230"/>
      <c r="S7" s="236"/>
      <c r="T7" s="231"/>
      <c r="U7" s="231"/>
      <c r="V7" s="233"/>
    </row>
    <row r="8" spans="1:22">
      <c r="A8" s="215" t="s">
        <v>145</v>
      </c>
      <c r="B8" s="14" t="s">
        <v>146</v>
      </c>
      <c r="C8" s="229" t="str">
        <f>IF(ISBLANK(Raw_Data!C8),"unknown",PROPER(TRIM(CLEAN(Raw_Data!C8))))</f>
        <v>Swati Gupta</v>
      </c>
      <c r="D8" s="230"/>
      <c r="E8" s="231"/>
      <c r="F8" s="231"/>
      <c r="G8" s="231"/>
      <c r="H8" s="230"/>
      <c r="I8" s="230"/>
      <c r="J8" s="230"/>
      <c r="K8" s="231"/>
      <c r="L8" s="231"/>
      <c r="M8" s="231"/>
      <c r="N8" s="231"/>
      <c r="O8" s="230"/>
      <c r="P8" s="232"/>
      <c r="Q8" s="230"/>
      <c r="R8" s="230"/>
      <c r="S8" s="235"/>
      <c r="T8" s="231"/>
      <c r="U8" s="229"/>
      <c r="V8" s="233"/>
    </row>
    <row r="9" spans="1:22">
      <c r="A9" s="216" t="s">
        <v>156</v>
      </c>
      <c r="B9" s="18" t="s">
        <v>157</v>
      </c>
      <c r="C9" s="238" t="str">
        <f>IF(ISBLANK(Raw_Data!C9),"unknown",PROPER(TRIM(CLEAN(Raw_Data!C9))))</f>
        <v>Nisha Patel</v>
      </c>
      <c r="D9" s="230"/>
      <c r="E9" s="231"/>
      <c r="F9" s="231"/>
      <c r="G9" s="231"/>
      <c r="H9" s="230"/>
      <c r="I9" s="230"/>
      <c r="J9" s="230"/>
      <c r="K9" s="231"/>
      <c r="L9" s="231"/>
      <c r="M9" s="231"/>
      <c r="N9" s="231"/>
      <c r="O9" s="230"/>
      <c r="P9" s="232"/>
      <c r="Q9" s="230"/>
      <c r="R9" s="230"/>
      <c r="S9" s="232"/>
      <c r="T9" s="231"/>
      <c r="U9" s="231"/>
      <c r="V9" s="233"/>
    </row>
    <row r="10" spans="1:22">
      <c r="A10" s="215" t="s">
        <v>166</v>
      </c>
      <c r="B10" s="14" t="s">
        <v>167</v>
      </c>
      <c r="C10" s="231" t="str">
        <f>IF(ISBLANK(Raw_Data!C10),"unknown",PROPER(TRIM(CLEAN(Raw_Data!C10))))</f>
        <v>Kavya Rao</v>
      </c>
      <c r="D10" s="230"/>
      <c r="E10" s="231"/>
      <c r="F10" s="231"/>
      <c r="G10" s="231"/>
      <c r="H10" s="230"/>
      <c r="I10" s="230"/>
      <c r="J10" s="230"/>
      <c r="K10" s="231"/>
      <c r="L10" s="231"/>
      <c r="M10" s="231"/>
      <c r="N10" s="231"/>
      <c r="O10" s="230"/>
      <c r="P10" s="235"/>
      <c r="Q10" s="230"/>
      <c r="R10" s="230"/>
      <c r="S10" s="232"/>
      <c r="T10" s="231"/>
      <c r="U10" s="229"/>
      <c r="V10" s="234"/>
    </row>
    <row r="11" spans="1:22">
      <c r="A11" s="216" t="s">
        <v>175</v>
      </c>
      <c r="B11" s="18" t="s">
        <v>176</v>
      </c>
      <c r="C11" s="229" t="str">
        <f>IF(ISBLANK(Raw_Data!C11),"unknown",PROPER(TRIM(CLEAN(Raw_Data!C11))))</f>
        <v>Rashmi Verma</v>
      </c>
      <c r="D11" s="230"/>
      <c r="E11" s="231"/>
      <c r="F11" s="231"/>
      <c r="G11" s="231"/>
      <c r="H11" s="230"/>
      <c r="I11" s="230"/>
      <c r="J11" s="230"/>
      <c r="K11" s="231"/>
      <c r="L11" s="231"/>
      <c r="M11" s="231"/>
      <c r="N11" s="231"/>
      <c r="O11" s="230"/>
      <c r="P11" s="232"/>
      <c r="Q11" s="230"/>
      <c r="R11" s="230"/>
      <c r="S11" s="232"/>
      <c r="T11" s="231"/>
      <c r="U11" s="231"/>
      <c r="V11" s="233"/>
    </row>
    <row r="12" spans="1:22">
      <c r="A12" s="215" t="s">
        <v>185</v>
      </c>
      <c r="B12" s="14" t="s">
        <v>186</v>
      </c>
      <c r="C12" s="231" t="str">
        <f>IF(ISBLANK(Raw_Data!C12),"unknown",PROPER(TRIM(CLEAN(Raw_Data!C12))))</f>
        <v>Geetha Rao</v>
      </c>
      <c r="D12" s="230"/>
      <c r="E12" s="231"/>
      <c r="F12" s="231"/>
      <c r="G12" s="231"/>
      <c r="H12" s="230"/>
      <c r="I12" s="230"/>
      <c r="J12" s="230"/>
      <c r="K12" s="231"/>
      <c r="L12" s="231"/>
      <c r="M12" s="231"/>
      <c r="N12" s="231"/>
      <c r="O12" s="230"/>
      <c r="P12" s="232"/>
      <c r="Q12" s="230"/>
      <c r="R12" s="230"/>
      <c r="S12" s="232"/>
      <c r="T12" s="231"/>
      <c r="U12" s="229"/>
      <c r="V12" s="234"/>
    </row>
    <row r="13" spans="1:22">
      <c r="A13" s="216" t="s">
        <v>191</v>
      </c>
      <c r="B13" s="18" t="s">
        <v>192</v>
      </c>
      <c r="C13" s="238" t="str">
        <f>IF(ISBLANK(Raw_Data!C13),"unknown",PROPER(TRIM(CLEAN(Raw_Data!C13))))</f>
        <v>Arun Sharma</v>
      </c>
      <c r="D13" s="230"/>
      <c r="E13" s="231"/>
      <c r="F13" s="231"/>
      <c r="G13" s="231"/>
      <c r="H13" s="230"/>
      <c r="I13" s="230"/>
      <c r="J13" s="230"/>
      <c r="K13" s="231"/>
      <c r="L13" s="231"/>
      <c r="M13" s="231"/>
      <c r="N13" s="231"/>
      <c r="O13" s="230"/>
      <c r="P13" s="232"/>
      <c r="Q13" s="230"/>
      <c r="R13" s="230"/>
      <c r="S13" s="232"/>
      <c r="T13" s="231"/>
      <c r="U13" s="231"/>
      <c r="V13" s="234"/>
    </row>
    <row r="14" spans="1:22">
      <c r="A14" s="215" t="s">
        <v>202</v>
      </c>
      <c r="B14" s="14" t="s">
        <v>203</v>
      </c>
      <c r="C14" s="231" t="str">
        <f>IF(ISBLANK(Raw_Data!C14),"unknown",PROPER(TRIM(CLEAN(Raw_Data!C14))))</f>
        <v>Preethi S</v>
      </c>
      <c r="D14" s="230"/>
      <c r="E14" s="231"/>
      <c r="F14" s="231"/>
      <c r="G14" s="231"/>
      <c r="H14" s="230"/>
      <c r="I14" s="230"/>
      <c r="J14" s="230"/>
      <c r="K14" s="231"/>
      <c r="L14" s="231"/>
      <c r="M14" s="231"/>
      <c r="N14" s="231"/>
      <c r="O14" s="230"/>
      <c r="P14" s="232"/>
      <c r="Q14" s="230"/>
      <c r="R14" s="230"/>
      <c r="S14" s="232"/>
      <c r="T14" s="231"/>
      <c r="U14" s="231"/>
      <c r="V14" s="233"/>
    </row>
    <row r="15" spans="1:22">
      <c r="A15" s="216" t="s">
        <v>213</v>
      </c>
      <c r="B15" s="18" t="s">
        <v>214</v>
      </c>
      <c r="C15" s="229" t="str">
        <f>IF(ISBLANK(Raw_Data!C15),"unknown",PROPER(TRIM(CLEAN(Raw_Data!C15))))</f>
        <v>Amit Singh</v>
      </c>
      <c r="D15" s="230"/>
      <c r="E15" s="231"/>
      <c r="F15" s="231"/>
      <c r="G15" s="231"/>
      <c r="H15" s="230"/>
      <c r="I15" s="230"/>
      <c r="J15" s="230"/>
      <c r="K15" s="231"/>
      <c r="L15" s="231"/>
      <c r="M15" s="231"/>
      <c r="N15" s="231"/>
      <c r="O15" s="230"/>
      <c r="P15" s="232"/>
      <c r="Q15" s="230"/>
      <c r="R15" s="230"/>
      <c r="S15" s="232"/>
      <c r="T15" s="231"/>
      <c r="U15" s="231"/>
      <c r="V15" s="234"/>
    </row>
    <row r="16" spans="1:22">
      <c r="A16" s="215" t="s">
        <v>222</v>
      </c>
      <c r="B16" s="14" t="s">
        <v>223</v>
      </c>
      <c r="C16" s="229" t="str">
        <f>IF(ISBLANK(Raw_Data!C16),"unknown",PROPER(TRIM(CLEAN(Raw_Data!C16))))</f>
        <v>Suresh Babu</v>
      </c>
      <c r="D16" s="230"/>
      <c r="E16" s="231"/>
      <c r="F16" s="231"/>
      <c r="G16" s="231"/>
      <c r="H16" s="230"/>
      <c r="I16" s="230"/>
      <c r="J16" s="230"/>
      <c r="K16" s="231"/>
      <c r="L16" s="231"/>
      <c r="M16" s="231"/>
      <c r="N16" s="231"/>
      <c r="O16" s="230"/>
      <c r="P16" s="232"/>
      <c r="Q16" s="230"/>
      <c r="R16" s="230"/>
      <c r="S16" s="232"/>
      <c r="T16" s="231"/>
      <c r="U16" s="229"/>
      <c r="V16" s="233"/>
    </row>
    <row r="17" spans="1:22">
      <c r="A17" s="216" t="s">
        <v>229</v>
      </c>
      <c r="B17" s="18" t="s">
        <v>230</v>
      </c>
      <c r="C17" s="229" t="str">
        <f>IF(ISBLANK(Raw_Data!C17),"unknown",PROPER(TRIM(CLEAN(Raw_Data!C17))))</f>
        <v>Amit Singh</v>
      </c>
      <c r="D17" s="230"/>
      <c r="E17" s="231"/>
      <c r="F17" s="231"/>
      <c r="G17" s="231"/>
      <c r="H17" s="230"/>
      <c r="I17" s="230"/>
      <c r="J17" s="230"/>
      <c r="K17" s="231"/>
      <c r="L17" s="231"/>
      <c r="M17" s="231"/>
      <c r="N17" s="231"/>
      <c r="O17" s="230"/>
      <c r="P17" s="232"/>
      <c r="Q17" s="230"/>
      <c r="R17" s="230"/>
      <c r="S17" s="232"/>
      <c r="T17" s="231"/>
      <c r="U17" s="229"/>
      <c r="V17" s="234"/>
    </row>
    <row r="18" spans="1:22">
      <c r="A18" s="215" t="s">
        <v>234</v>
      </c>
      <c r="B18" s="14" t="s">
        <v>235</v>
      </c>
      <c r="C18" s="231" t="str">
        <f>IF(ISBLANK(Raw_Data!C18),"unknown",PROPER(TRIM(CLEAN(Raw_Data!C18))))</f>
        <v>Geetha Rao</v>
      </c>
      <c r="D18" s="230"/>
      <c r="E18" s="231"/>
      <c r="F18" s="231"/>
      <c r="G18" s="231"/>
      <c r="H18" s="230"/>
      <c r="I18" s="230"/>
      <c r="J18" s="230"/>
      <c r="K18" s="231"/>
      <c r="L18" s="231"/>
      <c r="M18" s="231"/>
      <c r="N18" s="231"/>
      <c r="O18" s="230"/>
      <c r="P18" s="232"/>
      <c r="Q18" s="230"/>
      <c r="R18" s="230"/>
      <c r="S18" s="232"/>
      <c r="T18" s="231"/>
      <c r="U18" s="229"/>
      <c r="V18" s="233"/>
    </row>
    <row r="19" spans="1:22">
      <c r="A19" s="216" t="s">
        <v>242</v>
      </c>
      <c r="B19" s="18" t="s">
        <v>243</v>
      </c>
      <c r="C19" s="229" t="str">
        <f>IF(ISBLANK(Raw_Data!C19),"unknown",PROPER(TRIM(CLEAN(Raw_Data!C19))))</f>
        <v>Padma Lakshmi</v>
      </c>
      <c r="D19" s="230"/>
      <c r="E19" s="231"/>
      <c r="F19" s="231"/>
      <c r="G19" s="231"/>
      <c r="H19" s="230"/>
      <c r="I19" s="230"/>
      <c r="J19" s="230"/>
      <c r="K19" s="231"/>
      <c r="L19" s="231"/>
      <c r="M19" s="231"/>
      <c r="N19" s="231"/>
      <c r="O19" s="230"/>
      <c r="P19" s="232"/>
      <c r="Q19" s="230"/>
      <c r="R19" s="230"/>
      <c r="S19" s="232"/>
      <c r="T19" s="231"/>
      <c r="U19" s="229"/>
      <c r="V19" s="234"/>
    </row>
    <row r="20" spans="1:22">
      <c r="A20" s="215" t="s">
        <v>251</v>
      </c>
      <c r="B20" s="14" t="s">
        <v>252</v>
      </c>
      <c r="C20" s="229" t="str">
        <f>IF(ISBLANK(Raw_Data!C20),"unknown",PROPER(TRIM(CLEAN(Raw_Data!C20))))</f>
        <v>Deepa Krishnan</v>
      </c>
      <c r="D20" s="230"/>
      <c r="E20" s="231"/>
      <c r="F20" s="231"/>
      <c r="G20" s="231"/>
      <c r="H20" s="230"/>
      <c r="I20" s="230"/>
      <c r="J20" s="230"/>
      <c r="K20" s="231"/>
      <c r="L20" s="231"/>
      <c r="M20" s="231"/>
      <c r="N20" s="231"/>
      <c r="O20" s="230"/>
      <c r="P20" s="232"/>
      <c r="Q20" s="230"/>
      <c r="R20" s="230"/>
      <c r="S20" s="232"/>
      <c r="T20" s="231"/>
      <c r="U20" s="229"/>
      <c r="V20" s="233"/>
    </row>
    <row r="21" spans="1:22">
      <c r="A21" s="216" t="s">
        <v>262</v>
      </c>
      <c r="B21" s="18" t="s">
        <v>263</v>
      </c>
      <c r="C21" s="231" t="str">
        <f>IF(ISBLANK(Raw_Data!C21),"unknown",PROPER(TRIM(CLEAN(Raw_Data!C21))))</f>
        <v>Anita Verma</v>
      </c>
      <c r="D21" s="230"/>
      <c r="E21" s="231"/>
      <c r="F21" s="231"/>
      <c r="G21" s="229"/>
      <c r="H21" s="230"/>
      <c r="I21" s="230"/>
      <c r="J21" s="230"/>
      <c r="K21" s="231"/>
      <c r="L21" s="231"/>
      <c r="M21" s="231"/>
      <c r="N21" s="231"/>
      <c r="O21" s="230"/>
      <c r="P21" s="232"/>
      <c r="Q21" s="230"/>
      <c r="R21" s="230"/>
      <c r="S21" s="232"/>
      <c r="T21" s="231"/>
      <c r="U21" s="229"/>
      <c r="V21" s="234"/>
    </row>
    <row r="22" spans="1:22">
      <c r="A22" s="215" t="s">
        <v>269</v>
      </c>
      <c r="B22" s="14" t="s">
        <v>270</v>
      </c>
      <c r="C22" s="229" t="str">
        <f>IF(ISBLANK(Raw_Data!C22),"unknown",PROPER(TRIM(CLEAN(Raw_Data!C22))))</f>
        <v>Priya Sharma</v>
      </c>
      <c r="D22" s="230"/>
      <c r="E22" s="231"/>
      <c r="F22" s="229"/>
      <c r="G22" s="229"/>
      <c r="H22" s="230"/>
      <c r="I22" s="230"/>
      <c r="J22" s="230"/>
      <c r="K22" s="231"/>
      <c r="L22" s="231"/>
      <c r="M22" s="231"/>
      <c r="N22" s="231"/>
      <c r="O22" s="230"/>
      <c r="P22" s="232"/>
      <c r="Q22" s="230"/>
      <c r="R22" s="230"/>
      <c r="S22" s="232"/>
      <c r="T22" s="231"/>
      <c r="U22" s="229"/>
      <c r="V22" s="234"/>
    </row>
    <row r="23" spans="1:22">
      <c r="A23" s="216" t="s">
        <v>278</v>
      </c>
      <c r="B23" s="18" t="s">
        <v>279</v>
      </c>
      <c r="C23" s="231" t="str">
        <f>IF(ISBLANK(Raw_Data!C23),"unknown",PROPER(TRIM(CLEAN(Raw_Data!C23))))</f>
        <v>Geetha Rao</v>
      </c>
      <c r="D23" s="230"/>
      <c r="E23" s="231"/>
      <c r="F23" s="231"/>
      <c r="G23" s="229"/>
      <c r="H23" s="230"/>
      <c r="I23" s="230"/>
      <c r="J23" s="230"/>
      <c r="K23" s="231"/>
      <c r="L23" s="231"/>
      <c r="M23" s="231"/>
      <c r="N23" s="231"/>
      <c r="O23" s="230"/>
      <c r="P23" s="232"/>
      <c r="Q23" s="230"/>
      <c r="R23" s="230"/>
      <c r="S23" s="232"/>
      <c r="T23" s="231"/>
      <c r="U23" s="229"/>
      <c r="V23" s="233"/>
    </row>
    <row r="24" spans="1:22">
      <c r="A24" s="215" t="s">
        <v>283</v>
      </c>
      <c r="B24" s="14" t="s">
        <v>284</v>
      </c>
      <c r="C24" s="229" t="str">
        <f>IF(ISBLANK(Raw_Data!C24),"unknown",PROPER(TRIM(CLEAN(Raw_Data!C24))))</f>
        <v>Amit Singh</v>
      </c>
      <c r="D24" s="230"/>
      <c r="E24" s="231"/>
      <c r="F24" s="231"/>
      <c r="G24" s="231"/>
      <c r="H24" s="230"/>
      <c r="I24" s="230"/>
      <c r="J24" s="230"/>
      <c r="K24" s="231"/>
      <c r="L24" s="231"/>
      <c r="M24" s="231"/>
      <c r="N24" s="231"/>
      <c r="O24" s="230"/>
      <c r="P24" s="232"/>
      <c r="Q24" s="230"/>
      <c r="R24" s="230"/>
      <c r="S24" s="232"/>
      <c r="T24" s="231"/>
      <c r="U24" s="231"/>
      <c r="V24" s="233"/>
    </row>
    <row r="25" spans="1:22">
      <c r="A25" s="216" t="s">
        <v>289</v>
      </c>
      <c r="B25" s="18" t="s">
        <v>290</v>
      </c>
      <c r="C25" s="231" t="str">
        <f>IF(ISBLANK(Raw_Data!C25),"unknown",PROPER(TRIM(CLEAN(Raw_Data!C25))))</f>
        <v>Divya Nair</v>
      </c>
      <c r="D25" s="230"/>
      <c r="E25" s="231"/>
      <c r="F25" s="231"/>
      <c r="G25" s="231"/>
      <c r="H25" s="230"/>
      <c r="I25" s="230"/>
      <c r="J25" s="230"/>
      <c r="K25" s="231"/>
      <c r="L25" s="231"/>
      <c r="M25" s="231"/>
      <c r="N25" s="231"/>
      <c r="O25" s="230"/>
      <c r="P25" s="232"/>
      <c r="Q25" s="230"/>
      <c r="R25" s="230"/>
      <c r="S25" s="232"/>
      <c r="T25" s="231"/>
      <c r="U25" s="231"/>
      <c r="V25" s="234"/>
    </row>
    <row r="26" spans="1:22">
      <c r="A26" s="215" t="s">
        <v>299</v>
      </c>
      <c r="B26" s="14" t="s">
        <v>300</v>
      </c>
      <c r="C26" s="231" t="str">
        <f>IF(ISBLANK(Raw_Data!C26),"unknown",PROPER(TRIM(CLEAN(Raw_Data!C26))))</f>
        <v>Anita Verma</v>
      </c>
      <c r="D26" s="230"/>
      <c r="E26" s="231"/>
      <c r="F26" s="231"/>
      <c r="G26" s="229"/>
      <c r="H26" s="230"/>
      <c r="I26" s="230"/>
      <c r="J26" s="230"/>
      <c r="K26" s="231"/>
      <c r="L26" s="231"/>
      <c r="M26" s="231"/>
      <c r="N26" s="231"/>
      <c r="O26" s="230"/>
      <c r="P26" s="232"/>
      <c r="Q26" s="230"/>
      <c r="R26" s="230"/>
      <c r="S26" s="232"/>
      <c r="T26" s="231"/>
      <c r="U26" s="231"/>
      <c r="V26" s="233"/>
    </row>
    <row r="27" spans="1:22">
      <c r="A27" s="216" t="s">
        <v>307</v>
      </c>
      <c r="B27" s="18" t="s">
        <v>308</v>
      </c>
      <c r="C27" s="229" t="str">
        <f>IF(ISBLANK(Raw_Data!C27),"unknown",PROPER(TRIM(CLEAN(Raw_Data!C27))))</f>
        <v>Dinesh K</v>
      </c>
      <c r="D27" s="230"/>
      <c r="E27" s="231"/>
      <c r="F27" s="231"/>
      <c r="G27" s="231"/>
      <c r="H27" s="230"/>
      <c r="I27" s="230"/>
      <c r="J27" s="230"/>
      <c r="K27" s="231"/>
      <c r="L27" s="231"/>
      <c r="M27" s="231"/>
      <c r="N27" s="231"/>
      <c r="O27" s="230"/>
      <c r="P27" s="232"/>
      <c r="Q27" s="230"/>
      <c r="R27" s="230"/>
      <c r="S27" s="232"/>
      <c r="T27" s="231"/>
      <c r="U27" s="229"/>
      <c r="V27" s="234"/>
    </row>
    <row r="28" spans="1:22">
      <c r="A28" s="215" t="s">
        <v>315</v>
      </c>
      <c r="B28" s="14" t="s">
        <v>316</v>
      </c>
      <c r="C28" s="229" t="str">
        <f>IF(ISBLANK(Raw_Data!C28),"unknown",PROPER(TRIM(CLEAN(Raw_Data!C28))))</f>
        <v>Sita Devi</v>
      </c>
      <c r="D28" s="230"/>
      <c r="E28" s="231"/>
      <c r="F28" s="231"/>
      <c r="G28" s="231"/>
      <c r="H28" s="230"/>
      <c r="I28" s="230"/>
      <c r="J28" s="230"/>
      <c r="K28" s="231"/>
      <c r="L28" s="231"/>
      <c r="M28" s="231"/>
      <c r="N28" s="231"/>
      <c r="O28" s="230"/>
      <c r="P28" s="232"/>
      <c r="Q28" s="230"/>
      <c r="R28" s="230"/>
      <c r="S28" s="232"/>
      <c r="T28" s="231"/>
      <c r="U28" s="231"/>
      <c r="V28" s="234"/>
    </row>
    <row r="29" spans="1:22">
      <c r="A29" s="216" t="s">
        <v>321</v>
      </c>
      <c r="B29" s="18" t="s">
        <v>322</v>
      </c>
      <c r="C29" s="229" t="str">
        <f>IF(ISBLANK(Raw_Data!C29),"unknown",PROPER(TRIM(CLEAN(Raw_Data!C29))))</f>
        <v>Nisha Patel</v>
      </c>
      <c r="D29" s="230"/>
      <c r="E29" s="231"/>
      <c r="F29" s="231"/>
      <c r="G29" s="231"/>
      <c r="H29" s="230"/>
      <c r="I29" s="230"/>
      <c r="J29" s="230"/>
      <c r="K29" s="231"/>
      <c r="L29" s="231"/>
      <c r="M29" s="231"/>
      <c r="N29" s="231"/>
      <c r="O29" s="230"/>
      <c r="P29" s="232"/>
      <c r="Q29" s="230"/>
      <c r="R29" s="230"/>
      <c r="S29" s="232"/>
      <c r="T29" s="231"/>
      <c r="U29" s="231"/>
      <c r="V29" s="233"/>
    </row>
    <row r="30" spans="1:22">
      <c r="A30" s="215" t="s">
        <v>327</v>
      </c>
      <c r="B30" s="14" t="s">
        <v>328</v>
      </c>
      <c r="C30" s="229" t="str">
        <f>IF(ISBLANK(Raw_Data!C30),"unknown",PROPER(TRIM(CLEAN(Raw_Data!C30))))</f>
        <v>Deepika Rao</v>
      </c>
      <c r="D30" s="230"/>
      <c r="E30" s="231"/>
      <c r="F30" s="231"/>
      <c r="G30" s="231"/>
      <c r="H30" s="230"/>
      <c r="I30" s="230"/>
      <c r="J30" s="230"/>
      <c r="K30" s="231"/>
      <c r="L30" s="231"/>
      <c r="M30" s="231"/>
      <c r="N30" s="231"/>
      <c r="O30" s="230"/>
      <c r="P30" s="232"/>
      <c r="Q30" s="230"/>
      <c r="R30" s="230"/>
      <c r="S30" s="232"/>
      <c r="T30" s="231"/>
      <c r="U30" s="231"/>
      <c r="V30" s="234"/>
    </row>
    <row r="31" spans="1:22">
      <c r="A31" s="216" t="s">
        <v>335</v>
      </c>
      <c r="B31" s="18" t="s">
        <v>336</v>
      </c>
      <c r="C31" s="231" t="str">
        <f>IF(ISBLANK(Raw_Data!C31),"unknown",PROPER(TRIM(CLEAN(Raw_Data!C31))))</f>
        <v>Rahul Gupta</v>
      </c>
      <c r="D31" s="230"/>
      <c r="E31" s="231"/>
      <c r="F31" s="231"/>
      <c r="G31" s="231"/>
      <c r="H31" s="230"/>
      <c r="I31" s="230"/>
      <c r="J31" s="230"/>
      <c r="K31" s="231"/>
      <c r="L31" s="231"/>
      <c r="M31" s="231"/>
      <c r="N31" s="231"/>
      <c r="O31" s="230"/>
      <c r="P31" s="232"/>
      <c r="Q31" s="230"/>
      <c r="R31" s="230"/>
      <c r="S31" s="232"/>
      <c r="T31" s="231"/>
      <c r="U31" s="231"/>
      <c r="V31" s="233"/>
    </row>
    <row r="32" spans="1:22">
      <c r="A32" s="215" t="s">
        <v>342</v>
      </c>
      <c r="B32" s="14" t="s">
        <v>343</v>
      </c>
      <c r="C32" s="229" t="str">
        <f>IF(ISBLANK(Raw_Data!C32),"unknown",PROPER(TRIM(CLEAN(Raw_Data!C32))))</f>
        <v>unknown</v>
      </c>
      <c r="D32" s="230"/>
      <c r="E32" s="231"/>
      <c r="F32" s="231"/>
      <c r="G32" s="231"/>
      <c r="H32" s="230"/>
      <c r="I32" s="230"/>
      <c r="J32" s="230"/>
      <c r="K32" s="231"/>
      <c r="L32" s="231"/>
      <c r="M32" s="231"/>
      <c r="N32" s="231"/>
      <c r="O32" s="230"/>
      <c r="P32" s="232"/>
      <c r="Q32" s="230"/>
      <c r="R32" s="230"/>
      <c r="S32" s="232"/>
      <c r="T32" s="231"/>
      <c r="U32" s="231"/>
      <c r="V32" s="234"/>
    </row>
    <row r="33" spans="1:22">
      <c r="A33" s="216" t="s">
        <v>351</v>
      </c>
      <c r="B33" s="18" t="s">
        <v>352</v>
      </c>
      <c r="C33" s="231" t="str">
        <f>IF(ISBLANK(Raw_Data!C33),"unknown",PROPER(TRIM(CLEAN(Raw_Data!C33))))</f>
        <v>Preethi S</v>
      </c>
      <c r="D33" s="230"/>
      <c r="E33" s="231"/>
      <c r="F33" s="231"/>
      <c r="G33" s="231"/>
      <c r="H33" s="230"/>
      <c r="I33" s="230"/>
      <c r="J33" s="230"/>
      <c r="K33" s="231"/>
      <c r="L33" s="231"/>
      <c r="M33" s="231"/>
      <c r="N33" s="231"/>
      <c r="O33" s="230"/>
      <c r="P33" s="232"/>
      <c r="Q33" s="230"/>
      <c r="R33" s="230"/>
      <c r="S33" s="232"/>
      <c r="T33" s="231"/>
      <c r="U33" s="229"/>
      <c r="V33" s="233"/>
    </row>
    <row r="34" spans="1:22">
      <c r="A34" s="215" t="s">
        <v>359</v>
      </c>
      <c r="B34" s="14" t="s">
        <v>360</v>
      </c>
      <c r="C34" s="231" t="str">
        <f>IF(ISBLANK(Raw_Data!C34),"unknown",PROPER(TRIM(CLEAN(Raw_Data!C34))))</f>
        <v>Anita Verma</v>
      </c>
      <c r="D34" s="230"/>
      <c r="E34" s="231"/>
      <c r="F34" s="231"/>
      <c r="G34" s="229"/>
      <c r="H34" s="230"/>
      <c r="I34" s="230"/>
      <c r="J34" s="230"/>
      <c r="K34" s="231"/>
      <c r="L34" s="231"/>
      <c r="M34" s="231"/>
      <c r="N34" s="231"/>
      <c r="O34" s="230"/>
      <c r="P34" s="235"/>
      <c r="Q34" s="230"/>
      <c r="R34" s="230"/>
      <c r="S34" s="232"/>
      <c r="T34" s="231"/>
      <c r="U34" s="231"/>
      <c r="V34" s="234"/>
    </row>
    <row r="35" spans="1:22">
      <c r="A35" s="216" t="s">
        <v>370</v>
      </c>
      <c r="B35" s="18" t="s">
        <v>371</v>
      </c>
      <c r="C35" s="231" t="str">
        <f>IF(ISBLANK(Raw_Data!C35),"unknown",PROPER(TRIM(CLEAN(Raw_Data!C35))))</f>
        <v>Vijay Patel</v>
      </c>
      <c r="D35" s="230"/>
      <c r="E35" s="231"/>
      <c r="F35" s="231"/>
      <c r="G35" s="231"/>
      <c r="H35" s="230"/>
      <c r="I35" s="230"/>
      <c r="J35" s="230"/>
      <c r="K35" s="231"/>
      <c r="L35" s="231"/>
      <c r="M35" s="231"/>
      <c r="N35" s="231"/>
      <c r="O35" s="230"/>
      <c r="P35" s="232"/>
      <c r="Q35" s="230"/>
      <c r="R35" s="230"/>
      <c r="S35" s="232"/>
      <c r="T35" s="231"/>
      <c r="U35" s="229"/>
      <c r="V35" s="233"/>
    </row>
    <row r="36" spans="1:22">
      <c r="A36" s="215" t="s">
        <v>379</v>
      </c>
      <c r="B36" s="14" t="s">
        <v>380</v>
      </c>
      <c r="C36" s="229" t="str">
        <f>IF(ISBLANK(Raw_Data!C36),"unknown",PROPER(TRIM(CLEAN(Raw_Data!C36))))</f>
        <v>Rashmi Verma</v>
      </c>
      <c r="D36" s="230"/>
      <c r="E36" s="231"/>
      <c r="F36" s="229"/>
      <c r="G36" s="231"/>
      <c r="H36" s="230"/>
      <c r="I36" s="230"/>
      <c r="J36" s="230"/>
      <c r="K36" s="231"/>
      <c r="L36" s="231"/>
      <c r="M36" s="231"/>
      <c r="N36" s="231"/>
      <c r="O36" s="230"/>
      <c r="P36" s="232"/>
      <c r="Q36" s="230"/>
      <c r="R36" s="230"/>
      <c r="S36" s="232"/>
      <c r="T36" s="231"/>
      <c r="U36" s="229"/>
      <c r="V36" s="233"/>
    </row>
    <row r="37" spans="1:22">
      <c r="A37" s="216" t="s">
        <v>384</v>
      </c>
      <c r="B37" s="18" t="s">
        <v>385</v>
      </c>
      <c r="C37" s="231" t="str">
        <f>IF(ISBLANK(Raw_Data!C37),"unknown",PROPER(TRIM(CLEAN(Raw_Data!C37))))</f>
        <v>Suresh Kumar</v>
      </c>
      <c r="D37" s="230"/>
      <c r="E37" s="231"/>
      <c r="F37" s="231"/>
      <c r="G37" s="231"/>
      <c r="H37" s="230"/>
      <c r="I37" s="230"/>
      <c r="J37" s="230"/>
      <c r="K37" s="231"/>
      <c r="L37" s="231"/>
      <c r="M37" s="231"/>
      <c r="N37" s="231"/>
      <c r="O37" s="230"/>
      <c r="P37" s="232"/>
      <c r="Q37" s="230"/>
      <c r="R37" s="230"/>
      <c r="S37" s="232"/>
      <c r="T37" s="231"/>
      <c r="U37" s="229"/>
      <c r="V37" s="233"/>
    </row>
    <row r="38" spans="1:22">
      <c r="A38" s="215" t="s">
        <v>392</v>
      </c>
      <c r="B38" s="14" t="s">
        <v>393</v>
      </c>
      <c r="C38" s="229" t="str">
        <f>IF(ISBLANK(Raw_Data!C38),"unknown",PROPER(TRIM(CLEAN(Raw_Data!C38))))</f>
        <v>Deepa Krishnan</v>
      </c>
      <c r="D38" s="230"/>
      <c r="E38" s="231"/>
      <c r="F38" s="231"/>
      <c r="G38" s="231"/>
      <c r="H38" s="230"/>
      <c r="I38" s="230"/>
      <c r="J38" s="230"/>
      <c r="K38" s="231"/>
      <c r="L38" s="231"/>
      <c r="M38" s="231"/>
      <c r="N38" s="231"/>
      <c r="O38" s="230"/>
      <c r="P38" s="232"/>
      <c r="Q38" s="230"/>
      <c r="R38" s="230"/>
      <c r="S38" s="232"/>
      <c r="T38" s="231"/>
      <c r="U38" s="229"/>
      <c r="V38" s="234"/>
    </row>
    <row r="39" spans="1:22">
      <c r="A39" s="216" t="s">
        <v>397</v>
      </c>
      <c r="B39" s="18" t="s">
        <v>398</v>
      </c>
      <c r="C39" s="229" t="str">
        <f>IF(ISBLANK(Raw_Data!C39),"unknown",PROPER(TRIM(CLEAN(Raw_Data!C39))))</f>
        <v>Anita Verma</v>
      </c>
      <c r="D39" s="230"/>
      <c r="E39" s="231"/>
      <c r="F39" s="231"/>
      <c r="G39" s="231"/>
      <c r="H39" s="230"/>
      <c r="I39" s="230"/>
      <c r="J39" s="230"/>
      <c r="K39" s="231"/>
      <c r="L39" s="231"/>
      <c r="M39" s="231"/>
      <c r="N39" s="231"/>
      <c r="O39" s="230"/>
      <c r="P39" s="232"/>
      <c r="Q39" s="230"/>
      <c r="R39" s="230"/>
      <c r="S39" s="232"/>
      <c r="T39" s="231"/>
      <c r="U39" s="231"/>
      <c r="V39" s="233"/>
    </row>
    <row r="40" spans="1:22">
      <c r="A40" s="215" t="s">
        <v>402</v>
      </c>
      <c r="B40" s="14" t="s">
        <v>403</v>
      </c>
      <c r="C40" s="229" t="str">
        <f>IF(ISBLANK(Raw_Data!C40),"unknown",PROPER(TRIM(CLEAN(Raw_Data!C40))))</f>
        <v>Amit Singh</v>
      </c>
      <c r="D40" s="230"/>
      <c r="E40" s="231"/>
      <c r="F40" s="231"/>
      <c r="G40" s="229"/>
      <c r="H40" s="230"/>
      <c r="I40" s="230"/>
      <c r="J40" s="230"/>
      <c r="K40" s="231"/>
      <c r="L40" s="231"/>
      <c r="M40" s="231"/>
      <c r="N40" s="231"/>
      <c r="O40" s="230"/>
      <c r="P40" s="232"/>
      <c r="Q40" s="230"/>
      <c r="R40" s="230"/>
      <c r="S40" s="232"/>
      <c r="T40" s="231"/>
      <c r="U40" s="229"/>
      <c r="V40" s="233"/>
    </row>
    <row r="41" spans="1:22">
      <c r="A41" s="216" t="s">
        <v>408</v>
      </c>
      <c r="B41" s="18" t="s">
        <v>409</v>
      </c>
      <c r="C41" s="229" t="str">
        <f>IF(ISBLANK(Raw_Data!C41),"unknown",PROPER(TRIM(CLEAN(Raw_Data!C41))))</f>
        <v>Rashmi Verma</v>
      </c>
      <c r="D41" s="230"/>
      <c r="E41" s="231"/>
      <c r="F41" s="229"/>
      <c r="G41" s="231"/>
      <c r="H41" s="230"/>
      <c r="I41" s="230"/>
      <c r="J41" s="230"/>
      <c r="K41" s="231"/>
      <c r="L41" s="231"/>
      <c r="M41" s="231"/>
      <c r="N41" s="231"/>
      <c r="O41" s="230"/>
      <c r="P41" s="232"/>
      <c r="Q41" s="230"/>
      <c r="R41" s="230"/>
      <c r="S41" s="232"/>
      <c r="T41" s="231"/>
      <c r="U41" s="229"/>
      <c r="V41" s="234"/>
    </row>
    <row r="42" spans="1:22">
      <c r="A42" s="215" t="s">
        <v>414</v>
      </c>
      <c r="B42" s="14" t="s">
        <v>415</v>
      </c>
      <c r="C42" s="231" t="str">
        <f>IF(ISBLANK(Raw_Data!C42),"unknown",PROPER(TRIM(CLEAN(Raw_Data!C42))))</f>
        <v>Dinesh K</v>
      </c>
      <c r="D42" s="230"/>
      <c r="E42" s="231"/>
      <c r="F42" s="231"/>
      <c r="G42" s="231"/>
      <c r="H42" s="230"/>
      <c r="I42" s="230"/>
      <c r="J42" s="230"/>
      <c r="K42" s="231"/>
      <c r="L42" s="231"/>
      <c r="M42" s="231"/>
      <c r="N42" s="231"/>
      <c r="O42" s="230"/>
      <c r="P42" s="235"/>
      <c r="Q42" s="230"/>
      <c r="R42" s="230"/>
      <c r="S42" s="232"/>
      <c r="T42" s="231"/>
      <c r="U42" s="231"/>
      <c r="V42" s="234"/>
    </row>
    <row r="43" spans="1:22">
      <c r="A43" s="216" t="s">
        <v>424</v>
      </c>
      <c r="B43" s="18" t="s">
        <v>425</v>
      </c>
      <c r="C43" s="231" t="str">
        <f>IF(ISBLANK(Raw_Data!C43),"unknown",PROPER(TRIM(CLEAN(Raw_Data!C43))))</f>
        <v>Manish Tiwari</v>
      </c>
      <c r="D43" s="230"/>
      <c r="E43" s="231"/>
      <c r="F43" s="231"/>
      <c r="G43" s="229"/>
      <c r="H43" s="230"/>
      <c r="I43" s="230"/>
      <c r="J43" s="230"/>
      <c r="K43" s="231"/>
      <c r="L43" s="231"/>
      <c r="M43" s="231"/>
      <c r="N43" s="231"/>
      <c r="O43" s="230"/>
      <c r="P43" s="232"/>
      <c r="Q43" s="230"/>
      <c r="R43" s="230"/>
      <c r="S43" s="232"/>
      <c r="T43" s="231"/>
      <c r="U43" s="231"/>
      <c r="V43" s="233"/>
    </row>
    <row r="44" spans="1:22">
      <c r="A44" s="215" t="s">
        <v>429</v>
      </c>
      <c r="B44" s="14" t="s">
        <v>430</v>
      </c>
      <c r="C44" s="229" t="str">
        <f>IF(ISBLANK(Raw_Data!C44),"unknown",PROPER(TRIM(CLEAN(Raw_Data!C44))))</f>
        <v>Mohan Lal</v>
      </c>
      <c r="D44" s="230"/>
      <c r="E44" s="231"/>
      <c r="F44" s="229"/>
      <c r="G44" s="231"/>
      <c r="H44" s="230"/>
      <c r="I44" s="230"/>
      <c r="J44" s="230"/>
      <c r="K44" s="231"/>
      <c r="L44" s="231"/>
      <c r="M44" s="231"/>
      <c r="N44" s="231"/>
      <c r="O44" s="230"/>
      <c r="P44" s="235"/>
      <c r="Q44" s="230"/>
      <c r="R44" s="230"/>
      <c r="S44" s="232"/>
      <c r="T44" s="231"/>
      <c r="U44" s="231"/>
      <c r="V44" s="234"/>
    </row>
    <row r="45" spans="1:22">
      <c r="A45" s="216" t="s">
        <v>434</v>
      </c>
      <c r="B45" s="18" t="s">
        <v>435</v>
      </c>
      <c r="C45" s="231" t="str">
        <f>IF(ISBLANK(Raw_Data!C45),"unknown",PROPER(TRIM(CLEAN(Raw_Data!C45))))</f>
        <v>Vijay Patel</v>
      </c>
      <c r="D45" s="230"/>
      <c r="E45" s="231"/>
      <c r="F45" s="231"/>
      <c r="G45" s="231"/>
      <c r="H45" s="230"/>
      <c r="I45" s="230"/>
      <c r="J45" s="230"/>
      <c r="K45" s="231"/>
      <c r="L45" s="231"/>
      <c r="M45" s="231"/>
      <c r="N45" s="231"/>
      <c r="O45" s="235"/>
      <c r="P45" s="232"/>
      <c r="Q45" s="230"/>
      <c r="R45" s="230"/>
      <c r="S45" s="232"/>
      <c r="T45" s="231"/>
      <c r="U45" s="229"/>
      <c r="V45" s="233"/>
    </row>
    <row r="46" spans="1:22">
      <c r="A46" s="215" t="s">
        <v>441</v>
      </c>
      <c r="B46" s="14" t="s">
        <v>442</v>
      </c>
      <c r="C46" s="229" t="str">
        <f>IF(ISBLANK(Raw_Data!C46),"unknown",PROPER(TRIM(CLEAN(Raw_Data!C46))))</f>
        <v>Aarav Shah</v>
      </c>
      <c r="D46" s="230"/>
      <c r="E46" s="231"/>
      <c r="F46" s="231"/>
      <c r="G46" s="231"/>
      <c r="H46" s="230"/>
      <c r="I46" s="230"/>
      <c r="J46" s="230"/>
      <c r="K46" s="231"/>
      <c r="L46" s="231"/>
      <c r="M46" s="231"/>
      <c r="N46" s="231"/>
      <c r="O46" s="230"/>
      <c r="P46" s="232"/>
      <c r="Q46" s="230"/>
      <c r="R46" s="230"/>
      <c r="S46" s="232"/>
      <c r="T46" s="231"/>
      <c r="U46" s="229"/>
      <c r="V46" s="234"/>
    </row>
    <row r="47" spans="1:22">
      <c r="A47" s="216" t="s">
        <v>445</v>
      </c>
      <c r="B47" s="18" t="s">
        <v>446</v>
      </c>
      <c r="C47" s="229" t="str">
        <f>IF(ISBLANK(Raw_Data!C47),"unknown",PROPER(TRIM(CLEAN(Raw_Data!C47))))</f>
        <v>Suresh Kumar</v>
      </c>
      <c r="D47" s="230"/>
      <c r="E47" s="231"/>
      <c r="F47" s="231"/>
      <c r="G47" s="231"/>
      <c r="H47" s="230"/>
      <c r="I47" s="230"/>
      <c r="J47" s="230"/>
      <c r="K47" s="231"/>
      <c r="L47" s="231"/>
      <c r="M47" s="231"/>
      <c r="N47" s="231"/>
      <c r="O47" s="230"/>
      <c r="P47" s="232"/>
      <c r="Q47" s="230"/>
      <c r="R47" s="230"/>
      <c r="S47" s="232"/>
      <c r="T47" s="231"/>
      <c r="U47" s="229"/>
      <c r="V47" s="234"/>
    </row>
    <row r="48" spans="1:22">
      <c r="A48" s="215" t="s">
        <v>451</v>
      </c>
      <c r="B48" s="14" t="s">
        <v>452</v>
      </c>
      <c r="C48" s="229" t="str">
        <f>IF(ISBLANK(Raw_Data!C48),"unknown",PROPER(TRIM(CLEAN(Raw_Data!C48))))</f>
        <v>Deepika Rao</v>
      </c>
      <c r="D48" s="230"/>
      <c r="E48" s="231"/>
      <c r="F48" s="231"/>
      <c r="G48" s="231"/>
      <c r="H48" s="230"/>
      <c r="I48" s="230"/>
      <c r="J48" s="230"/>
      <c r="K48" s="231"/>
      <c r="L48" s="231"/>
      <c r="M48" s="231"/>
      <c r="N48" s="231"/>
      <c r="O48" s="230"/>
      <c r="P48" s="232"/>
      <c r="Q48" s="230"/>
      <c r="R48" s="230"/>
      <c r="S48" s="232"/>
      <c r="T48" s="231"/>
      <c r="U48" s="229"/>
      <c r="V48" s="233"/>
    </row>
    <row r="49" spans="1:22">
      <c r="A49" s="216" t="s">
        <v>456</v>
      </c>
      <c r="B49" s="18" t="s">
        <v>457</v>
      </c>
      <c r="C49" s="229" t="str">
        <f>IF(ISBLANK(Raw_Data!C49),"unknown",PROPER(TRIM(CLEAN(Raw_Data!C49))))</f>
        <v>Kavitha N</v>
      </c>
      <c r="D49" s="230"/>
      <c r="E49" s="231"/>
      <c r="F49" s="229"/>
      <c r="G49" s="231"/>
      <c r="H49" s="230"/>
      <c r="I49" s="230"/>
      <c r="J49" s="230"/>
      <c r="K49" s="231"/>
      <c r="L49" s="231"/>
      <c r="M49" s="231"/>
      <c r="N49" s="231"/>
      <c r="O49" s="230"/>
      <c r="P49" s="232"/>
      <c r="Q49" s="230"/>
      <c r="R49" s="230"/>
      <c r="S49" s="232"/>
      <c r="T49" s="231"/>
      <c r="U49" s="229"/>
      <c r="V49" s="233"/>
    </row>
    <row r="50" spans="1:22">
      <c r="A50" s="215" t="s">
        <v>459</v>
      </c>
      <c r="B50" s="14" t="s">
        <v>460</v>
      </c>
      <c r="C50" s="231" t="str">
        <f>IF(ISBLANK(Raw_Data!C50),"unknown",PROPER(TRIM(CLEAN(Raw_Data!C50))))</f>
        <v>Aarav Shah</v>
      </c>
      <c r="D50" s="230"/>
      <c r="E50" s="231"/>
      <c r="F50" s="231"/>
      <c r="G50" s="231"/>
      <c r="H50" s="230"/>
      <c r="I50" s="230"/>
      <c r="J50" s="230"/>
      <c r="K50" s="231"/>
      <c r="L50" s="231"/>
      <c r="M50" s="231"/>
      <c r="N50" s="231"/>
      <c r="O50" s="230"/>
      <c r="P50" s="232"/>
      <c r="Q50" s="230"/>
      <c r="R50" s="230"/>
      <c r="S50" s="232"/>
      <c r="T50" s="231"/>
      <c r="U50" s="231"/>
      <c r="V50" s="234"/>
    </row>
    <row r="51" spans="1:22">
      <c r="A51" s="216" t="s">
        <v>466</v>
      </c>
      <c r="B51" s="18" t="s">
        <v>467</v>
      </c>
      <c r="C51" s="229" t="str">
        <f>IF(ISBLANK(Raw_Data!C51),"unknown",PROPER(TRIM(CLEAN(Raw_Data!C51))))</f>
        <v>Aarav Shah</v>
      </c>
      <c r="D51" s="230"/>
      <c r="E51" s="231"/>
      <c r="F51" s="231"/>
      <c r="G51" s="231"/>
      <c r="H51" s="230"/>
      <c r="I51" s="230"/>
      <c r="J51" s="230"/>
      <c r="K51" s="231"/>
      <c r="L51" s="231"/>
      <c r="M51" s="231"/>
      <c r="N51" s="231"/>
      <c r="O51" s="230"/>
      <c r="P51" s="235"/>
      <c r="Q51" s="230"/>
      <c r="R51" s="230"/>
      <c r="S51" s="232"/>
      <c r="T51" s="231"/>
      <c r="U51" s="231"/>
      <c r="V51" s="233"/>
    </row>
    <row r="52" spans="1:22">
      <c r="A52" s="215" t="s">
        <v>471</v>
      </c>
      <c r="B52" s="14" t="s">
        <v>472</v>
      </c>
      <c r="C52" s="229" t="str">
        <f>IF(ISBLANK(Raw_Data!C52),"unknown",PROPER(TRIM(CLEAN(Raw_Data!C52))))</f>
        <v>Rohit Yadav</v>
      </c>
      <c r="D52" s="230"/>
      <c r="E52" s="231"/>
      <c r="F52" s="231"/>
      <c r="G52" s="231"/>
      <c r="H52" s="230"/>
      <c r="I52" s="230"/>
      <c r="J52" s="230"/>
      <c r="K52" s="231"/>
      <c r="L52" s="231"/>
      <c r="M52" s="231"/>
      <c r="N52" s="231"/>
      <c r="O52" s="230"/>
      <c r="P52" s="232"/>
      <c r="Q52" s="230"/>
      <c r="R52" s="230"/>
      <c r="S52" s="232"/>
      <c r="T52" s="231"/>
      <c r="U52" s="229"/>
      <c r="V52" s="234"/>
    </row>
    <row r="53" spans="1:22">
      <c r="A53" s="216" t="s">
        <v>480</v>
      </c>
      <c r="B53" s="18" t="s">
        <v>481</v>
      </c>
      <c r="C53" s="231" t="str">
        <f>IF(ISBLANK(Raw_Data!C53),"unknown",PROPER(TRIM(CLEAN(Raw_Data!C53))))</f>
        <v>Manish Tiwari</v>
      </c>
      <c r="D53" s="230"/>
      <c r="E53" s="231"/>
      <c r="F53" s="229"/>
      <c r="G53" s="231"/>
      <c r="H53" s="230"/>
      <c r="I53" s="230"/>
      <c r="J53" s="230"/>
      <c r="K53" s="231"/>
      <c r="L53" s="231"/>
      <c r="M53" s="231"/>
      <c r="N53" s="231"/>
      <c r="O53" s="230"/>
      <c r="P53" s="232"/>
      <c r="Q53" s="230"/>
      <c r="R53" s="230"/>
      <c r="S53" s="232"/>
      <c r="T53" s="231"/>
      <c r="U53" s="231"/>
      <c r="V53" s="233"/>
    </row>
    <row r="54" spans="1:22">
      <c r="A54" s="215" t="s">
        <v>486</v>
      </c>
      <c r="B54" s="14" t="s">
        <v>487</v>
      </c>
      <c r="C54" s="229" t="str">
        <f>IF(ISBLANK(Raw_Data!C54),"unknown",PROPER(TRIM(CLEAN(Raw_Data!C54))))</f>
        <v>Neha Singh</v>
      </c>
      <c r="D54" s="230"/>
      <c r="E54" s="231"/>
      <c r="F54" s="231"/>
      <c r="G54" s="231"/>
      <c r="H54" s="230"/>
      <c r="I54" s="230"/>
      <c r="J54" s="230"/>
      <c r="K54" s="231"/>
      <c r="L54" s="231"/>
      <c r="M54" s="231"/>
      <c r="N54" s="231"/>
      <c r="O54" s="230"/>
      <c r="P54" s="232"/>
      <c r="Q54" s="230"/>
      <c r="R54" s="230"/>
      <c r="S54" s="232"/>
      <c r="T54" s="231"/>
      <c r="U54" s="231"/>
      <c r="V54" s="233"/>
    </row>
    <row r="55" spans="1:22">
      <c r="A55" s="216" t="s">
        <v>495</v>
      </c>
      <c r="B55" s="18" t="s">
        <v>496</v>
      </c>
      <c r="C55" s="229" t="str">
        <f>IF(ISBLANK(Raw_Data!C55),"unknown",PROPER(TRIM(CLEAN(Raw_Data!C55))))</f>
        <v>Meera Nair</v>
      </c>
      <c r="D55" s="230"/>
      <c r="E55" s="231"/>
      <c r="F55" s="231"/>
      <c r="G55" s="231"/>
      <c r="H55" s="230"/>
      <c r="I55" s="230"/>
      <c r="J55" s="230"/>
      <c r="K55" s="231"/>
      <c r="L55" s="231"/>
      <c r="M55" s="231"/>
      <c r="N55" s="231"/>
      <c r="O55" s="230"/>
      <c r="P55" s="232"/>
      <c r="Q55" s="230"/>
      <c r="R55" s="230"/>
      <c r="S55" s="232"/>
      <c r="T55" s="231"/>
      <c r="U55" s="231"/>
      <c r="V55" s="234"/>
    </row>
    <row r="56" spans="1:22">
      <c r="A56" s="215" t="s">
        <v>500</v>
      </c>
      <c r="B56" s="14" t="s">
        <v>501</v>
      </c>
      <c r="C56" s="229" t="str">
        <f>IF(ISBLANK(Raw_Data!C56),"unknown",PROPER(TRIM(CLEAN(Raw_Data!C56))))</f>
        <v>Neha Singh</v>
      </c>
      <c r="D56" s="230"/>
      <c r="E56" s="231"/>
      <c r="F56" s="231"/>
      <c r="G56" s="231"/>
      <c r="H56" s="230"/>
      <c r="I56" s="230"/>
      <c r="J56" s="230"/>
      <c r="K56" s="231"/>
      <c r="L56" s="231"/>
      <c r="M56" s="231"/>
      <c r="N56" s="231"/>
      <c r="O56" s="230"/>
      <c r="P56" s="232"/>
      <c r="Q56" s="230"/>
      <c r="R56" s="230"/>
      <c r="S56" s="232"/>
      <c r="T56" s="231"/>
      <c r="U56" s="229"/>
      <c r="V56" s="233"/>
    </row>
    <row r="57" spans="1:22">
      <c r="A57" s="216" t="s">
        <v>504</v>
      </c>
      <c r="B57" s="18" t="s">
        <v>505</v>
      </c>
      <c r="C57" s="229" t="str">
        <f>IF(ISBLANK(Raw_Data!C57),"unknown",PROPER(TRIM(CLEAN(Raw_Data!C57))))</f>
        <v>Padma Lakshmi</v>
      </c>
      <c r="D57" s="230"/>
      <c r="E57" s="231"/>
      <c r="F57" s="231"/>
      <c r="G57" s="229"/>
      <c r="H57" s="230"/>
      <c r="I57" s="230"/>
      <c r="J57" s="230"/>
      <c r="K57" s="231"/>
      <c r="L57" s="231"/>
      <c r="M57" s="231"/>
      <c r="N57" s="231"/>
      <c r="O57" s="230"/>
      <c r="P57" s="232"/>
      <c r="Q57" s="230"/>
      <c r="R57" s="230"/>
      <c r="S57" s="232"/>
      <c r="T57" s="231"/>
      <c r="U57" s="229"/>
      <c r="V57" s="233"/>
    </row>
    <row r="58" spans="1:22">
      <c r="A58" s="215" t="s">
        <v>509</v>
      </c>
      <c r="B58" s="14" t="s">
        <v>510</v>
      </c>
      <c r="C58" s="231" t="str">
        <f>IF(ISBLANK(Raw_Data!C58),"unknown",PROPER(TRIM(CLEAN(Raw_Data!C58))))</f>
        <v>Deepika Rao</v>
      </c>
      <c r="D58" s="230"/>
      <c r="E58" s="231"/>
      <c r="F58" s="231"/>
      <c r="G58" s="229"/>
      <c r="H58" s="230"/>
      <c r="I58" s="230"/>
      <c r="J58" s="230"/>
      <c r="K58" s="231"/>
      <c r="L58" s="231"/>
      <c r="M58" s="231"/>
      <c r="N58" s="231"/>
      <c r="O58" s="230"/>
      <c r="P58" s="232"/>
      <c r="Q58" s="230"/>
      <c r="R58" s="230"/>
      <c r="S58" s="232"/>
      <c r="T58" s="231"/>
      <c r="U58" s="229"/>
      <c r="V58" s="233"/>
    </row>
    <row r="59" spans="1:22">
      <c r="A59" s="216" t="s">
        <v>514</v>
      </c>
      <c r="B59" s="18" t="s">
        <v>515</v>
      </c>
      <c r="C59" s="229" t="str">
        <f>IF(ISBLANK(Raw_Data!C59),"unknown",PROPER(TRIM(CLEAN(Raw_Data!C59))))</f>
        <v>Manish Tiwari</v>
      </c>
      <c r="D59" s="230"/>
      <c r="E59" s="231"/>
      <c r="F59" s="231"/>
      <c r="G59" s="231"/>
      <c r="H59" s="230"/>
      <c r="I59" s="230"/>
      <c r="J59" s="230"/>
      <c r="K59" s="231"/>
      <c r="L59" s="231"/>
      <c r="M59" s="231"/>
      <c r="N59" s="231"/>
      <c r="O59" s="230"/>
      <c r="P59" s="232"/>
      <c r="Q59" s="235"/>
      <c r="R59" s="230"/>
      <c r="S59" s="232"/>
      <c r="T59" s="231"/>
      <c r="U59" s="231"/>
      <c r="V59" s="234"/>
    </row>
    <row r="60" spans="1:22">
      <c r="A60" s="215" t="s">
        <v>520</v>
      </c>
      <c r="B60" s="14" t="s">
        <v>521</v>
      </c>
      <c r="C60" s="229" t="str">
        <f>IF(ISBLANK(Raw_Data!C60),"unknown",PROPER(TRIM(CLEAN(Raw_Data!C60))))</f>
        <v>Divya Nair</v>
      </c>
      <c r="D60" s="230"/>
      <c r="E60" s="231"/>
      <c r="F60" s="229"/>
      <c r="G60" s="229"/>
      <c r="H60" s="230"/>
      <c r="I60" s="230"/>
      <c r="J60" s="230"/>
      <c r="K60" s="231"/>
      <c r="L60" s="231"/>
      <c r="M60" s="231"/>
      <c r="N60" s="231"/>
      <c r="O60" s="230"/>
      <c r="P60" s="232"/>
      <c r="Q60" s="230"/>
      <c r="R60" s="230"/>
      <c r="S60" s="232"/>
      <c r="T60" s="231"/>
      <c r="U60" s="229"/>
      <c r="V60" s="233"/>
    </row>
    <row r="61" spans="1:22">
      <c r="A61" s="216" t="s">
        <v>525</v>
      </c>
      <c r="B61" s="18" t="s">
        <v>526</v>
      </c>
      <c r="C61" s="229" t="str">
        <f>IF(ISBLANK(Raw_Data!C61),"unknown",PROPER(TRIM(CLEAN(Raw_Data!C61))))</f>
        <v>Manish Tiwari</v>
      </c>
      <c r="D61" s="230"/>
      <c r="E61" s="231"/>
      <c r="F61" s="229"/>
      <c r="G61" s="231"/>
      <c r="H61" s="230"/>
      <c r="I61" s="230"/>
      <c r="J61" s="230"/>
      <c r="K61" s="231"/>
      <c r="L61" s="231"/>
      <c r="M61" s="231"/>
      <c r="N61" s="231"/>
      <c r="O61" s="230"/>
      <c r="P61" s="232"/>
      <c r="Q61" s="230"/>
      <c r="R61" s="230"/>
      <c r="S61" s="232"/>
      <c r="T61" s="231"/>
      <c r="U61" s="229"/>
      <c r="V61" s="234"/>
    </row>
    <row r="62" spans="1:22">
      <c r="A62" s="215" t="s">
        <v>529</v>
      </c>
      <c r="B62" s="14" t="s">
        <v>530</v>
      </c>
      <c r="C62" s="231" t="str">
        <f>IF(ISBLANK(Raw_Data!C62),"unknown",PROPER(TRIM(CLEAN(Raw_Data!C62))))</f>
        <v>Padma Lakshmi</v>
      </c>
      <c r="D62" s="230"/>
      <c r="E62" s="231"/>
      <c r="F62" s="231"/>
      <c r="G62" s="231"/>
      <c r="H62" s="230"/>
      <c r="I62" s="230"/>
      <c r="J62" s="230"/>
      <c r="K62" s="231"/>
      <c r="L62" s="231"/>
      <c r="M62" s="231"/>
      <c r="N62" s="231"/>
      <c r="O62" s="230"/>
      <c r="P62" s="232"/>
      <c r="Q62" s="230"/>
      <c r="R62" s="230"/>
      <c r="S62" s="232"/>
      <c r="T62" s="231"/>
      <c r="U62" s="229"/>
      <c r="V62" s="234"/>
    </row>
    <row r="63" spans="1:22">
      <c r="A63" s="216" t="s">
        <v>534</v>
      </c>
      <c r="B63" s="18" t="s">
        <v>535</v>
      </c>
      <c r="C63" s="229" t="str">
        <f>IF(ISBLANK(Raw_Data!C63),"unknown",PROPER(TRIM(CLEAN(Raw_Data!C63))))</f>
        <v>Rekha Pandey</v>
      </c>
      <c r="D63" s="230"/>
      <c r="E63" s="231"/>
      <c r="F63" s="231"/>
      <c r="G63" s="231"/>
      <c r="H63" s="230"/>
      <c r="I63" s="230"/>
      <c r="J63" s="230"/>
      <c r="K63" s="231"/>
      <c r="L63" s="231"/>
      <c r="M63" s="231"/>
      <c r="N63" s="231"/>
      <c r="O63" s="230"/>
      <c r="P63" s="232"/>
      <c r="Q63" s="230"/>
      <c r="R63" s="230"/>
      <c r="S63" s="232"/>
      <c r="T63" s="231"/>
      <c r="U63" s="229"/>
      <c r="V63" s="234"/>
    </row>
    <row r="64" spans="1:22">
      <c r="A64" s="215" t="s">
        <v>539</v>
      </c>
      <c r="B64" s="14" t="s">
        <v>540</v>
      </c>
      <c r="C64" s="229" t="str">
        <f>IF(ISBLANK(Raw_Data!C64),"unknown",PROPER(TRIM(CLEAN(Raw_Data!C64))))</f>
        <v>Manoj Kumar</v>
      </c>
      <c r="D64" s="230"/>
      <c r="E64" s="231"/>
      <c r="F64" s="231"/>
      <c r="G64" s="231"/>
      <c r="H64" s="230"/>
      <c r="I64" s="230"/>
      <c r="J64" s="230"/>
      <c r="K64" s="231"/>
      <c r="L64" s="231"/>
      <c r="M64" s="231"/>
      <c r="N64" s="231"/>
      <c r="O64" s="230"/>
      <c r="P64" s="235"/>
      <c r="Q64" s="230"/>
      <c r="R64" s="230"/>
      <c r="S64" s="232"/>
      <c r="T64" s="231"/>
      <c r="U64" s="231"/>
      <c r="V64" s="233"/>
    </row>
    <row r="65" spans="1:22">
      <c r="A65" s="216" t="s">
        <v>545</v>
      </c>
      <c r="B65" s="18" t="s">
        <v>546</v>
      </c>
      <c r="C65" s="229" t="str">
        <f>IF(ISBLANK(Raw_Data!C65),"unknown",PROPER(TRIM(CLEAN(Raw_Data!C65))))</f>
        <v>Suresh Babu</v>
      </c>
      <c r="D65" s="230"/>
      <c r="E65" s="231"/>
      <c r="F65" s="231"/>
      <c r="G65" s="229"/>
      <c r="H65" s="230"/>
      <c r="I65" s="230"/>
      <c r="J65" s="230"/>
      <c r="K65" s="231"/>
      <c r="L65" s="231"/>
      <c r="M65" s="231"/>
      <c r="N65" s="231"/>
      <c r="O65" s="230"/>
      <c r="P65" s="232"/>
      <c r="Q65" s="230"/>
      <c r="R65" s="230"/>
      <c r="S65" s="232"/>
      <c r="T65" s="231"/>
      <c r="U65" s="229"/>
      <c r="V65" s="234"/>
    </row>
    <row r="66" spans="1:22">
      <c r="A66" s="215" t="s">
        <v>549</v>
      </c>
      <c r="B66" s="14" t="s">
        <v>550</v>
      </c>
      <c r="C66" s="229" t="str">
        <f>IF(ISBLANK(Raw_Data!C66),"unknown",PROPER(TRIM(CLEAN(Raw_Data!C66))))</f>
        <v>Divya Nair</v>
      </c>
      <c r="D66" s="230"/>
      <c r="E66" s="231"/>
      <c r="F66" s="231"/>
      <c r="G66" s="231"/>
      <c r="H66" s="230"/>
      <c r="I66" s="230"/>
      <c r="J66" s="230"/>
      <c r="K66" s="231"/>
      <c r="L66" s="231"/>
      <c r="M66" s="231"/>
      <c r="N66" s="231"/>
      <c r="O66" s="235"/>
      <c r="P66" s="232"/>
      <c r="Q66" s="230"/>
      <c r="R66" s="230"/>
      <c r="S66" s="236"/>
      <c r="T66" s="231"/>
      <c r="U66" s="229"/>
      <c r="V66" s="234"/>
    </row>
    <row r="67" spans="1:22">
      <c r="A67" s="216" t="s">
        <v>553</v>
      </c>
      <c r="B67" s="18" t="s">
        <v>554</v>
      </c>
      <c r="C67" s="229" t="str">
        <f>IF(ISBLANK(Raw_Data!C67),"unknown",PROPER(TRIM(CLEAN(Raw_Data!C67))))</f>
        <v>Deepika Rao</v>
      </c>
      <c r="D67" s="230"/>
      <c r="E67" s="231"/>
      <c r="F67" s="231"/>
      <c r="G67" s="231"/>
      <c r="H67" s="230"/>
      <c r="I67" s="230"/>
      <c r="J67" s="230"/>
      <c r="K67" s="231"/>
      <c r="L67" s="231"/>
      <c r="M67" s="231"/>
      <c r="N67" s="231"/>
      <c r="O67" s="230"/>
      <c r="P67" s="232"/>
      <c r="Q67" s="230"/>
      <c r="R67" s="230"/>
      <c r="S67" s="232"/>
      <c r="T67" s="231"/>
      <c r="U67" s="231"/>
      <c r="V67" s="233"/>
    </row>
    <row r="68" spans="1:22">
      <c r="A68" s="215" t="s">
        <v>557</v>
      </c>
      <c r="B68" s="14" t="s">
        <v>385</v>
      </c>
      <c r="C68" s="231" t="str">
        <f>IF(ISBLANK(Raw_Data!C68),"unknown",PROPER(TRIM(CLEAN(Raw_Data!C68))))</f>
        <v>Pooja Iyer</v>
      </c>
      <c r="D68" s="230"/>
      <c r="E68" s="231"/>
      <c r="F68" s="231"/>
      <c r="G68" s="231"/>
      <c r="H68" s="230"/>
      <c r="I68" s="230"/>
      <c r="J68" s="230"/>
      <c r="K68" s="231"/>
      <c r="L68" s="231"/>
      <c r="M68" s="231"/>
      <c r="N68" s="231"/>
      <c r="O68" s="230"/>
      <c r="P68" s="232"/>
      <c r="Q68" s="230"/>
      <c r="R68" s="230"/>
      <c r="S68" s="232"/>
      <c r="T68" s="231"/>
      <c r="U68" s="231"/>
      <c r="V68" s="234"/>
    </row>
    <row r="69" spans="1:22">
      <c r="A69" s="216" t="s">
        <v>561</v>
      </c>
      <c r="B69" s="18" t="s">
        <v>562</v>
      </c>
      <c r="C69" s="231" t="str">
        <f>IF(ISBLANK(Raw_Data!C69),"unknown",PROPER(TRIM(CLEAN(Raw_Data!C69))))</f>
        <v>Manish Tiwari</v>
      </c>
      <c r="D69" s="230"/>
      <c r="E69" s="231"/>
      <c r="F69" s="231"/>
      <c r="G69" s="231"/>
      <c r="H69" s="230"/>
      <c r="I69" s="230"/>
      <c r="J69" s="230"/>
      <c r="K69" s="231"/>
      <c r="L69" s="231"/>
      <c r="M69" s="231"/>
      <c r="N69" s="231"/>
      <c r="O69" s="230"/>
      <c r="P69" s="232"/>
      <c r="Q69" s="230"/>
      <c r="R69" s="230"/>
      <c r="S69" s="232"/>
      <c r="T69" s="231"/>
      <c r="U69" s="231"/>
      <c r="V69" s="234"/>
    </row>
    <row r="70" spans="1:22">
      <c r="A70" s="215" t="s">
        <v>566</v>
      </c>
      <c r="B70" s="14" t="s">
        <v>567</v>
      </c>
      <c r="C70" s="229" t="str">
        <f>IF(ISBLANK(Raw_Data!C70),"unknown",PROPER(TRIM(CLEAN(Raw_Data!C70))))</f>
        <v>Pooja Iyer</v>
      </c>
      <c r="D70" s="230"/>
      <c r="E70" s="231"/>
      <c r="F70" s="231"/>
      <c r="G70" s="229"/>
      <c r="H70" s="230"/>
      <c r="I70" s="230"/>
      <c r="J70" s="230"/>
      <c r="K70" s="231"/>
      <c r="L70" s="231"/>
      <c r="M70" s="231"/>
      <c r="N70" s="231"/>
      <c r="O70" s="230"/>
      <c r="P70" s="232"/>
      <c r="Q70" s="230"/>
      <c r="R70" s="230"/>
      <c r="S70" s="232"/>
      <c r="T70" s="231"/>
      <c r="U70" s="231"/>
      <c r="V70" s="234"/>
    </row>
    <row r="71" spans="1:22">
      <c r="A71" s="216" t="s">
        <v>571</v>
      </c>
      <c r="B71" s="18" t="s">
        <v>572</v>
      </c>
      <c r="C71" s="231" t="str">
        <f>IF(ISBLANK(Raw_Data!C71),"unknown",PROPER(TRIM(CLEAN(Raw_Data!C71))))</f>
        <v>Deepika Rao</v>
      </c>
      <c r="D71" s="230"/>
      <c r="E71" s="231"/>
      <c r="F71" s="231"/>
      <c r="G71" s="229"/>
      <c r="H71" s="230"/>
      <c r="I71" s="235"/>
      <c r="J71" s="230"/>
      <c r="K71" s="231"/>
      <c r="L71" s="231"/>
      <c r="M71" s="231"/>
      <c r="N71" s="231"/>
      <c r="O71" s="230"/>
      <c r="P71" s="232"/>
      <c r="Q71" s="230"/>
      <c r="R71" s="230"/>
      <c r="S71" s="232"/>
      <c r="T71" s="231"/>
      <c r="U71" s="229"/>
      <c r="V71" s="233"/>
    </row>
    <row r="72" spans="1:22">
      <c r="A72" s="215" t="s">
        <v>577</v>
      </c>
      <c r="B72" s="14" t="s">
        <v>578</v>
      </c>
      <c r="C72" s="231" t="str">
        <f>IF(ISBLANK(Raw_Data!C72),"unknown",PROPER(TRIM(CLEAN(Raw_Data!C72))))</f>
        <v>Mohan Lal</v>
      </c>
      <c r="D72" s="230"/>
      <c r="E72" s="231"/>
      <c r="F72" s="231"/>
      <c r="G72" s="229"/>
      <c r="H72" s="230"/>
      <c r="I72" s="230"/>
      <c r="J72" s="230"/>
      <c r="K72" s="231"/>
      <c r="L72" s="231"/>
      <c r="M72" s="231"/>
      <c r="N72" s="231"/>
      <c r="O72" s="230"/>
      <c r="P72" s="232"/>
      <c r="Q72" s="230"/>
      <c r="R72" s="230"/>
      <c r="S72" s="232"/>
      <c r="T72" s="231"/>
      <c r="U72" s="229"/>
      <c r="V72" s="234"/>
    </row>
    <row r="73" spans="1:22">
      <c r="A73" s="216" t="s">
        <v>581</v>
      </c>
      <c r="B73" s="18" t="s">
        <v>582</v>
      </c>
      <c r="C73" s="229" t="str">
        <f>IF(ISBLANK(Raw_Data!C73),"unknown",PROPER(TRIM(CLEAN(Raw_Data!C73))))</f>
        <v>Vijay Patel</v>
      </c>
      <c r="D73" s="230"/>
      <c r="E73" s="231"/>
      <c r="F73" s="231"/>
      <c r="G73" s="231"/>
      <c r="H73" s="230"/>
      <c r="I73" s="230"/>
      <c r="J73" s="230"/>
      <c r="K73" s="231"/>
      <c r="L73" s="231"/>
      <c r="M73" s="231"/>
      <c r="N73" s="231"/>
      <c r="O73" s="230"/>
      <c r="P73" s="232"/>
      <c r="Q73" s="230"/>
      <c r="R73" s="230"/>
      <c r="S73" s="232"/>
      <c r="T73" s="231"/>
      <c r="U73" s="231"/>
      <c r="V73" s="233"/>
    </row>
    <row r="74" spans="1:22">
      <c r="A74" s="216" t="s">
        <v>586</v>
      </c>
      <c r="B74" s="18" t="s">
        <v>587</v>
      </c>
      <c r="C74" s="229" t="str">
        <f>IF(ISBLANK(Raw_Data!C74),"unknown",PROPER(TRIM(CLEAN(Raw_Data!C74))))</f>
        <v>Suresh Babu</v>
      </c>
      <c r="D74" s="230"/>
      <c r="E74" s="231"/>
      <c r="F74" s="231"/>
      <c r="G74" s="229"/>
      <c r="H74" s="230"/>
      <c r="I74" s="230"/>
      <c r="J74" s="230"/>
      <c r="K74" s="231"/>
      <c r="L74" s="231"/>
      <c r="M74" s="231"/>
      <c r="N74" s="231"/>
      <c r="O74" s="230"/>
      <c r="P74" s="232"/>
      <c r="Q74" s="230"/>
      <c r="R74" s="230"/>
      <c r="S74" s="232"/>
      <c r="T74" s="231"/>
      <c r="U74" s="229"/>
      <c r="V74" s="234"/>
    </row>
    <row r="75" spans="1:22">
      <c r="A75" s="215" t="s">
        <v>591</v>
      </c>
      <c r="B75" s="14" t="s">
        <v>592</v>
      </c>
      <c r="C75" s="231" t="str">
        <f>IF(ISBLANK(Raw_Data!C75),"unknown",PROPER(TRIM(CLEAN(Raw_Data!C75))))</f>
        <v>Rahul Gupta</v>
      </c>
      <c r="D75" s="230"/>
      <c r="E75" s="231"/>
      <c r="F75" s="231"/>
      <c r="G75" s="231"/>
      <c r="H75" s="230"/>
      <c r="I75" s="230"/>
      <c r="J75" s="230"/>
      <c r="K75" s="231"/>
      <c r="L75" s="231"/>
      <c r="M75" s="231"/>
      <c r="N75" s="231"/>
      <c r="O75" s="230"/>
      <c r="P75" s="232"/>
      <c r="Q75" s="230"/>
      <c r="R75" s="230"/>
      <c r="S75" s="232"/>
      <c r="T75" s="231"/>
      <c r="U75" s="231"/>
      <c r="V75" s="234"/>
    </row>
    <row r="76" spans="1:22">
      <c r="A76" s="216" t="s">
        <v>598</v>
      </c>
      <c r="B76" s="18" t="s">
        <v>599</v>
      </c>
      <c r="C76" s="231" t="str">
        <f>IF(ISBLANK(Raw_Data!C76),"unknown",PROPER(TRIM(CLEAN(Raw_Data!C76))))</f>
        <v>Divya Nair</v>
      </c>
      <c r="D76" s="230"/>
      <c r="E76" s="231"/>
      <c r="F76" s="231"/>
      <c r="G76" s="231"/>
      <c r="H76" s="230"/>
      <c r="I76" s="230"/>
      <c r="J76" s="230"/>
      <c r="K76" s="231"/>
      <c r="L76" s="231"/>
      <c r="M76" s="231"/>
      <c r="N76" s="231"/>
      <c r="O76" s="230"/>
      <c r="P76" s="232"/>
      <c r="Q76" s="230"/>
      <c r="R76" s="230"/>
      <c r="S76" s="232"/>
      <c r="T76" s="231"/>
      <c r="U76" s="231"/>
      <c r="V76" s="233"/>
    </row>
    <row r="77" spans="1:22">
      <c r="A77" s="215" t="s">
        <v>603</v>
      </c>
      <c r="B77" s="14" t="s">
        <v>604</v>
      </c>
      <c r="C77" s="229" t="str">
        <f>IF(ISBLANK(Raw_Data!C77),"unknown",PROPER(TRIM(CLEAN(Raw_Data!C77))))</f>
        <v>Arjun Mehta</v>
      </c>
      <c r="D77" s="230"/>
      <c r="E77" s="231"/>
      <c r="F77" s="231"/>
      <c r="G77" s="231"/>
      <c r="H77" s="230"/>
      <c r="I77" s="230"/>
      <c r="J77" s="230"/>
      <c r="K77" s="231"/>
      <c r="L77" s="231"/>
      <c r="M77" s="231"/>
      <c r="N77" s="231"/>
      <c r="O77" s="230"/>
      <c r="P77" s="232"/>
      <c r="Q77" s="230"/>
      <c r="R77" s="230"/>
      <c r="S77" s="232"/>
      <c r="T77" s="231"/>
      <c r="U77" s="231"/>
      <c r="V77" s="233"/>
    </row>
    <row r="78" spans="1:22">
      <c r="A78" s="216" t="s">
        <v>609</v>
      </c>
      <c r="B78" s="18" t="s">
        <v>610</v>
      </c>
      <c r="C78" s="229" t="str">
        <f>IF(ISBLANK(Raw_Data!C78),"unknown",PROPER(TRIM(CLEAN(Raw_Data!C78))))</f>
        <v>Suresh Babu</v>
      </c>
      <c r="D78" s="230"/>
      <c r="E78" s="231"/>
      <c r="F78" s="231"/>
      <c r="G78" s="229"/>
      <c r="H78" s="230"/>
      <c r="I78" s="230"/>
      <c r="J78" s="230"/>
      <c r="K78" s="231"/>
      <c r="L78" s="231"/>
      <c r="M78" s="231"/>
      <c r="N78" s="231"/>
      <c r="O78" s="230"/>
      <c r="P78" s="235"/>
      <c r="Q78" s="230"/>
      <c r="R78" s="230"/>
      <c r="S78" s="232"/>
      <c r="T78" s="231"/>
      <c r="U78" s="229"/>
      <c r="V78" s="234"/>
    </row>
    <row r="79" spans="1:22">
      <c r="A79" s="215" t="s">
        <v>615</v>
      </c>
      <c r="B79" s="14" t="s">
        <v>616</v>
      </c>
      <c r="C79" s="231" t="str">
        <f>IF(ISBLANK(Raw_Data!C79),"unknown",PROPER(TRIM(CLEAN(Raw_Data!C79))))</f>
        <v>Padma Lakshmi</v>
      </c>
      <c r="D79" s="230"/>
      <c r="E79" s="231"/>
      <c r="F79" s="231"/>
      <c r="G79" s="231"/>
      <c r="H79" s="230"/>
      <c r="I79" s="230"/>
      <c r="J79" s="230"/>
      <c r="K79" s="231"/>
      <c r="L79" s="231"/>
      <c r="M79" s="231"/>
      <c r="N79" s="231"/>
      <c r="O79" s="235"/>
      <c r="P79" s="232"/>
      <c r="Q79" s="230"/>
      <c r="R79" s="230"/>
      <c r="S79" s="236"/>
      <c r="T79" s="231"/>
      <c r="U79" s="231"/>
      <c r="V79" s="234"/>
    </row>
    <row r="80" spans="1:22">
      <c r="A80" s="216" t="s">
        <v>620</v>
      </c>
      <c r="B80" s="18" t="s">
        <v>621</v>
      </c>
      <c r="C80" s="229" t="str">
        <f>IF(ISBLANK(Raw_Data!C80),"unknown",PROPER(TRIM(CLEAN(Raw_Data!C80))))</f>
        <v>Rahul Gupta</v>
      </c>
      <c r="D80" s="230"/>
      <c r="E80" s="231"/>
      <c r="F80" s="231"/>
      <c r="G80" s="231"/>
      <c r="H80" s="230"/>
      <c r="I80" s="230"/>
      <c r="J80" s="230"/>
      <c r="K80" s="231"/>
      <c r="L80" s="231"/>
      <c r="M80" s="231"/>
      <c r="N80" s="231"/>
      <c r="O80" s="230"/>
      <c r="P80" s="232"/>
      <c r="Q80" s="230"/>
      <c r="R80" s="230"/>
      <c r="S80" s="232"/>
      <c r="T80" s="231"/>
      <c r="U80" s="231"/>
      <c r="V80" s="233"/>
    </row>
    <row r="81" spans="1:22">
      <c r="A81" s="215" t="s">
        <v>625</v>
      </c>
      <c r="B81" s="14" t="s">
        <v>626</v>
      </c>
      <c r="C81" s="231" t="str">
        <f>IF(ISBLANK(Raw_Data!C81),"unknown",PROPER(TRIM(CLEAN(Raw_Data!C81))))</f>
        <v>Mohan Lal</v>
      </c>
      <c r="D81" s="230"/>
      <c r="E81" s="231"/>
      <c r="F81" s="231"/>
      <c r="G81" s="229"/>
      <c r="H81" s="230"/>
      <c r="I81" s="230"/>
      <c r="J81" s="230"/>
      <c r="K81" s="231"/>
      <c r="L81" s="231"/>
      <c r="M81" s="231"/>
      <c r="N81" s="231"/>
      <c r="O81" s="230"/>
      <c r="P81" s="232"/>
      <c r="Q81" s="235"/>
      <c r="R81" s="230"/>
      <c r="S81" s="232"/>
      <c r="T81" s="231"/>
      <c r="U81" s="231"/>
      <c r="V81" s="234"/>
    </row>
    <row r="82" spans="1:22">
      <c r="A82" s="216" t="s">
        <v>632</v>
      </c>
      <c r="B82" s="18" t="s">
        <v>633</v>
      </c>
      <c r="C82" s="229" t="str">
        <f>IF(ISBLANK(Raw_Data!C82),"unknown",PROPER(TRIM(CLEAN(Raw_Data!C82))))</f>
        <v>Kiran Kumar</v>
      </c>
      <c r="D82" s="230"/>
      <c r="E82" s="231"/>
      <c r="F82" s="231"/>
      <c r="G82" s="231"/>
      <c r="H82" s="230"/>
      <c r="I82" s="230"/>
      <c r="J82" s="230"/>
      <c r="K82" s="231"/>
      <c r="L82" s="231"/>
      <c r="M82" s="231"/>
      <c r="N82" s="231"/>
      <c r="O82" s="230"/>
      <c r="P82" s="232"/>
      <c r="Q82" s="230"/>
      <c r="R82" s="230"/>
      <c r="S82" s="232"/>
      <c r="T82" s="231"/>
      <c r="U82" s="229"/>
      <c r="V82" s="234"/>
    </row>
    <row r="83" spans="1:22">
      <c r="A83" s="215" t="s">
        <v>637</v>
      </c>
      <c r="B83" s="14" t="s">
        <v>638</v>
      </c>
      <c r="C83" s="231" t="str">
        <f>IF(ISBLANK(Raw_Data!C83),"unknown",PROPER(TRIM(CLEAN(Raw_Data!C83))))</f>
        <v>Deepika Rao</v>
      </c>
      <c r="D83" s="230"/>
      <c r="E83" s="231"/>
      <c r="F83" s="231"/>
      <c r="G83" s="231"/>
      <c r="H83" s="230"/>
      <c r="I83" s="230"/>
      <c r="J83" s="230"/>
      <c r="K83" s="231"/>
      <c r="L83" s="231"/>
      <c r="M83" s="231"/>
      <c r="N83" s="231"/>
      <c r="O83" s="230"/>
      <c r="P83" s="232"/>
      <c r="Q83" s="230"/>
      <c r="R83" s="230"/>
      <c r="S83" s="232"/>
      <c r="T83" s="231"/>
      <c r="U83" s="231"/>
      <c r="V83" s="234"/>
    </row>
    <row r="84" spans="1:22">
      <c r="A84" s="215" t="s">
        <v>643</v>
      </c>
      <c r="B84" s="14" t="s">
        <v>644</v>
      </c>
      <c r="C84" s="231" t="str">
        <f>IF(ISBLANK(Raw_Data!C84),"unknown",PROPER(TRIM(CLEAN(Raw_Data!C84))))</f>
        <v>Vijay Patel</v>
      </c>
      <c r="D84" s="230"/>
      <c r="E84" s="231"/>
      <c r="F84" s="231"/>
      <c r="G84" s="231"/>
      <c r="H84" s="230"/>
      <c r="I84" s="230"/>
      <c r="J84" s="230"/>
      <c r="K84" s="231"/>
      <c r="L84" s="231"/>
      <c r="M84" s="231"/>
      <c r="N84" s="231"/>
      <c r="O84" s="230"/>
      <c r="P84" s="232"/>
      <c r="Q84" s="230"/>
      <c r="R84" s="230"/>
      <c r="S84" s="232"/>
      <c r="T84" s="231"/>
      <c r="U84" s="231"/>
      <c r="V84" s="234"/>
    </row>
    <row r="85" spans="1:22">
      <c r="A85" s="216" t="s">
        <v>648</v>
      </c>
      <c r="B85" s="18" t="s">
        <v>649</v>
      </c>
      <c r="C85" s="229" t="str">
        <f>IF(ISBLANK(Raw_Data!C85),"unknown",PROPER(TRIM(CLEAN(Raw_Data!C85))))</f>
        <v>Neha Singh</v>
      </c>
      <c r="D85" s="230"/>
      <c r="E85" s="231"/>
      <c r="F85" s="231"/>
      <c r="G85" s="229"/>
      <c r="H85" s="230"/>
      <c r="I85" s="230"/>
      <c r="J85" s="230"/>
      <c r="K85" s="231"/>
      <c r="L85" s="231"/>
      <c r="M85" s="231"/>
      <c r="N85" s="231"/>
      <c r="O85" s="230"/>
      <c r="P85" s="232"/>
      <c r="Q85" s="230"/>
      <c r="R85" s="230"/>
      <c r="S85" s="232"/>
      <c r="T85" s="231"/>
      <c r="U85" s="231"/>
      <c r="V85" s="233"/>
    </row>
    <row r="86" spans="1:22">
      <c r="A86" s="215" t="s">
        <v>653</v>
      </c>
      <c r="B86" s="14" t="s">
        <v>654</v>
      </c>
      <c r="C86" s="231" t="str">
        <f>IF(ISBLANK(Raw_Data!C86),"unknown",PROPER(TRIM(CLEAN(Raw_Data!C86))))</f>
        <v>Saranya M</v>
      </c>
      <c r="D86" s="230"/>
      <c r="E86" s="231"/>
      <c r="F86" s="231"/>
      <c r="G86" s="231"/>
      <c r="H86" s="230"/>
      <c r="I86" s="230"/>
      <c r="J86" s="230"/>
      <c r="K86" s="231"/>
      <c r="L86" s="231"/>
      <c r="M86" s="231"/>
      <c r="N86" s="231"/>
      <c r="O86" s="230"/>
      <c r="P86" s="232"/>
      <c r="Q86" s="230"/>
      <c r="R86" s="230"/>
      <c r="S86" s="232"/>
      <c r="T86" s="231"/>
      <c r="U86" s="231"/>
      <c r="V86" s="234"/>
    </row>
    <row r="87" spans="1:22">
      <c r="A87" s="216" t="s">
        <v>658</v>
      </c>
      <c r="B87" s="18" t="s">
        <v>659</v>
      </c>
      <c r="C87" s="229" t="str">
        <f>IF(ISBLANK(Raw_Data!C87),"unknown",PROPER(TRIM(CLEAN(Raw_Data!C87))))</f>
        <v>Amit Singh</v>
      </c>
      <c r="D87" s="230"/>
      <c r="E87" s="231"/>
      <c r="F87" s="231"/>
      <c r="G87" s="231"/>
      <c r="H87" s="230"/>
      <c r="I87" s="230"/>
      <c r="J87" s="230"/>
      <c r="K87" s="231"/>
      <c r="L87" s="231"/>
      <c r="M87" s="231"/>
      <c r="N87" s="231"/>
      <c r="O87" s="230"/>
      <c r="P87" s="232"/>
      <c r="Q87" s="230"/>
      <c r="R87" s="230"/>
      <c r="S87" s="232"/>
      <c r="T87" s="231"/>
      <c r="U87" s="231"/>
      <c r="V87" s="234"/>
    </row>
    <row r="88" spans="1:22">
      <c r="A88" s="215" t="s">
        <v>662</v>
      </c>
      <c r="B88" s="14" t="s">
        <v>279</v>
      </c>
      <c r="C88" s="231" t="str">
        <f>IF(ISBLANK(Raw_Data!C88),"unknown",PROPER(TRIM(CLEAN(Raw_Data!C88))))</f>
        <v>Ravi Kumar</v>
      </c>
      <c r="D88" s="230"/>
      <c r="E88" s="231"/>
      <c r="F88" s="231"/>
      <c r="G88" s="231"/>
      <c r="H88" s="230"/>
      <c r="I88" s="230"/>
      <c r="J88" s="230"/>
      <c r="K88" s="231"/>
      <c r="L88" s="231"/>
      <c r="M88" s="231"/>
      <c r="N88" s="231"/>
      <c r="O88" s="230"/>
      <c r="P88" s="232"/>
      <c r="Q88" s="230"/>
      <c r="R88" s="230"/>
      <c r="S88" s="232"/>
      <c r="T88" s="231"/>
      <c r="U88" s="229"/>
      <c r="V88" s="234"/>
    </row>
    <row r="89" spans="1:22">
      <c r="A89" s="216" t="s">
        <v>666</v>
      </c>
      <c r="B89" s="18" t="s">
        <v>667</v>
      </c>
      <c r="C89" s="229" t="str">
        <f>IF(ISBLANK(Raw_Data!C89),"unknown",PROPER(TRIM(CLEAN(Raw_Data!C89))))</f>
        <v>Mohan Lal</v>
      </c>
      <c r="D89" s="230"/>
      <c r="E89" s="231"/>
      <c r="F89" s="231"/>
      <c r="G89" s="231"/>
      <c r="H89" s="230"/>
      <c r="I89" s="230"/>
      <c r="J89" s="230"/>
      <c r="K89" s="231"/>
      <c r="L89" s="231"/>
      <c r="M89" s="231"/>
      <c r="N89" s="231"/>
      <c r="O89" s="230"/>
      <c r="P89" s="232"/>
      <c r="Q89" s="230"/>
      <c r="R89" s="230"/>
      <c r="S89" s="235"/>
      <c r="T89" s="231"/>
      <c r="U89" s="231"/>
      <c r="V89" s="233"/>
    </row>
    <row r="90" spans="1:22">
      <c r="A90" s="215" t="s">
        <v>670</v>
      </c>
      <c r="B90" s="14" t="s">
        <v>671</v>
      </c>
      <c r="C90" s="229" t="str">
        <f>IF(ISBLANK(Raw_Data!C90),"unknown",PROPER(TRIM(CLEAN(Raw_Data!C90))))</f>
        <v>Vijay Patel</v>
      </c>
      <c r="D90" s="230"/>
      <c r="E90" s="231"/>
      <c r="F90" s="231"/>
      <c r="G90" s="229"/>
      <c r="H90" s="230"/>
      <c r="I90" s="230"/>
      <c r="J90" s="230"/>
      <c r="K90" s="231"/>
      <c r="L90" s="231"/>
      <c r="M90" s="231"/>
      <c r="N90" s="231"/>
      <c r="O90" s="230"/>
      <c r="P90" s="232"/>
      <c r="Q90" s="230"/>
      <c r="R90" s="230"/>
      <c r="S90" s="232"/>
      <c r="T90" s="231"/>
      <c r="U90" s="231"/>
      <c r="V90" s="233"/>
    </row>
    <row r="91" spans="1:22">
      <c r="A91" s="216" t="s">
        <v>674</v>
      </c>
      <c r="B91" s="18" t="s">
        <v>675</v>
      </c>
      <c r="C91" s="231" t="str">
        <f>IF(ISBLANK(Raw_Data!C91),"unknown",PROPER(TRIM(CLEAN(Raw_Data!C91))))</f>
        <v>Swati Gupta</v>
      </c>
      <c r="D91" s="230"/>
      <c r="E91" s="231"/>
      <c r="F91" s="231"/>
      <c r="G91" s="229"/>
      <c r="H91" s="230"/>
      <c r="I91" s="230"/>
      <c r="J91" s="230"/>
      <c r="K91" s="231"/>
      <c r="L91" s="231"/>
      <c r="M91" s="231"/>
      <c r="N91" s="231"/>
      <c r="O91" s="230"/>
      <c r="P91" s="232"/>
      <c r="Q91" s="230"/>
      <c r="R91" s="230"/>
      <c r="S91" s="232"/>
      <c r="T91" s="231"/>
      <c r="U91" s="229"/>
      <c r="V91" s="233"/>
    </row>
    <row r="92" spans="1:22">
      <c r="A92" s="215" t="s">
        <v>678</v>
      </c>
      <c r="B92" s="14" t="s">
        <v>679</v>
      </c>
      <c r="C92" s="231" t="str">
        <f>IF(ISBLANK(Raw_Data!C92),"unknown",PROPER(TRIM(CLEAN(Raw_Data!C92))))</f>
        <v>Rohit Yadav</v>
      </c>
      <c r="D92" s="230"/>
      <c r="E92" s="231"/>
      <c r="F92" s="229"/>
      <c r="G92" s="231"/>
      <c r="H92" s="230"/>
      <c r="I92" s="230"/>
      <c r="J92" s="230"/>
      <c r="K92" s="231"/>
      <c r="L92" s="231"/>
      <c r="M92" s="231"/>
      <c r="N92" s="231"/>
      <c r="O92" s="230"/>
      <c r="P92" s="232"/>
      <c r="Q92" s="230"/>
      <c r="R92" s="230"/>
      <c r="S92" s="232"/>
      <c r="T92" s="231"/>
      <c r="U92" s="231"/>
      <c r="V92" s="233"/>
    </row>
    <row r="93" spans="1:22">
      <c r="A93" s="216" t="s">
        <v>681</v>
      </c>
      <c r="B93" s="18" t="s">
        <v>682</v>
      </c>
      <c r="C93" s="231" t="str">
        <f>IF(ISBLANK(Raw_Data!C93),"unknown",PROPER(TRIM(CLEAN(Raw_Data!C93))))</f>
        <v>Kavitha N</v>
      </c>
      <c r="D93" s="230"/>
      <c r="E93" s="231"/>
      <c r="F93" s="231"/>
      <c r="G93" s="231"/>
      <c r="H93" s="230"/>
      <c r="I93" s="230"/>
      <c r="J93" s="230"/>
      <c r="K93" s="231"/>
      <c r="L93" s="231"/>
      <c r="M93" s="231"/>
      <c r="N93" s="231"/>
      <c r="O93" s="230"/>
      <c r="P93" s="232"/>
      <c r="Q93" s="230"/>
      <c r="R93" s="230"/>
      <c r="S93" s="232"/>
      <c r="T93" s="231"/>
      <c r="U93" s="229"/>
      <c r="V93" s="234"/>
    </row>
    <row r="94" spans="1:22">
      <c r="A94" s="215" t="s">
        <v>685</v>
      </c>
      <c r="B94" s="14" t="s">
        <v>686</v>
      </c>
      <c r="C94" s="231" t="str">
        <f>IF(ISBLANK(Raw_Data!C94),"unknown",PROPER(TRIM(CLEAN(Raw_Data!C94))))</f>
        <v>Divya Nair</v>
      </c>
      <c r="D94" s="230"/>
      <c r="E94" s="231"/>
      <c r="F94" s="231"/>
      <c r="G94" s="231"/>
      <c r="H94" s="230"/>
      <c r="I94" s="230"/>
      <c r="J94" s="230"/>
      <c r="K94" s="231"/>
      <c r="L94" s="231"/>
      <c r="M94" s="231"/>
      <c r="N94" s="231"/>
      <c r="O94" s="230"/>
      <c r="P94" s="232"/>
      <c r="Q94" s="230"/>
      <c r="R94" s="230"/>
      <c r="S94" s="232"/>
      <c r="T94" s="231"/>
      <c r="U94" s="231"/>
      <c r="V94" s="233"/>
    </row>
    <row r="95" spans="1:22">
      <c r="A95" s="216" t="s">
        <v>690</v>
      </c>
      <c r="B95" s="18" t="s">
        <v>691</v>
      </c>
      <c r="C95" s="229" t="str">
        <f>IF(ISBLANK(Raw_Data!C95),"unknown",PROPER(TRIM(CLEAN(Raw_Data!C95))))</f>
        <v>unknown</v>
      </c>
      <c r="D95" s="230"/>
      <c r="E95" s="231"/>
      <c r="F95" s="231"/>
      <c r="G95" s="231"/>
      <c r="H95" s="230"/>
      <c r="I95" s="230"/>
      <c r="J95" s="230"/>
      <c r="K95" s="231"/>
      <c r="L95" s="231"/>
      <c r="M95" s="231"/>
      <c r="N95" s="231"/>
      <c r="O95" s="230"/>
      <c r="P95" s="232"/>
      <c r="Q95" s="230"/>
      <c r="R95" s="230"/>
      <c r="S95" s="232"/>
      <c r="T95" s="231"/>
      <c r="U95" s="229"/>
      <c r="V95" s="234"/>
    </row>
    <row r="96" spans="1:22">
      <c r="A96" s="215" t="s">
        <v>695</v>
      </c>
      <c r="B96" s="14" t="s">
        <v>696</v>
      </c>
      <c r="C96" s="229" t="str">
        <f>IF(ISBLANK(Raw_Data!C96),"unknown",PROPER(TRIM(CLEAN(Raw_Data!C96))))</f>
        <v>Deepa Krishnan</v>
      </c>
      <c r="D96" s="230"/>
      <c r="E96" s="231"/>
      <c r="F96" s="231"/>
      <c r="G96" s="231"/>
      <c r="H96" s="230"/>
      <c r="I96" s="230"/>
      <c r="J96" s="230"/>
      <c r="K96" s="231"/>
      <c r="L96" s="231"/>
      <c r="M96" s="231"/>
      <c r="N96" s="231"/>
      <c r="O96" s="230"/>
      <c r="P96" s="232"/>
      <c r="Q96" s="230"/>
      <c r="R96" s="230"/>
      <c r="S96" s="232"/>
      <c r="T96" s="231"/>
      <c r="U96" s="231"/>
      <c r="V96" s="233"/>
    </row>
    <row r="97" spans="1:22">
      <c r="A97" s="216" t="s">
        <v>700</v>
      </c>
      <c r="B97" s="18" t="s">
        <v>701</v>
      </c>
      <c r="C97" s="229" t="str">
        <f>IF(ISBLANK(Raw_Data!C97),"unknown",PROPER(TRIM(CLEAN(Raw_Data!C97))))</f>
        <v>Rohit Yadav</v>
      </c>
      <c r="D97" s="230"/>
      <c r="E97" s="231"/>
      <c r="F97" s="231"/>
      <c r="G97" s="231"/>
      <c r="H97" s="230"/>
      <c r="I97" s="230"/>
      <c r="J97" s="230"/>
      <c r="K97" s="231"/>
      <c r="L97" s="231"/>
      <c r="M97" s="231"/>
      <c r="N97" s="231"/>
      <c r="O97" s="230"/>
      <c r="P97" s="232"/>
      <c r="Q97" s="230"/>
      <c r="R97" s="230"/>
      <c r="S97" s="232"/>
      <c r="T97" s="231"/>
      <c r="U97" s="229"/>
      <c r="V97" s="233"/>
    </row>
    <row r="98" spans="1:22">
      <c r="A98" s="216" t="s">
        <v>705</v>
      </c>
      <c r="B98" s="18" t="s">
        <v>706</v>
      </c>
      <c r="C98" s="231" t="str">
        <f>IF(ISBLANK(Raw_Data!C98),"unknown",PROPER(TRIM(CLEAN(Raw_Data!C98))))</f>
        <v>Geetha Rao</v>
      </c>
      <c r="D98" s="230"/>
      <c r="E98" s="231"/>
      <c r="F98" s="231"/>
      <c r="G98" s="231"/>
      <c r="H98" s="230"/>
      <c r="I98" s="230"/>
      <c r="J98" s="230"/>
      <c r="K98" s="231"/>
      <c r="L98" s="231"/>
      <c r="M98" s="231"/>
      <c r="N98" s="231"/>
      <c r="O98" s="230"/>
      <c r="P98" s="232"/>
      <c r="Q98" s="230"/>
      <c r="R98" s="230"/>
      <c r="S98" s="232"/>
      <c r="T98" s="231"/>
      <c r="U98" s="231"/>
      <c r="V98" s="233"/>
    </row>
    <row r="99" spans="1:22">
      <c r="A99" s="215" t="s">
        <v>710</v>
      </c>
      <c r="B99" s="14" t="s">
        <v>711</v>
      </c>
      <c r="C99" s="231" t="str">
        <f>IF(ISBLANK(Raw_Data!C99),"unknown",PROPER(TRIM(CLEAN(Raw_Data!C99))))</f>
        <v>Deepika Rao</v>
      </c>
      <c r="D99" s="230"/>
      <c r="E99" s="231"/>
      <c r="F99" s="231"/>
      <c r="G99" s="231"/>
      <c r="H99" s="230"/>
      <c r="I99" s="230"/>
      <c r="J99" s="230"/>
      <c r="K99" s="231"/>
      <c r="L99" s="231"/>
      <c r="M99" s="231"/>
      <c r="N99" s="231"/>
      <c r="O99" s="230"/>
      <c r="P99" s="232"/>
      <c r="Q99" s="230"/>
      <c r="R99" s="230"/>
      <c r="S99" s="232"/>
      <c r="T99" s="231"/>
      <c r="U99" s="229"/>
      <c r="V99" s="234"/>
    </row>
    <row r="100" spans="1:22">
      <c r="A100" s="216" t="s">
        <v>716</v>
      </c>
      <c r="B100" s="18" t="s">
        <v>717</v>
      </c>
      <c r="C100" s="231" t="str">
        <f>IF(ISBLANK(Raw_Data!C100),"unknown",PROPER(TRIM(CLEAN(Raw_Data!C100))))</f>
        <v>Ravi Kumar</v>
      </c>
      <c r="D100" s="230"/>
      <c r="E100" s="231"/>
      <c r="F100" s="231"/>
      <c r="G100" s="231"/>
      <c r="H100" s="230"/>
      <c r="I100" s="230"/>
      <c r="J100" s="230"/>
      <c r="K100" s="231"/>
      <c r="L100" s="229"/>
      <c r="M100" s="231"/>
      <c r="N100" s="231"/>
      <c r="O100" s="230"/>
      <c r="P100" s="232"/>
      <c r="Q100" s="230"/>
      <c r="R100" s="230"/>
      <c r="S100" s="232"/>
      <c r="T100" s="231"/>
      <c r="U100" s="229"/>
      <c r="V100" s="234"/>
    </row>
    <row r="101" spans="1:22">
      <c r="A101" s="215" t="s">
        <v>722</v>
      </c>
      <c r="B101" s="14" t="s">
        <v>723</v>
      </c>
      <c r="C101" s="229" t="str">
        <f>IF(ISBLANK(Raw_Data!C101),"unknown",PROPER(TRIM(CLEAN(Raw_Data!C101))))</f>
        <v>Anita Verma</v>
      </c>
      <c r="D101" s="230"/>
      <c r="E101" s="231"/>
      <c r="F101" s="231"/>
      <c r="G101" s="231"/>
      <c r="H101" s="230"/>
      <c r="I101" s="230"/>
      <c r="J101" s="230"/>
      <c r="K101" s="231"/>
      <c r="L101" s="231"/>
      <c r="M101" s="231"/>
      <c r="N101" s="231"/>
      <c r="O101" s="230"/>
      <c r="P101" s="232"/>
      <c r="Q101" s="230"/>
      <c r="R101" s="230"/>
      <c r="S101" s="232"/>
      <c r="T101" s="231"/>
      <c r="U101" s="229"/>
      <c r="V101" s="233"/>
    </row>
    <row r="102" spans="1:22">
      <c r="A102" s="216" t="s">
        <v>726</v>
      </c>
      <c r="B102" s="18" t="s">
        <v>727</v>
      </c>
      <c r="C102" s="231" t="str">
        <f>IF(ISBLANK(Raw_Data!C102),"unknown",PROPER(TRIM(CLEAN(Raw_Data!C102))))</f>
        <v>Kavya Rao</v>
      </c>
      <c r="D102" s="230"/>
      <c r="E102" s="231"/>
      <c r="F102" s="231"/>
      <c r="G102" s="229"/>
      <c r="H102" s="230"/>
      <c r="I102" s="235"/>
      <c r="J102" s="230"/>
      <c r="K102" s="231"/>
      <c r="L102" s="231"/>
      <c r="M102" s="231"/>
      <c r="N102" s="231"/>
      <c r="O102" s="230"/>
      <c r="P102" s="232"/>
      <c r="Q102" s="230"/>
      <c r="R102" s="230"/>
      <c r="S102" s="232"/>
      <c r="T102" s="231"/>
      <c r="U102" s="231"/>
      <c r="V102" s="234"/>
    </row>
    <row r="103" spans="1:22">
      <c r="A103" s="215" t="s">
        <v>733</v>
      </c>
      <c r="B103" s="14" t="s">
        <v>633</v>
      </c>
      <c r="C103" s="229" t="str">
        <f>IF(ISBLANK(Raw_Data!C103),"unknown",PROPER(TRIM(CLEAN(Raw_Data!C103))))</f>
        <v>Pooja Iyer</v>
      </c>
      <c r="D103" s="230"/>
      <c r="E103" s="231"/>
      <c r="F103" s="231"/>
      <c r="G103" s="229"/>
      <c r="H103" s="230"/>
      <c r="I103" s="230"/>
      <c r="J103" s="230"/>
      <c r="K103" s="231"/>
      <c r="L103" s="231"/>
      <c r="M103" s="231"/>
      <c r="N103" s="231"/>
      <c r="O103" s="230"/>
      <c r="P103" s="232"/>
      <c r="Q103" s="230"/>
      <c r="R103" s="230"/>
      <c r="S103" s="232"/>
      <c r="T103" s="231"/>
      <c r="U103" s="231"/>
      <c r="V103" s="233"/>
    </row>
    <row r="104" spans="1:22">
      <c r="A104" s="216" t="s">
        <v>736</v>
      </c>
      <c r="B104" s="18" t="s">
        <v>737</v>
      </c>
      <c r="C104" s="229" t="str">
        <f>IF(ISBLANK(Raw_Data!C104),"unknown",PROPER(TRIM(CLEAN(Raw_Data!C104))))</f>
        <v>Manish Tiwari</v>
      </c>
      <c r="D104" s="230"/>
      <c r="E104" s="231"/>
      <c r="F104" s="231"/>
      <c r="G104" s="231"/>
      <c r="H104" s="230"/>
      <c r="I104" s="230"/>
      <c r="J104" s="230"/>
      <c r="K104" s="231"/>
      <c r="L104" s="231"/>
      <c r="M104" s="231"/>
      <c r="N104" s="231"/>
      <c r="O104" s="230"/>
      <c r="P104" s="232"/>
      <c r="Q104" s="230"/>
      <c r="R104" s="230"/>
      <c r="S104" s="232"/>
      <c r="T104" s="231"/>
      <c r="U104" s="231"/>
      <c r="V104" s="234"/>
    </row>
    <row r="105" spans="1:22">
      <c r="A105" s="215" t="s">
        <v>740</v>
      </c>
      <c r="B105" s="14" t="s">
        <v>741</v>
      </c>
      <c r="C105" s="229" t="str">
        <f>IF(ISBLANK(Raw_Data!C105),"unknown",PROPER(TRIM(CLEAN(Raw_Data!C105))))</f>
        <v>Nisha Patel</v>
      </c>
      <c r="D105" s="230"/>
      <c r="E105" s="231"/>
      <c r="F105" s="231"/>
      <c r="G105" s="231"/>
      <c r="H105" s="230"/>
      <c r="I105" s="230"/>
      <c r="J105" s="230"/>
      <c r="K105" s="231"/>
      <c r="L105" s="231"/>
      <c r="M105" s="231"/>
      <c r="N105" s="231"/>
      <c r="O105" s="230"/>
      <c r="P105" s="232"/>
      <c r="Q105" s="230"/>
      <c r="R105" s="230"/>
      <c r="S105" s="232"/>
      <c r="T105" s="231"/>
      <c r="U105" s="229"/>
      <c r="V105" s="233"/>
    </row>
    <row r="106" spans="1:22">
      <c r="A106" s="216" t="s">
        <v>745</v>
      </c>
      <c r="B106" s="18" t="s">
        <v>746</v>
      </c>
      <c r="C106" s="229" t="str">
        <f>IF(ISBLANK(Raw_Data!C106),"unknown",PROPER(TRIM(CLEAN(Raw_Data!C106))))</f>
        <v>Anita Verma</v>
      </c>
      <c r="D106" s="230"/>
      <c r="E106" s="231"/>
      <c r="F106" s="231"/>
      <c r="G106" s="231"/>
      <c r="H106" s="230"/>
      <c r="I106" s="230"/>
      <c r="J106" s="230"/>
      <c r="K106" s="231"/>
      <c r="L106" s="231"/>
      <c r="M106" s="231"/>
      <c r="N106" s="231"/>
      <c r="O106" s="230"/>
      <c r="P106" s="232"/>
      <c r="Q106" s="230"/>
      <c r="R106" s="230"/>
      <c r="S106" s="232"/>
      <c r="T106" s="231"/>
      <c r="U106" s="231"/>
      <c r="V106" s="233"/>
    </row>
    <row r="107" spans="1:22">
      <c r="A107" s="216" t="s">
        <v>751</v>
      </c>
      <c r="B107" s="18" t="s">
        <v>752</v>
      </c>
      <c r="C107" s="229" t="str">
        <f>IF(ISBLANK(Raw_Data!C107),"unknown",PROPER(TRIM(CLEAN(Raw_Data!C107))))</f>
        <v>Geetha Rao</v>
      </c>
      <c r="D107" s="230"/>
      <c r="E107" s="231"/>
      <c r="F107" s="231"/>
      <c r="G107" s="231"/>
      <c r="H107" s="230"/>
      <c r="I107" s="230"/>
      <c r="J107" s="230"/>
      <c r="K107" s="231"/>
      <c r="L107" s="231"/>
      <c r="M107" s="231"/>
      <c r="N107" s="231"/>
      <c r="O107" s="230"/>
      <c r="P107" s="232"/>
      <c r="Q107" s="230"/>
      <c r="R107" s="230"/>
      <c r="S107" s="232"/>
      <c r="T107" s="231"/>
      <c r="U107" s="229"/>
      <c r="V107" s="234"/>
    </row>
    <row r="108" spans="1:22">
      <c r="A108" s="215" t="s">
        <v>755</v>
      </c>
      <c r="B108" s="14" t="s">
        <v>460</v>
      </c>
      <c r="C108" s="229" t="str">
        <f>IF(ISBLANK(Raw_Data!C108),"unknown",PROPER(TRIM(CLEAN(Raw_Data!C108))))</f>
        <v>Venkat Reddy</v>
      </c>
      <c r="D108" s="230"/>
      <c r="E108" s="231"/>
      <c r="F108" s="231"/>
      <c r="G108" s="231"/>
      <c r="H108" s="230"/>
      <c r="I108" s="230"/>
      <c r="J108" s="230"/>
      <c r="K108" s="231"/>
      <c r="L108" s="231"/>
      <c r="M108" s="231"/>
      <c r="N108" s="231"/>
      <c r="O108" s="230"/>
      <c r="P108" s="232"/>
      <c r="Q108" s="230"/>
      <c r="R108" s="230"/>
      <c r="S108" s="232"/>
      <c r="T108" s="231"/>
      <c r="U108" s="229"/>
      <c r="V108" s="234"/>
    </row>
    <row r="109" spans="1:22">
      <c r="A109" s="216" t="s">
        <v>759</v>
      </c>
      <c r="B109" s="18" t="s">
        <v>760</v>
      </c>
      <c r="C109" s="229" t="str">
        <f>IF(ISBLANK(Raw_Data!C109),"unknown",PROPER(TRIM(CLEAN(Raw_Data!C109))))</f>
        <v>Divya Nair</v>
      </c>
      <c r="D109" s="230"/>
      <c r="E109" s="231"/>
      <c r="F109" s="231"/>
      <c r="G109" s="231"/>
      <c r="H109" s="230"/>
      <c r="I109" s="230"/>
      <c r="J109" s="230"/>
      <c r="K109" s="231"/>
      <c r="L109" s="231"/>
      <c r="M109" s="231"/>
      <c r="N109" s="231"/>
      <c r="O109" s="230"/>
      <c r="P109" s="232"/>
      <c r="Q109" s="230"/>
      <c r="R109" s="230"/>
      <c r="S109" s="232"/>
      <c r="T109" s="231"/>
      <c r="U109" s="231"/>
      <c r="V109" s="234"/>
    </row>
    <row r="110" spans="1:22">
      <c r="A110" s="215" t="s">
        <v>763</v>
      </c>
      <c r="B110" s="14" t="s">
        <v>764</v>
      </c>
      <c r="C110" s="231" t="str">
        <f>IF(ISBLANK(Raw_Data!C110),"unknown",PROPER(TRIM(CLEAN(Raw_Data!C110))))</f>
        <v>Padma Lakshmi</v>
      </c>
      <c r="D110" s="230"/>
      <c r="E110" s="231"/>
      <c r="F110" s="231"/>
      <c r="G110" s="229"/>
      <c r="H110" s="230"/>
      <c r="I110" s="230"/>
      <c r="J110" s="230"/>
      <c r="K110" s="231"/>
      <c r="L110" s="231"/>
      <c r="M110" s="231"/>
      <c r="N110" s="231"/>
      <c r="O110" s="230"/>
      <c r="P110" s="232"/>
      <c r="Q110" s="230"/>
      <c r="R110" s="230"/>
      <c r="S110" s="232"/>
      <c r="T110" s="231"/>
      <c r="U110" s="231"/>
      <c r="V110" s="233"/>
    </row>
    <row r="111" spans="1:22">
      <c r="A111" s="216" t="s">
        <v>767</v>
      </c>
      <c r="B111" s="18" t="s">
        <v>768</v>
      </c>
      <c r="C111" s="229" t="str">
        <f>IF(ISBLANK(Raw_Data!C111),"unknown",PROPER(TRIM(CLEAN(Raw_Data!C111))))</f>
        <v>Prasad P</v>
      </c>
      <c r="D111" s="230"/>
      <c r="E111" s="231"/>
      <c r="F111" s="231"/>
      <c r="G111" s="231"/>
      <c r="H111" s="230"/>
      <c r="I111" s="230"/>
      <c r="J111" s="230"/>
      <c r="K111" s="231"/>
      <c r="L111" s="231"/>
      <c r="M111" s="231"/>
      <c r="N111" s="231"/>
      <c r="O111" s="230"/>
      <c r="P111" s="232"/>
      <c r="Q111" s="230"/>
      <c r="R111" s="230"/>
      <c r="S111" s="232"/>
      <c r="T111" s="231"/>
      <c r="U111" s="229"/>
      <c r="V111" s="233"/>
    </row>
    <row r="112" spans="1:22">
      <c r="A112" s="215" t="s">
        <v>771</v>
      </c>
      <c r="B112" s="14" t="s">
        <v>214</v>
      </c>
      <c r="C112" s="229" t="str">
        <f>IF(ISBLANK(Raw_Data!C112),"unknown",PROPER(TRIM(CLEAN(Raw_Data!C112))))</f>
        <v>Kavitha N</v>
      </c>
      <c r="D112" s="230"/>
      <c r="E112" s="231"/>
      <c r="F112" s="231"/>
      <c r="G112" s="231"/>
      <c r="H112" s="230"/>
      <c r="I112" s="230"/>
      <c r="J112" s="230"/>
      <c r="K112" s="231"/>
      <c r="L112" s="231"/>
      <c r="M112" s="231"/>
      <c r="N112" s="231"/>
      <c r="O112" s="230"/>
      <c r="P112" s="232"/>
      <c r="Q112" s="230"/>
      <c r="R112" s="230"/>
      <c r="S112" s="232"/>
      <c r="T112" s="231"/>
      <c r="U112" s="231"/>
      <c r="V112" s="233"/>
    </row>
    <row r="113" spans="1:22">
      <c r="A113" s="216" t="s">
        <v>774</v>
      </c>
      <c r="B113" s="18" t="s">
        <v>621</v>
      </c>
      <c r="C113" s="231" t="str">
        <f>IF(ISBLANK(Raw_Data!C113),"unknown",PROPER(TRIM(CLEAN(Raw_Data!C113))))</f>
        <v>Swati Gupta</v>
      </c>
      <c r="D113" s="230"/>
      <c r="E113" s="231"/>
      <c r="F113" s="231"/>
      <c r="G113" s="229"/>
      <c r="H113" s="230"/>
      <c r="I113" s="230"/>
      <c r="J113" s="230"/>
      <c r="K113" s="231"/>
      <c r="L113" s="231"/>
      <c r="M113" s="231"/>
      <c r="N113" s="231"/>
      <c r="O113" s="230"/>
      <c r="P113" s="232"/>
      <c r="Q113" s="230"/>
      <c r="R113" s="230"/>
      <c r="S113" s="232"/>
      <c r="T113" s="231"/>
      <c r="U113" s="229"/>
      <c r="V113" s="234"/>
    </row>
    <row r="114" spans="1:22">
      <c r="A114" s="215" t="s">
        <v>778</v>
      </c>
      <c r="B114" s="14" t="s">
        <v>779</v>
      </c>
      <c r="C114" s="229" t="str">
        <f>IF(ISBLANK(Raw_Data!C114),"unknown",PROPER(TRIM(CLEAN(Raw_Data!C114))))</f>
        <v>Kiran Kumar</v>
      </c>
      <c r="D114" s="230"/>
      <c r="E114" s="231"/>
      <c r="F114" s="231"/>
      <c r="G114" s="231"/>
      <c r="H114" s="230"/>
      <c r="I114" s="230"/>
      <c r="J114" s="230"/>
      <c r="K114" s="231"/>
      <c r="L114" s="231"/>
      <c r="M114" s="231"/>
      <c r="N114" s="231"/>
      <c r="O114" s="230"/>
      <c r="P114" s="232"/>
      <c r="Q114" s="230"/>
      <c r="R114" s="230"/>
      <c r="S114" s="232"/>
      <c r="T114" s="231"/>
      <c r="U114" s="231"/>
      <c r="V114" s="234"/>
    </row>
    <row r="115" spans="1:22">
      <c r="A115" s="216" t="s">
        <v>782</v>
      </c>
      <c r="B115" s="18" t="s">
        <v>398</v>
      </c>
      <c r="C115" s="229" t="str">
        <f>IF(ISBLANK(Raw_Data!C115),"unknown",PROPER(TRIM(CLEAN(Raw_Data!C115))))</f>
        <v>Sanjay Shah</v>
      </c>
      <c r="D115" s="230"/>
      <c r="E115" s="231"/>
      <c r="F115" s="231"/>
      <c r="G115" s="231"/>
      <c r="H115" s="230"/>
      <c r="I115" s="230"/>
      <c r="J115" s="230"/>
      <c r="K115" s="231"/>
      <c r="L115" s="231"/>
      <c r="M115" s="231"/>
      <c r="N115" s="231"/>
      <c r="O115" s="230"/>
      <c r="P115" s="235"/>
      <c r="Q115" s="230"/>
      <c r="R115" s="230"/>
      <c r="S115" s="232"/>
      <c r="T115" s="231"/>
      <c r="U115" s="229"/>
      <c r="V115" s="233"/>
    </row>
    <row r="116" spans="1:22">
      <c r="A116" s="215" t="s">
        <v>786</v>
      </c>
      <c r="B116" s="14" t="s">
        <v>787</v>
      </c>
      <c r="C116" s="229" t="str">
        <f>IF(ISBLANK(Raw_Data!C116),"unknown",PROPER(TRIM(CLEAN(Raw_Data!C116))))</f>
        <v>Deepa Krishnan</v>
      </c>
      <c r="D116" s="230"/>
      <c r="E116" s="231"/>
      <c r="F116" s="231"/>
      <c r="G116" s="229"/>
      <c r="H116" s="230"/>
      <c r="I116" s="230"/>
      <c r="J116" s="230"/>
      <c r="K116" s="231"/>
      <c r="L116" s="231"/>
      <c r="M116" s="231"/>
      <c r="N116" s="231"/>
      <c r="O116" s="230"/>
      <c r="P116" s="232"/>
      <c r="Q116" s="230"/>
      <c r="R116" s="230"/>
      <c r="S116" s="232"/>
      <c r="T116" s="231"/>
      <c r="U116" s="229"/>
      <c r="V116" s="233"/>
    </row>
    <row r="117" spans="1:22">
      <c r="A117" s="216" t="s">
        <v>791</v>
      </c>
      <c r="B117" s="18" t="s">
        <v>792</v>
      </c>
      <c r="C117" s="229" t="str">
        <f>IF(ISBLANK(Raw_Data!C117),"unknown",PROPER(TRIM(CLEAN(Raw_Data!C117))))</f>
        <v>Sita Devi</v>
      </c>
      <c r="D117" s="230"/>
      <c r="E117" s="231"/>
      <c r="F117" s="229"/>
      <c r="G117" s="231"/>
      <c r="H117" s="230"/>
      <c r="I117" s="230"/>
      <c r="J117" s="230"/>
      <c r="K117" s="231"/>
      <c r="L117" s="231"/>
      <c r="M117" s="231"/>
      <c r="N117" s="231"/>
      <c r="O117" s="230"/>
      <c r="P117" s="232"/>
      <c r="Q117" s="230"/>
      <c r="R117" s="230"/>
      <c r="S117" s="232"/>
      <c r="T117" s="231"/>
      <c r="U117" s="231"/>
      <c r="V117" s="233"/>
    </row>
    <row r="118" spans="1:22">
      <c r="A118" s="215" t="s">
        <v>795</v>
      </c>
      <c r="B118" s="14" t="s">
        <v>796</v>
      </c>
      <c r="C118" s="229" t="str">
        <f>IF(ISBLANK(Raw_Data!C118),"unknown",PROPER(TRIM(CLEAN(Raw_Data!C118))))</f>
        <v>Swati Gupta</v>
      </c>
      <c r="D118" s="230"/>
      <c r="E118" s="231"/>
      <c r="F118" s="231"/>
      <c r="G118" s="231"/>
      <c r="H118" s="230"/>
      <c r="I118" s="230"/>
      <c r="J118" s="230"/>
      <c r="K118" s="231"/>
      <c r="L118" s="231"/>
      <c r="M118" s="231"/>
      <c r="N118" s="231"/>
      <c r="O118" s="230"/>
      <c r="P118" s="232"/>
      <c r="Q118" s="230"/>
      <c r="R118" s="230"/>
      <c r="S118" s="232"/>
      <c r="T118" s="231"/>
      <c r="U118" s="231"/>
      <c r="V118" s="233"/>
    </row>
    <row r="119" spans="1:22">
      <c r="A119" s="216" t="s">
        <v>800</v>
      </c>
      <c r="B119" s="18" t="s">
        <v>801</v>
      </c>
      <c r="C119" s="231" t="str">
        <f>IF(ISBLANK(Raw_Data!C119),"unknown",PROPER(TRIM(CLEAN(Raw_Data!C119))))</f>
        <v>Deepa Krishnan</v>
      </c>
      <c r="D119" s="230"/>
      <c r="E119" s="231"/>
      <c r="F119" s="231"/>
      <c r="G119" s="229"/>
      <c r="H119" s="230"/>
      <c r="I119" s="230"/>
      <c r="J119" s="230"/>
      <c r="K119" s="231"/>
      <c r="L119" s="229"/>
      <c r="M119" s="231"/>
      <c r="N119" s="231"/>
      <c r="O119" s="230"/>
      <c r="P119" s="232"/>
      <c r="Q119" s="230"/>
      <c r="R119" s="230"/>
      <c r="S119" s="232"/>
      <c r="T119" s="231"/>
      <c r="U119" s="229"/>
      <c r="V119" s="233"/>
    </row>
    <row r="120" spans="1:22">
      <c r="A120" s="215" t="s">
        <v>806</v>
      </c>
      <c r="B120" s="14" t="s">
        <v>807</v>
      </c>
      <c r="C120" s="231" t="str">
        <f>IF(ISBLANK(Raw_Data!C120),"unknown",PROPER(TRIM(CLEAN(Raw_Data!C120))))</f>
        <v>Vijay Patel</v>
      </c>
      <c r="D120" s="230"/>
      <c r="E120" s="231"/>
      <c r="F120" s="231"/>
      <c r="G120" s="231"/>
      <c r="H120" s="230"/>
      <c r="I120" s="230"/>
      <c r="J120" s="230"/>
      <c r="K120" s="231"/>
      <c r="L120" s="231"/>
      <c r="M120" s="231"/>
      <c r="N120" s="231"/>
      <c r="O120" s="230"/>
      <c r="P120" s="232"/>
      <c r="Q120" s="230"/>
      <c r="R120" s="230"/>
      <c r="S120" s="232"/>
      <c r="T120" s="231"/>
      <c r="U120" s="229"/>
      <c r="V120" s="233"/>
    </row>
    <row r="121" spans="1:22">
      <c r="A121" s="216" t="s">
        <v>810</v>
      </c>
      <c r="B121" s="18" t="s">
        <v>811</v>
      </c>
      <c r="C121" s="229" t="str">
        <f>IF(ISBLANK(Raw_Data!C121),"unknown",PROPER(TRIM(CLEAN(Raw_Data!C121))))</f>
        <v>Arun Sharma</v>
      </c>
      <c r="D121" s="230"/>
      <c r="E121" s="231"/>
      <c r="F121" s="231"/>
      <c r="G121" s="231"/>
      <c r="H121" s="230"/>
      <c r="I121" s="230"/>
      <c r="J121" s="230"/>
      <c r="K121" s="231"/>
      <c r="L121" s="231"/>
      <c r="M121" s="231"/>
      <c r="N121" s="231"/>
      <c r="O121" s="230"/>
      <c r="P121" s="232"/>
      <c r="Q121" s="230"/>
      <c r="R121" s="230"/>
      <c r="S121" s="232"/>
      <c r="T121" s="231"/>
      <c r="U121" s="231"/>
      <c r="V121" s="234"/>
    </row>
    <row r="122" spans="1:22">
      <c r="A122" s="216" t="s">
        <v>814</v>
      </c>
      <c r="B122" s="18" t="s">
        <v>675</v>
      </c>
      <c r="C122" s="231" t="str">
        <f>IF(ISBLANK(Raw_Data!C122),"unknown",PROPER(TRIM(CLEAN(Raw_Data!C122))))</f>
        <v>Arjun Mehta</v>
      </c>
      <c r="D122" s="230"/>
      <c r="E122" s="231"/>
      <c r="F122" s="231"/>
      <c r="G122" s="231"/>
      <c r="H122" s="230"/>
      <c r="I122" s="230"/>
      <c r="J122" s="230"/>
      <c r="K122" s="231"/>
      <c r="L122" s="231"/>
      <c r="M122" s="231"/>
      <c r="N122" s="231"/>
      <c r="O122" s="230"/>
      <c r="P122" s="235"/>
      <c r="Q122" s="235"/>
      <c r="R122" s="230"/>
      <c r="S122" s="235"/>
      <c r="T122" s="231"/>
      <c r="U122" s="231"/>
      <c r="V122" s="234"/>
    </row>
    <row r="123" spans="1:22">
      <c r="A123" s="215" t="s">
        <v>818</v>
      </c>
      <c r="B123" s="14" t="s">
        <v>819</v>
      </c>
      <c r="C123" s="229" t="str">
        <f>IF(ISBLANK(Raw_Data!C123),"unknown",PROPER(TRIM(CLEAN(Raw_Data!C123))))</f>
        <v>Meera Nair</v>
      </c>
      <c r="D123" s="230"/>
      <c r="E123" s="231"/>
      <c r="F123" s="231"/>
      <c r="G123" s="229"/>
      <c r="H123" s="230"/>
      <c r="I123" s="230"/>
      <c r="J123" s="230"/>
      <c r="K123" s="231"/>
      <c r="L123" s="231"/>
      <c r="M123" s="231"/>
      <c r="N123" s="231"/>
      <c r="O123" s="230"/>
      <c r="P123" s="232"/>
      <c r="Q123" s="230"/>
      <c r="R123" s="230"/>
      <c r="S123" s="232"/>
      <c r="T123" s="231"/>
      <c r="U123" s="229"/>
      <c r="V123" s="234"/>
    </row>
    <row r="124" spans="1:22">
      <c r="A124" s="216" t="s">
        <v>823</v>
      </c>
      <c r="B124" s="18" t="s">
        <v>824</v>
      </c>
      <c r="C124" s="229" t="str">
        <f>IF(ISBLANK(Raw_Data!C124),"unknown",PROPER(TRIM(CLEAN(Raw_Data!C124))))</f>
        <v>Manoj Kumar</v>
      </c>
      <c r="D124" s="230"/>
      <c r="E124" s="231"/>
      <c r="F124" s="231"/>
      <c r="G124" s="231"/>
      <c r="H124" s="230"/>
      <c r="I124" s="230"/>
      <c r="J124" s="230"/>
      <c r="K124" s="231"/>
      <c r="L124" s="231"/>
      <c r="M124" s="231"/>
      <c r="N124" s="231"/>
      <c r="O124" s="230"/>
      <c r="P124" s="232"/>
      <c r="Q124" s="230"/>
      <c r="R124" s="230"/>
      <c r="S124" s="232"/>
      <c r="T124" s="231"/>
      <c r="U124" s="229"/>
      <c r="V124" s="234"/>
    </row>
    <row r="125" spans="1:22">
      <c r="A125" s="215" t="s">
        <v>829</v>
      </c>
      <c r="B125" s="14" t="s">
        <v>830</v>
      </c>
      <c r="C125" s="229" t="str">
        <f>IF(ISBLANK(Raw_Data!C125),"unknown",PROPER(TRIM(CLEAN(Raw_Data!C125))))</f>
        <v>Padma Lakshmi</v>
      </c>
      <c r="D125" s="230"/>
      <c r="E125" s="231"/>
      <c r="F125" s="231"/>
      <c r="G125" s="231"/>
      <c r="H125" s="230"/>
      <c r="I125" s="235"/>
      <c r="J125" s="230"/>
      <c r="K125" s="231"/>
      <c r="L125" s="231"/>
      <c r="M125" s="231"/>
      <c r="N125" s="231"/>
      <c r="O125" s="230"/>
      <c r="P125" s="232"/>
      <c r="Q125" s="230"/>
      <c r="R125" s="230"/>
      <c r="S125" s="232"/>
      <c r="T125" s="231"/>
      <c r="U125" s="231"/>
      <c r="V125" s="234"/>
    </row>
    <row r="126" spans="1:22">
      <c r="A126" s="216" t="s">
        <v>835</v>
      </c>
      <c r="B126" s="18" t="s">
        <v>836</v>
      </c>
      <c r="C126" s="229" t="str">
        <f>IF(ISBLANK(Raw_Data!C126),"unknown",PROPER(TRIM(CLEAN(Raw_Data!C126))))</f>
        <v>Manoj Kumar</v>
      </c>
      <c r="D126" s="230"/>
      <c r="E126" s="231"/>
      <c r="F126" s="231"/>
      <c r="G126" s="231"/>
      <c r="H126" s="230"/>
      <c r="I126" s="230"/>
      <c r="J126" s="230"/>
      <c r="K126" s="231"/>
      <c r="L126" s="231"/>
      <c r="M126" s="231"/>
      <c r="N126" s="231"/>
      <c r="O126" s="230"/>
      <c r="P126" s="232"/>
      <c r="Q126" s="230"/>
      <c r="R126" s="230"/>
      <c r="S126" s="232"/>
      <c r="T126" s="231"/>
      <c r="U126" s="231"/>
      <c r="V126" s="234"/>
    </row>
    <row r="127" spans="1:22">
      <c r="A127" s="215" t="s">
        <v>840</v>
      </c>
      <c r="B127" s="14" t="s">
        <v>841</v>
      </c>
      <c r="C127" s="229" t="str">
        <f>IF(ISBLANK(Raw_Data!C127),"unknown",PROPER(TRIM(CLEAN(Raw_Data!C127))))</f>
        <v>Kiran Kumar</v>
      </c>
      <c r="D127" s="230"/>
      <c r="E127" s="231"/>
      <c r="F127" s="231"/>
      <c r="G127" s="231"/>
      <c r="H127" s="230"/>
      <c r="I127" s="235"/>
      <c r="J127" s="230"/>
      <c r="K127" s="231"/>
      <c r="L127" s="231"/>
      <c r="M127" s="231"/>
      <c r="N127" s="231"/>
      <c r="O127" s="230"/>
      <c r="P127" s="232"/>
      <c r="Q127" s="230"/>
      <c r="R127" s="230"/>
      <c r="S127" s="232"/>
      <c r="T127" s="231"/>
      <c r="U127" s="231"/>
      <c r="V127" s="233"/>
    </row>
    <row r="128" spans="1:22">
      <c r="A128" s="216" t="s">
        <v>846</v>
      </c>
      <c r="B128" s="18" t="s">
        <v>847</v>
      </c>
      <c r="C128" s="231" t="str">
        <f>IF(ISBLANK(Raw_Data!C128),"unknown",PROPER(TRIM(CLEAN(Raw_Data!C128))))</f>
        <v>Kiran Kumar</v>
      </c>
      <c r="D128" s="230"/>
      <c r="E128" s="231"/>
      <c r="F128" s="231"/>
      <c r="G128" s="231"/>
      <c r="H128" s="230"/>
      <c r="I128" s="230"/>
      <c r="J128" s="230"/>
      <c r="K128" s="231"/>
      <c r="L128" s="231"/>
      <c r="M128" s="231"/>
      <c r="N128" s="231"/>
      <c r="O128" s="230"/>
      <c r="P128" s="232"/>
      <c r="Q128" s="230"/>
      <c r="R128" s="230"/>
      <c r="S128" s="232"/>
      <c r="T128" s="231"/>
      <c r="U128" s="229"/>
      <c r="V128" s="233"/>
    </row>
    <row r="129" spans="1:22">
      <c r="A129" s="215" t="s">
        <v>851</v>
      </c>
      <c r="B129" s="14" t="s">
        <v>852</v>
      </c>
      <c r="C129" s="229" t="str">
        <f>IF(ISBLANK(Raw_Data!C129),"unknown",PROPER(TRIM(CLEAN(Raw_Data!C129))))</f>
        <v>Rohit Yadav</v>
      </c>
      <c r="D129" s="230"/>
      <c r="E129" s="231"/>
      <c r="F129" s="231"/>
      <c r="G129" s="229"/>
      <c r="H129" s="230"/>
      <c r="I129" s="230"/>
      <c r="J129" s="230"/>
      <c r="K129" s="231"/>
      <c r="L129" s="231"/>
      <c r="M129" s="231"/>
      <c r="N129" s="231"/>
      <c r="O129" s="230"/>
      <c r="P129" s="232"/>
      <c r="Q129" s="230"/>
      <c r="R129" s="230"/>
      <c r="S129" s="232"/>
      <c r="T129" s="231"/>
      <c r="U129" s="231"/>
      <c r="V129" s="234"/>
    </row>
    <row r="130" spans="1:22">
      <c r="A130" s="216" t="s">
        <v>856</v>
      </c>
      <c r="B130" s="18" t="s">
        <v>857</v>
      </c>
      <c r="C130" s="229" t="str">
        <f>IF(ISBLANK(Raw_Data!C130),"unknown",PROPER(TRIM(CLEAN(Raw_Data!C130))))</f>
        <v>Suresh Kumar</v>
      </c>
      <c r="D130" s="230"/>
      <c r="E130" s="231"/>
      <c r="F130" s="231"/>
      <c r="G130" s="231"/>
      <c r="H130" s="230"/>
      <c r="I130" s="230"/>
      <c r="J130" s="230"/>
      <c r="K130" s="231"/>
      <c r="L130" s="231"/>
      <c r="M130" s="231"/>
      <c r="N130" s="231"/>
      <c r="O130" s="230"/>
      <c r="P130" s="232"/>
      <c r="Q130" s="230"/>
      <c r="R130" s="230"/>
      <c r="S130" s="232"/>
      <c r="T130" s="231"/>
      <c r="U130" s="229"/>
      <c r="V130" s="234"/>
    </row>
    <row r="131" spans="1:22">
      <c r="A131" s="215" t="s">
        <v>860</v>
      </c>
      <c r="B131" s="14" t="s">
        <v>861</v>
      </c>
      <c r="C131" s="231" t="str">
        <f>IF(ISBLANK(Raw_Data!C131),"unknown",PROPER(TRIM(CLEAN(Raw_Data!C131))))</f>
        <v>Priya Sharma</v>
      </c>
      <c r="D131" s="230"/>
      <c r="E131" s="231"/>
      <c r="F131" s="231"/>
      <c r="G131" s="231"/>
      <c r="H131" s="230"/>
      <c r="I131" s="230"/>
      <c r="J131" s="230"/>
      <c r="K131" s="231"/>
      <c r="L131" s="231"/>
      <c r="M131" s="231"/>
      <c r="N131" s="231"/>
      <c r="O131" s="230"/>
      <c r="P131" s="232"/>
      <c r="Q131" s="230"/>
      <c r="R131" s="230"/>
      <c r="S131" s="232"/>
      <c r="T131" s="231"/>
      <c r="U131" s="229"/>
      <c r="V131" s="233"/>
    </row>
    <row r="132" spans="1:22">
      <c r="A132" s="216" t="s">
        <v>864</v>
      </c>
      <c r="B132" s="18" t="s">
        <v>865</v>
      </c>
      <c r="C132" s="229" t="str">
        <f>IF(ISBLANK(Raw_Data!C132),"unknown",PROPER(TRIM(CLEAN(Raw_Data!C132))))</f>
        <v>Geetha Rao</v>
      </c>
      <c r="D132" s="230"/>
      <c r="E132" s="231"/>
      <c r="F132" s="231"/>
      <c r="G132" s="229"/>
      <c r="H132" s="230"/>
      <c r="I132" s="230"/>
      <c r="J132" s="230"/>
      <c r="K132" s="231"/>
      <c r="L132" s="231"/>
      <c r="M132" s="231"/>
      <c r="N132" s="231"/>
      <c r="O132" s="230"/>
      <c r="P132" s="232"/>
      <c r="Q132" s="230"/>
      <c r="R132" s="230"/>
      <c r="S132" s="232"/>
      <c r="T132" s="231"/>
      <c r="U132" s="229"/>
      <c r="V132" s="233"/>
    </row>
    <row r="133" spans="1:22">
      <c r="A133" s="215" t="s">
        <v>869</v>
      </c>
      <c r="B133" s="14" t="s">
        <v>870</v>
      </c>
      <c r="C133" s="229" t="str">
        <f>IF(ISBLANK(Raw_Data!C133),"unknown",PROPER(TRIM(CLEAN(Raw_Data!C133))))</f>
        <v>Saranya M</v>
      </c>
      <c r="D133" s="230"/>
      <c r="E133" s="231"/>
      <c r="F133" s="231"/>
      <c r="G133" s="231"/>
      <c r="H133" s="230"/>
      <c r="I133" s="230"/>
      <c r="J133" s="230"/>
      <c r="K133" s="231"/>
      <c r="L133" s="231"/>
      <c r="M133" s="231"/>
      <c r="N133" s="231"/>
      <c r="O133" s="230"/>
      <c r="P133" s="232"/>
      <c r="Q133" s="230"/>
      <c r="R133" s="230"/>
      <c r="S133" s="232"/>
      <c r="T133" s="231"/>
      <c r="U133" s="231"/>
      <c r="V133" s="234"/>
    </row>
    <row r="134" spans="1:22">
      <c r="A134" s="216" t="s">
        <v>873</v>
      </c>
      <c r="B134" s="18" t="s">
        <v>874</v>
      </c>
      <c r="C134" s="229" t="str">
        <f>IF(ISBLANK(Raw_Data!C134),"unknown",PROPER(TRIM(CLEAN(Raw_Data!C134))))</f>
        <v>Arjun Mehta</v>
      </c>
      <c r="D134" s="230"/>
      <c r="E134" s="231"/>
      <c r="F134" s="231"/>
      <c r="G134" s="231"/>
      <c r="H134" s="230"/>
      <c r="I134" s="230"/>
      <c r="J134" s="230"/>
      <c r="K134" s="231"/>
      <c r="L134" s="231"/>
      <c r="M134" s="231"/>
      <c r="N134" s="231"/>
      <c r="O134" s="230"/>
      <c r="P134" s="235"/>
      <c r="Q134" s="230"/>
      <c r="R134" s="230"/>
      <c r="S134" s="232"/>
      <c r="T134" s="231"/>
      <c r="U134" s="231"/>
      <c r="V134" s="234"/>
    </row>
    <row r="135" spans="1:22">
      <c r="A135" s="215" t="s">
        <v>879</v>
      </c>
      <c r="B135" s="14" t="s">
        <v>621</v>
      </c>
      <c r="C135" s="229" t="str">
        <f>IF(ISBLANK(Raw_Data!C135),"unknown",PROPER(TRIM(CLEAN(Raw_Data!C135))))</f>
        <v>Ravi Shankar</v>
      </c>
      <c r="D135" s="230"/>
      <c r="E135" s="231"/>
      <c r="F135" s="231"/>
      <c r="G135" s="231"/>
      <c r="H135" s="230"/>
      <c r="I135" s="230"/>
      <c r="J135" s="230"/>
      <c r="K135" s="231"/>
      <c r="L135" s="231"/>
      <c r="M135" s="231"/>
      <c r="N135" s="231"/>
      <c r="O135" s="230"/>
      <c r="P135" s="232"/>
      <c r="Q135" s="230"/>
      <c r="R135" s="230"/>
      <c r="S135" s="232"/>
      <c r="T135" s="231"/>
      <c r="U135" s="231"/>
      <c r="V135" s="234"/>
    </row>
    <row r="136" spans="1:22">
      <c r="A136" s="216" t="s">
        <v>883</v>
      </c>
      <c r="B136" s="18" t="s">
        <v>884</v>
      </c>
      <c r="C136" s="229" t="str">
        <f>IF(ISBLANK(Raw_Data!C136),"unknown",PROPER(TRIM(CLEAN(Raw_Data!C136))))</f>
        <v>Deepa Krishnan</v>
      </c>
      <c r="D136" s="230"/>
      <c r="E136" s="231"/>
      <c r="F136" s="231"/>
      <c r="G136" s="229"/>
      <c r="H136" s="230"/>
      <c r="I136" s="230"/>
      <c r="J136" s="230"/>
      <c r="K136" s="231"/>
      <c r="L136" s="231"/>
      <c r="M136" s="231"/>
      <c r="N136" s="231"/>
      <c r="O136" s="230"/>
      <c r="P136" s="232"/>
      <c r="Q136" s="230"/>
      <c r="R136" s="230"/>
      <c r="S136" s="232"/>
      <c r="T136" s="231"/>
      <c r="U136" s="229"/>
      <c r="V136" s="233"/>
    </row>
    <row r="137" spans="1:22">
      <c r="A137" s="215" t="s">
        <v>888</v>
      </c>
      <c r="B137" s="14" t="s">
        <v>889</v>
      </c>
      <c r="C137" s="229" t="str">
        <f>IF(ISBLANK(Raw_Data!C137),"unknown",PROPER(TRIM(CLEAN(Raw_Data!C137))))</f>
        <v>Kavitha N</v>
      </c>
      <c r="D137" s="230"/>
      <c r="E137" s="231"/>
      <c r="F137" s="231"/>
      <c r="G137" s="231"/>
      <c r="H137" s="230"/>
      <c r="I137" s="230"/>
      <c r="J137" s="230"/>
      <c r="K137" s="231"/>
      <c r="L137" s="231"/>
      <c r="M137" s="231"/>
      <c r="N137" s="231"/>
      <c r="O137" s="230"/>
      <c r="P137" s="232"/>
      <c r="Q137" s="230"/>
      <c r="R137" s="230"/>
      <c r="S137" s="232"/>
      <c r="T137" s="231"/>
      <c r="U137" s="229"/>
      <c r="V137" s="234"/>
    </row>
    <row r="138" spans="1:22">
      <c r="A138" s="216" t="s">
        <v>892</v>
      </c>
      <c r="B138" s="18" t="s">
        <v>893</v>
      </c>
      <c r="C138" s="231" t="str">
        <f>IF(ISBLANK(Raw_Data!C138),"unknown",PROPER(TRIM(CLEAN(Raw_Data!C138))))</f>
        <v>Sneha Reddy</v>
      </c>
      <c r="D138" s="230"/>
      <c r="E138" s="231"/>
      <c r="F138" s="231"/>
      <c r="G138" s="231"/>
      <c r="H138" s="230"/>
      <c r="I138" s="230"/>
      <c r="J138" s="230"/>
      <c r="K138" s="231"/>
      <c r="L138" s="231"/>
      <c r="M138" s="231"/>
      <c r="N138" s="231"/>
      <c r="O138" s="230"/>
      <c r="P138" s="232"/>
      <c r="Q138" s="230"/>
      <c r="R138" s="230"/>
      <c r="S138" s="232"/>
      <c r="T138" s="231"/>
      <c r="U138" s="231"/>
      <c r="V138" s="234"/>
    </row>
    <row r="139" spans="1:22">
      <c r="A139" s="215" t="s">
        <v>900</v>
      </c>
      <c r="B139" s="14" t="s">
        <v>901</v>
      </c>
      <c r="C139" s="229" t="str">
        <f>IF(ISBLANK(Raw_Data!C139),"unknown",PROPER(TRIM(CLEAN(Raw_Data!C139))))</f>
        <v>Prasad P</v>
      </c>
      <c r="D139" s="230"/>
      <c r="E139" s="231"/>
      <c r="F139" s="231"/>
      <c r="G139" s="231"/>
      <c r="H139" s="230"/>
      <c r="I139" s="235"/>
      <c r="J139" s="230"/>
      <c r="K139" s="231"/>
      <c r="L139" s="231"/>
      <c r="M139" s="231"/>
      <c r="N139" s="231"/>
      <c r="O139" s="235"/>
      <c r="P139" s="232"/>
      <c r="Q139" s="230"/>
      <c r="R139" s="230"/>
      <c r="S139" s="236"/>
      <c r="T139" s="231"/>
      <c r="U139" s="231"/>
      <c r="V139" s="233"/>
    </row>
    <row r="140" spans="1:22">
      <c r="A140" s="216" t="s">
        <v>905</v>
      </c>
      <c r="B140" s="18" t="s">
        <v>906</v>
      </c>
      <c r="C140" s="229" t="str">
        <f>IF(ISBLANK(Raw_Data!C140),"unknown",PROPER(TRIM(CLEAN(Raw_Data!C140))))</f>
        <v>Arun Sharma</v>
      </c>
      <c r="D140" s="230"/>
      <c r="E140" s="231"/>
      <c r="F140" s="231"/>
      <c r="G140" s="231"/>
      <c r="H140" s="230"/>
      <c r="I140" s="230"/>
      <c r="J140" s="230"/>
      <c r="K140" s="231"/>
      <c r="L140" s="231"/>
      <c r="M140" s="231"/>
      <c r="N140" s="231"/>
      <c r="O140" s="235"/>
      <c r="P140" s="232"/>
      <c r="Q140" s="230"/>
      <c r="R140" s="230"/>
      <c r="S140" s="236"/>
      <c r="T140" s="231"/>
      <c r="U140" s="229"/>
      <c r="V140" s="234"/>
    </row>
    <row r="141" spans="1:22">
      <c r="A141" s="215" t="s">
        <v>910</v>
      </c>
      <c r="B141" s="14" t="s">
        <v>192</v>
      </c>
      <c r="C141" s="229" t="str">
        <f>IF(ISBLANK(Raw_Data!C141),"unknown",PROPER(TRIM(CLEAN(Raw_Data!C141))))</f>
        <v>Deepika Rao</v>
      </c>
      <c r="D141" s="230"/>
      <c r="E141" s="231"/>
      <c r="F141" s="231"/>
      <c r="G141" s="231"/>
      <c r="H141" s="230"/>
      <c r="I141" s="230"/>
      <c r="J141" s="230"/>
      <c r="K141" s="231"/>
      <c r="L141" s="231"/>
      <c r="M141" s="231"/>
      <c r="N141" s="231"/>
      <c r="O141" s="230"/>
      <c r="P141" s="232"/>
      <c r="Q141" s="230"/>
      <c r="R141" s="230"/>
      <c r="S141" s="232"/>
      <c r="T141" s="231"/>
      <c r="U141" s="231"/>
      <c r="V141" s="234"/>
    </row>
    <row r="142" spans="1:22">
      <c r="A142" s="216" t="s">
        <v>914</v>
      </c>
      <c r="B142" s="18" t="s">
        <v>915</v>
      </c>
      <c r="C142" s="231" t="str">
        <f>IF(ISBLANK(Raw_Data!C142),"unknown",PROPER(TRIM(CLEAN(Raw_Data!C142))))</f>
        <v>Anita Verma</v>
      </c>
      <c r="D142" s="230"/>
      <c r="E142" s="231"/>
      <c r="F142" s="231"/>
      <c r="G142" s="231"/>
      <c r="H142" s="230"/>
      <c r="I142" s="230"/>
      <c r="J142" s="230"/>
      <c r="K142" s="231"/>
      <c r="L142" s="231"/>
      <c r="M142" s="231"/>
      <c r="N142" s="231"/>
      <c r="O142" s="235"/>
      <c r="P142" s="232"/>
      <c r="Q142" s="230"/>
      <c r="R142" s="230"/>
      <c r="S142" s="232"/>
      <c r="T142" s="231"/>
      <c r="U142" s="231"/>
      <c r="V142" s="234"/>
    </row>
    <row r="143" spans="1:22">
      <c r="A143" s="215" t="s">
        <v>918</v>
      </c>
      <c r="B143" s="14" t="s">
        <v>919</v>
      </c>
      <c r="C143" s="231" t="str">
        <f>IF(ISBLANK(Raw_Data!C143),"unknown",PROPER(TRIM(CLEAN(Raw_Data!C143))))</f>
        <v>Manoj Kumar</v>
      </c>
      <c r="D143" s="230"/>
      <c r="E143" s="231"/>
      <c r="F143" s="231"/>
      <c r="G143" s="231"/>
      <c r="H143" s="230"/>
      <c r="I143" s="230"/>
      <c r="J143" s="230"/>
      <c r="K143" s="231"/>
      <c r="L143" s="231"/>
      <c r="M143" s="231"/>
      <c r="N143" s="231"/>
      <c r="O143" s="230"/>
      <c r="P143" s="232"/>
      <c r="Q143" s="230"/>
      <c r="R143" s="230"/>
      <c r="S143" s="232"/>
      <c r="T143" s="231"/>
      <c r="U143" s="229"/>
      <c r="V143" s="234"/>
    </row>
    <row r="144" spans="1:22">
      <c r="A144" s="216" t="s">
        <v>922</v>
      </c>
      <c r="B144" s="18" t="s">
        <v>923</v>
      </c>
      <c r="C144" s="231" t="str">
        <f>IF(ISBLANK(Raw_Data!C144),"unknown",PROPER(TRIM(CLEAN(Raw_Data!C144))))</f>
        <v>Sneha Reddy</v>
      </c>
      <c r="D144" s="230"/>
      <c r="E144" s="231"/>
      <c r="F144" s="231"/>
      <c r="G144" s="231"/>
      <c r="H144" s="230"/>
      <c r="I144" s="230"/>
      <c r="J144" s="230"/>
      <c r="K144" s="231"/>
      <c r="L144" s="231"/>
      <c r="M144" s="231"/>
      <c r="N144" s="231"/>
      <c r="O144" s="230"/>
      <c r="P144" s="232"/>
      <c r="Q144" s="230"/>
      <c r="R144" s="230"/>
      <c r="S144" s="232"/>
      <c r="T144" s="231"/>
      <c r="U144" s="229"/>
      <c r="V144" s="234"/>
    </row>
    <row r="145" spans="1:22">
      <c r="A145" s="215" t="s">
        <v>926</v>
      </c>
      <c r="B145" s="14" t="s">
        <v>927</v>
      </c>
      <c r="C145" s="229" t="str">
        <f>IF(ISBLANK(Raw_Data!C145),"unknown",PROPER(TRIM(CLEAN(Raw_Data!C145))))</f>
        <v>Rekha Pandey</v>
      </c>
      <c r="D145" s="230"/>
      <c r="E145" s="231"/>
      <c r="F145" s="231"/>
      <c r="G145" s="231"/>
      <c r="H145" s="230"/>
      <c r="I145" s="230"/>
      <c r="J145" s="230"/>
      <c r="K145" s="231"/>
      <c r="L145" s="231"/>
      <c r="M145" s="231"/>
      <c r="N145" s="231"/>
      <c r="O145" s="230"/>
      <c r="P145" s="232"/>
      <c r="Q145" s="230"/>
      <c r="R145" s="230"/>
      <c r="S145" s="232"/>
      <c r="T145" s="231"/>
      <c r="U145" s="229"/>
      <c r="V145" s="233"/>
    </row>
    <row r="146" spans="1:22">
      <c r="A146" s="216" t="s">
        <v>930</v>
      </c>
      <c r="B146" s="18" t="s">
        <v>671</v>
      </c>
      <c r="C146" s="229" t="str">
        <f>IF(ISBLANK(Raw_Data!C146),"unknown",PROPER(TRIM(CLEAN(Raw_Data!C146))))</f>
        <v>Padma Lakshmi</v>
      </c>
      <c r="D146" s="230"/>
      <c r="E146" s="231"/>
      <c r="F146" s="229"/>
      <c r="G146" s="231"/>
      <c r="H146" s="230"/>
      <c r="I146" s="230"/>
      <c r="J146" s="230"/>
      <c r="K146" s="231"/>
      <c r="L146" s="231"/>
      <c r="M146" s="231"/>
      <c r="N146" s="231"/>
      <c r="O146" s="230"/>
      <c r="P146" s="232"/>
      <c r="Q146" s="230"/>
      <c r="R146" s="230"/>
      <c r="S146" s="232"/>
      <c r="T146" s="231"/>
      <c r="U146" s="231"/>
      <c r="V146" s="233"/>
    </row>
    <row r="147" spans="1:22">
      <c r="A147" s="215" t="s">
        <v>932</v>
      </c>
      <c r="B147" s="14" t="s">
        <v>933</v>
      </c>
      <c r="C147" s="231" t="str">
        <f>IF(ISBLANK(Raw_Data!C147),"unknown",PROPER(TRIM(CLEAN(Raw_Data!C147))))</f>
        <v>Priya Sharma</v>
      </c>
      <c r="D147" s="230"/>
      <c r="E147" s="231"/>
      <c r="F147" s="231"/>
      <c r="G147" s="229"/>
      <c r="H147" s="230"/>
      <c r="I147" s="230"/>
      <c r="J147" s="230"/>
      <c r="K147" s="231"/>
      <c r="L147" s="231"/>
      <c r="M147" s="231"/>
      <c r="N147" s="231"/>
      <c r="O147" s="230"/>
      <c r="P147" s="232"/>
      <c r="Q147" s="230"/>
      <c r="R147" s="230"/>
      <c r="S147" s="232"/>
      <c r="T147" s="231"/>
      <c r="U147" s="229"/>
      <c r="V147" s="234"/>
    </row>
    <row r="148" spans="1:22">
      <c r="A148" s="216" t="s">
        <v>936</v>
      </c>
      <c r="B148" s="18" t="s">
        <v>937</v>
      </c>
      <c r="C148" s="229" t="str">
        <f>IF(ISBLANK(Raw_Data!C148),"unknown",PROPER(TRIM(CLEAN(Raw_Data!C148))))</f>
        <v>Manish Tiwari</v>
      </c>
      <c r="D148" s="230"/>
      <c r="E148" s="231"/>
      <c r="F148" s="231"/>
      <c r="G148" s="231"/>
      <c r="H148" s="230"/>
      <c r="I148" s="230"/>
      <c r="J148" s="230"/>
      <c r="K148" s="231"/>
      <c r="L148" s="231"/>
      <c r="M148" s="231"/>
      <c r="N148" s="231"/>
      <c r="O148" s="230"/>
      <c r="P148" s="232"/>
      <c r="Q148" s="230"/>
      <c r="R148" s="230"/>
      <c r="S148" s="232"/>
      <c r="T148" s="231"/>
      <c r="U148" s="229"/>
      <c r="V148" s="233"/>
    </row>
    <row r="149" spans="1:22">
      <c r="A149" s="215" t="s">
        <v>940</v>
      </c>
      <c r="B149" s="14" t="s">
        <v>941</v>
      </c>
      <c r="C149" s="229" t="str">
        <f>IF(ISBLANK(Raw_Data!C149),"unknown",PROPER(TRIM(CLEAN(Raw_Data!C149))))</f>
        <v>Suresh Kumar</v>
      </c>
      <c r="D149" s="230"/>
      <c r="E149" s="231"/>
      <c r="F149" s="231"/>
      <c r="G149" s="229"/>
      <c r="H149" s="230"/>
      <c r="I149" s="230"/>
      <c r="J149" s="230"/>
      <c r="K149" s="231"/>
      <c r="L149" s="231"/>
      <c r="M149" s="231"/>
      <c r="N149" s="231"/>
      <c r="O149" s="230"/>
      <c r="P149" s="232"/>
      <c r="Q149" s="230"/>
      <c r="R149" s="230"/>
      <c r="S149" s="232"/>
      <c r="T149" s="231"/>
      <c r="U149" s="231"/>
      <c r="V149" s="234"/>
    </row>
    <row r="150" spans="1:22">
      <c r="A150" s="216" t="s">
        <v>945</v>
      </c>
      <c r="B150" s="18" t="s">
        <v>946</v>
      </c>
      <c r="C150" s="229" t="str">
        <f>IF(ISBLANK(Raw_Data!C150),"unknown",PROPER(TRIM(CLEAN(Raw_Data!C150))))</f>
        <v>Suresh Babu</v>
      </c>
      <c r="D150" s="230"/>
      <c r="E150" s="231"/>
      <c r="F150" s="231"/>
      <c r="G150" s="231"/>
      <c r="H150" s="230"/>
      <c r="I150" s="230"/>
      <c r="J150" s="230"/>
      <c r="K150" s="231"/>
      <c r="L150" s="231"/>
      <c r="M150" s="231"/>
      <c r="N150" s="231"/>
      <c r="O150" s="230"/>
      <c r="P150" s="232"/>
      <c r="Q150" s="230"/>
      <c r="R150" s="230"/>
      <c r="S150" s="232"/>
      <c r="T150" s="231"/>
      <c r="U150" s="229"/>
      <c r="V150" s="234"/>
    </row>
    <row r="151" spans="1:22">
      <c r="A151" s="215" t="s">
        <v>949</v>
      </c>
      <c r="B151" s="14" t="s">
        <v>950</v>
      </c>
      <c r="C151" s="229" t="str">
        <f>IF(ISBLANK(Raw_Data!C151),"unknown",PROPER(TRIM(CLEAN(Raw_Data!C151))))</f>
        <v>Swati Gupta</v>
      </c>
      <c r="D151" s="230"/>
      <c r="E151" s="231"/>
      <c r="F151" s="231"/>
      <c r="G151" s="231"/>
      <c r="H151" s="230"/>
      <c r="I151" s="230"/>
      <c r="J151" s="230"/>
      <c r="K151" s="231"/>
      <c r="L151" s="231"/>
      <c r="M151" s="231"/>
      <c r="N151" s="231"/>
      <c r="O151" s="230"/>
      <c r="P151" s="232"/>
      <c r="Q151" s="230"/>
      <c r="R151" s="230"/>
      <c r="S151" s="232"/>
      <c r="T151" s="231"/>
      <c r="U151" s="229"/>
      <c r="V151" s="233"/>
    </row>
    <row r="152" spans="1:22">
      <c r="A152" s="216" t="s">
        <v>954</v>
      </c>
      <c r="B152" s="18" t="s">
        <v>955</v>
      </c>
      <c r="C152" s="229" t="str">
        <f>IF(ISBLANK(Raw_Data!C152),"unknown",PROPER(TRIM(CLEAN(Raw_Data!C152))))</f>
        <v>Sneha Reddy</v>
      </c>
      <c r="D152" s="230"/>
      <c r="E152" s="231"/>
      <c r="F152" s="231"/>
      <c r="G152" s="231"/>
      <c r="H152" s="230"/>
      <c r="I152" s="230"/>
      <c r="J152" s="230"/>
      <c r="K152" s="231"/>
      <c r="L152" s="231"/>
      <c r="M152" s="231"/>
      <c r="N152" s="231"/>
      <c r="O152" s="230"/>
      <c r="P152" s="232"/>
      <c r="Q152" s="230"/>
      <c r="R152" s="230"/>
      <c r="S152" s="232"/>
      <c r="T152" s="231"/>
      <c r="U152" s="229"/>
      <c r="V152" s="233"/>
    </row>
    <row r="153" spans="1:22">
      <c r="A153" s="215" t="s">
        <v>959</v>
      </c>
      <c r="B153" s="14" t="s">
        <v>960</v>
      </c>
      <c r="C153" s="231" t="str">
        <f>IF(ISBLANK(Raw_Data!C153),"unknown",PROPER(TRIM(CLEAN(Raw_Data!C153))))</f>
        <v>Divya Nair</v>
      </c>
      <c r="D153" s="230"/>
      <c r="E153" s="231"/>
      <c r="F153" s="231"/>
      <c r="G153" s="231"/>
      <c r="H153" s="230"/>
      <c r="I153" s="230"/>
      <c r="J153" s="230"/>
      <c r="K153" s="231"/>
      <c r="L153" s="231"/>
      <c r="M153" s="231"/>
      <c r="N153" s="231"/>
      <c r="O153" s="230"/>
      <c r="P153" s="235"/>
      <c r="Q153" s="230"/>
      <c r="R153" s="230"/>
      <c r="S153" s="232"/>
      <c r="T153" s="231"/>
      <c r="U153" s="229"/>
      <c r="V153" s="234"/>
    </row>
    <row r="154" spans="1:22">
      <c r="A154" s="216" t="s">
        <v>964</v>
      </c>
      <c r="B154" s="18" t="s">
        <v>252</v>
      </c>
      <c r="C154" s="231" t="str">
        <f>IF(ISBLANK(Raw_Data!C154),"unknown",PROPER(TRIM(CLEAN(Raw_Data!C154))))</f>
        <v>Rahul Gupta</v>
      </c>
      <c r="D154" s="230"/>
      <c r="E154" s="231"/>
      <c r="F154" s="231"/>
      <c r="G154" s="229"/>
      <c r="H154" s="230"/>
      <c r="I154" s="230"/>
      <c r="J154" s="230"/>
      <c r="K154" s="231"/>
      <c r="L154" s="231"/>
      <c r="M154" s="231"/>
      <c r="N154" s="231"/>
      <c r="O154" s="230"/>
      <c r="P154" s="232"/>
      <c r="Q154" s="230"/>
      <c r="R154" s="230"/>
      <c r="S154" s="232"/>
      <c r="T154" s="231"/>
      <c r="U154" s="231"/>
      <c r="V154" s="234"/>
    </row>
    <row r="155" spans="1:22">
      <c r="A155" s="215" t="s">
        <v>968</v>
      </c>
      <c r="B155" s="14" t="s">
        <v>969</v>
      </c>
      <c r="C155" s="229" t="str">
        <f>IF(ISBLANK(Raw_Data!C155),"unknown",PROPER(TRIM(CLEAN(Raw_Data!C155))))</f>
        <v>Venkat Reddy</v>
      </c>
      <c r="D155" s="230"/>
      <c r="E155" s="231"/>
      <c r="F155" s="231"/>
      <c r="G155" s="231"/>
      <c r="H155" s="230"/>
      <c r="I155" s="230"/>
      <c r="J155" s="230"/>
      <c r="K155" s="231"/>
      <c r="L155" s="231"/>
      <c r="M155" s="231"/>
      <c r="N155" s="231"/>
      <c r="O155" s="230"/>
      <c r="P155" s="232"/>
      <c r="Q155" s="230"/>
      <c r="R155" s="230"/>
      <c r="S155" s="232"/>
      <c r="T155" s="231"/>
      <c r="U155" s="229"/>
      <c r="V155" s="233"/>
    </row>
    <row r="156" spans="1:22">
      <c r="A156" s="216" t="s">
        <v>973</v>
      </c>
      <c r="B156" s="18" t="s">
        <v>937</v>
      </c>
      <c r="C156" s="229" t="str">
        <f>IF(ISBLANK(Raw_Data!C156),"unknown",PROPER(TRIM(CLEAN(Raw_Data!C156))))</f>
        <v>Kiran Kumar</v>
      </c>
      <c r="D156" s="230"/>
      <c r="E156" s="231"/>
      <c r="F156" s="231"/>
      <c r="G156" s="229"/>
      <c r="H156" s="230"/>
      <c r="I156" s="230"/>
      <c r="J156" s="230"/>
      <c r="K156" s="231"/>
      <c r="L156" s="231"/>
      <c r="M156" s="231"/>
      <c r="N156" s="231"/>
      <c r="O156" s="235"/>
      <c r="P156" s="232"/>
      <c r="Q156" s="230"/>
      <c r="R156" s="230"/>
      <c r="S156" s="236"/>
      <c r="T156" s="231"/>
      <c r="U156" s="229"/>
      <c r="V156" s="234"/>
    </row>
    <row r="157" spans="1:22">
      <c r="A157" s="215" t="s">
        <v>977</v>
      </c>
      <c r="B157" s="14" t="s">
        <v>978</v>
      </c>
      <c r="C157" s="229" t="str">
        <f>IF(ISBLANK(Raw_Data!C157),"unknown",PROPER(TRIM(CLEAN(Raw_Data!C157))))</f>
        <v>Nisha Patel</v>
      </c>
      <c r="D157" s="230"/>
      <c r="E157" s="231"/>
      <c r="F157" s="231"/>
      <c r="G157" s="231"/>
      <c r="H157" s="230"/>
      <c r="I157" s="230"/>
      <c r="J157" s="230"/>
      <c r="K157" s="231"/>
      <c r="L157" s="231"/>
      <c r="M157" s="231"/>
      <c r="N157" s="231"/>
      <c r="O157" s="230"/>
      <c r="P157" s="232"/>
      <c r="Q157" s="230"/>
      <c r="R157" s="230"/>
      <c r="S157" s="232"/>
      <c r="T157" s="231"/>
      <c r="U157" s="229"/>
      <c r="V157" s="234"/>
    </row>
    <row r="158" spans="1:22">
      <c r="A158" s="216" t="s">
        <v>981</v>
      </c>
      <c r="B158" s="18" t="s">
        <v>982</v>
      </c>
      <c r="C158" s="229" t="str">
        <f>IF(ISBLANK(Raw_Data!C158),"unknown",PROPER(TRIM(CLEAN(Raw_Data!C158))))</f>
        <v>Rohit Yadav</v>
      </c>
      <c r="D158" s="230"/>
      <c r="E158" s="231"/>
      <c r="F158" s="231"/>
      <c r="G158" s="231"/>
      <c r="H158" s="230"/>
      <c r="I158" s="230"/>
      <c r="J158" s="230"/>
      <c r="K158" s="231"/>
      <c r="L158" s="231"/>
      <c r="M158" s="231"/>
      <c r="N158" s="231"/>
      <c r="O158" s="230"/>
      <c r="P158" s="232"/>
      <c r="Q158" s="230"/>
      <c r="R158" s="230"/>
      <c r="S158" s="232"/>
      <c r="T158" s="231"/>
      <c r="U158" s="231"/>
      <c r="V158" s="234"/>
    </row>
    <row r="159" spans="1:22">
      <c r="A159" s="215" t="s">
        <v>985</v>
      </c>
      <c r="B159" s="14" t="s">
        <v>723</v>
      </c>
      <c r="C159" s="229" t="str">
        <f>IF(ISBLANK(Raw_Data!C159),"unknown",PROPER(TRIM(CLEAN(Raw_Data!C159))))</f>
        <v>Amit Singh</v>
      </c>
      <c r="D159" s="230"/>
      <c r="E159" s="231"/>
      <c r="F159" s="231"/>
      <c r="G159" s="231"/>
      <c r="H159" s="230"/>
      <c r="I159" s="230"/>
      <c r="J159" s="230"/>
      <c r="K159" s="231"/>
      <c r="L159" s="231"/>
      <c r="M159" s="231"/>
      <c r="N159" s="231"/>
      <c r="O159" s="230"/>
      <c r="P159" s="232"/>
      <c r="Q159" s="230"/>
      <c r="R159" s="230"/>
      <c r="S159" s="232"/>
      <c r="T159" s="231"/>
      <c r="U159" s="229"/>
      <c r="V159" s="234"/>
    </row>
    <row r="160" spans="1:22">
      <c r="A160" s="216" t="s">
        <v>989</v>
      </c>
      <c r="B160" s="18" t="s">
        <v>990</v>
      </c>
      <c r="C160" s="231" t="str">
        <f>IF(ISBLANK(Raw_Data!C160),"unknown",PROPER(TRIM(CLEAN(Raw_Data!C160))))</f>
        <v>Sneha Reddy</v>
      </c>
      <c r="D160" s="230"/>
      <c r="E160" s="231"/>
      <c r="F160" s="231"/>
      <c r="G160" s="231"/>
      <c r="H160" s="230"/>
      <c r="I160" s="230"/>
      <c r="J160" s="230"/>
      <c r="K160" s="231"/>
      <c r="L160" s="231"/>
      <c r="M160" s="231"/>
      <c r="N160" s="231"/>
      <c r="O160" s="230"/>
      <c r="P160" s="232"/>
      <c r="Q160" s="230"/>
      <c r="R160" s="230"/>
      <c r="S160" s="232"/>
      <c r="T160" s="231"/>
      <c r="U160" s="229"/>
      <c r="V160" s="234"/>
    </row>
    <row r="161" spans="1:22">
      <c r="A161" s="216" t="s">
        <v>994</v>
      </c>
      <c r="B161" s="18" t="s">
        <v>995</v>
      </c>
      <c r="C161" s="231" t="str">
        <f>IF(ISBLANK(Raw_Data!C161),"unknown",PROPER(TRIM(CLEAN(Raw_Data!C161))))</f>
        <v>Arun Sharma</v>
      </c>
      <c r="D161" s="230"/>
      <c r="E161" s="231"/>
      <c r="F161" s="231"/>
      <c r="G161" s="229"/>
      <c r="H161" s="230"/>
      <c r="I161" s="230"/>
      <c r="J161" s="230"/>
      <c r="K161" s="231"/>
      <c r="L161" s="231"/>
      <c r="M161" s="231"/>
      <c r="N161" s="231"/>
      <c r="O161" s="230"/>
      <c r="P161" s="232"/>
      <c r="Q161" s="230"/>
      <c r="R161" s="230"/>
      <c r="S161" s="232"/>
      <c r="T161" s="231"/>
      <c r="U161" s="229"/>
      <c r="V161" s="233"/>
    </row>
    <row r="162" spans="1:22">
      <c r="A162" s="215" t="s">
        <v>999</v>
      </c>
      <c r="B162" s="14" t="s">
        <v>746</v>
      </c>
      <c r="C162" s="231" t="str">
        <f>IF(ISBLANK(Raw_Data!C162),"unknown",PROPER(TRIM(CLEAN(Raw_Data!C162))))</f>
        <v>unknown</v>
      </c>
      <c r="D162" s="230"/>
      <c r="E162" s="231"/>
      <c r="F162" s="231"/>
      <c r="G162" s="231"/>
      <c r="H162" s="230"/>
      <c r="I162" s="230"/>
      <c r="J162" s="230"/>
      <c r="K162" s="231"/>
      <c r="L162" s="231"/>
      <c r="M162" s="231"/>
      <c r="N162" s="231"/>
      <c r="O162" s="230"/>
      <c r="P162" s="232"/>
      <c r="Q162" s="230"/>
      <c r="R162" s="230"/>
      <c r="S162" s="232"/>
      <c r="T162" s="231"/>
      <c r="U162" s="229"/>
      <c r="V162" s="233"/>
    </row>
    <row r="163" spans="1:22">
      <c r="A163" s="216" t="s">
        <v>1002</v>
      </c>
      <c r="B163" s="18" t="s">
        <v>1003</v>
      </c>
      <c r="C163" s="231" t="str">
        <f>IF(ISBLANK(Raw_Data!C163),"unknown",PROPER(TRIM(CLEAN(Raw_Data!C163))))</f>
        <v>Suresh Babu</v>
      </c>
      <c r="D163" s="230"/>
      <c r="E163" s="231"/>
      <c r="F163" s="231"/>
      <c r="G163" s="231"/>
      <c r="H163" s="230"/>
      <c r="I163" s="230"/>
      <c r="J163" s="230"/>
      <c r="K163" s="231"/>
      <c r="L163" s="231"/>
      <c r="M163" s="231"/>
      <c r="N163" s="231"/>
      <c r="O163" s="230"/>
      <c r="P163" s="232"/>
      <c r="Q163" s="230"/>
      <c r="R163" s="230"/>
      <c r="S163" s="232"/>
      <c r="T163" s="231"/>
      <c r="U163" s="231"/>
      <c r="V163" s="233"/>
    </row>
    <row r="164" spans="1:22">
      <c r="A164" s="215" t="s">
        <v>1007</v>
      </c>
      <c r="B164" s="14" t="s">
        <v>1008</v>
      </c>
      <c r="C164" s="229" t="str">
        <f>IF(ISBLANK(Raw_Data!C164),"unknown",PROPER(TRIM(CLEAN(Raw_Data!C164))))</f>
        <v>Meera Nair</v>
      </c>
      <c r="D164" s="230"/>
      <c r="E164" s="231"/>
      <c r="F164" s="231"/>
      <c r="G164" s="231"/>
      <c r="H164" s="230"/>
      <c r="I164" s="230"/>
      <c r="J164" s="230"/>
      <c r="K164" s="231"/>
      <c r="L164" s="231"/>
      <c r="M164" s="231"/>
      <c r="N164" s="231"/>
      <c r="O164" s="230"/>
      <c r="P164" s="232"/>
      <c r="Q164" s="230"/>
      <c r="R164" s="230"/>
      <c r="S164" s="235"/>
      <c r="T164" s="231"/>
      <c r="U164" s="229"/>
      <c r="V164" s="233"/>
    </row>
    <row r="165" spans="1:22">
      <c r="A165" s="216" t="s">
        <v>1011</v>
      </c>
      <c r="B165" s="18" t="s">
        <v>1012</v>
      </c>
      <c r="C165" s="229" t="str">
        <f>IF(ISBLANK(Raw_Data!C165),"unknown",PROPER(TRIM(CLEAN(Raw_Data!C165))))</f>
        <v>Meera Nair</v>
      </c>
      <c r="D165" s="230"/>
      <c r="E165" s="231"/>
      <c r="F165" s="231"/>
      <c r="G165" s="229"/>
      <c r="H165" s="230"/>
      <c r="I165" s="230"/>
      <c r="J165" s="230"/>
      <c r="K165" s="231"/>
      <c r="L165" s="231"/>
      <c r="M165" s="231"/>
      <c r="N165" s="231"/>
      <c r="O165" s="230"/>
      <c r="P165" s="232"/>
      <c r="Q165" s="230"/>
      <c r="R165" s="230"/>
      <c r="S165" s="232"/>
      <c r="T165" s="231"/>
      <c r="U165" s="229"/>
      <c r="V165" s="234"/>
    </row>
    <row r="166" spans="1:22">
      <c r="A166" s="215" t="s">
        <v>1015</v>
      </c>
      <c r="B166" s="14" t="s">
        <v>1016</v>
      </c>
      <c r="C166" s="231" t="str">
        <f>IF(ISBLANK(Raw_Data!C166),"unknown",PROPER(TRIM(CLEAN(Raw_Data!C166))))</f>
        <v>Kiran Kumar</v>
      </c>
      <c r="D166" s="230"/>
      <c r="E166" s="231"/>
      <c r="F166" s="231"/>
      <c r="G166" s="231"/>
      <c r="H166" s="230"/>
      <c r="I166" s="235"/>
      <c r="J166" s="230"/>
      <c r="K166" s="231"/>
      <c r="L166" s="231"/>
      <c r="M166" s="231"/>
      <c r="N166" s="231"/>
      <c r="O166" s="230"/>
      <c r="P166" s="232"/>
      <c r="Q166" s="230"/>
      <c r="R166" s="230"/>
      <c r="S166" s="232"/>
      <c r="T166" s="231"/>
      <c r="U166" s="229"/>
      <c r="V166" s="234"/>
    </row>
    <row r="167" spans="1:22">
      <c r="A167" s="216" t="s">
        <v>1021</v>
      </c>
      <c r="B167" s="18" t="s">
        <v>701</v>
      </c>
      <c r="C167" s="229" t="str">
        <f>IF(ISBLANK(Raw_Data!C167),"unknown",PROPER(TRIM(CLEAN(Raw_Data!C167))))</f>
        <v>Sanjay Shah</v>
      </c>
      <c r="D167" s="230"/>
      <c r="E167" s="231"/>
      <c r="F167" s="231"/>
      <c r="G167" s="231"/>
      <c r="H167" s="230"/>
      <c r="I167" s="230"/>
      <c r="J167" s="230"/>
      <c r="K167" s="231"/>
      <c r="L167" s="231"/>
      <c r="M167" s="231"/>
      <c r="N167" s="231"/>
      <c r="O167" s="230"/>
      <c r="P167" s="232"/>
      <c r="Q167" s="230"/>
      <c r="R167" s="230"/>
      <c r="S167" s="232"/>
      <c r="T167" s="231"/>
      <c r="U167" s="229"/>
      <c r="V167" s="234"/>
    </row>
    <row r="168" spans="1:22">
      <c r="A168" s="215" t="s">
        <v>1025</v>
      </c>
      <c r="B168" s="14" t="s">
        <v>252</v>
      </c>
      <c r="C168" s="229" t="str">
        <f>IF(ISBLANK(Raw_Data!C168),"unknown",PROPER(TRIM(CLEAN(Raw_Data!C168))))</f>
        <v>Padma Lakshmi</v>
      </c>
      <c r="D168" s="230"/>
      <c r="E168" s="231"/>
      <c r="F168" s="231"/>
      <c r="G168" s="231"/>
      <c r="H168" s="230"/>
      <c r="I168" s="230"/>
      <c r="J168" s="230"/>
      <c r="K168" s="231"/>
      <c r="L168" s="231"/>
      <c r="M168" s="231"/>
      <c r="N168" s="231"/>
      <c r="O168" s="230"/>
      <c r="P168" s="232"/>
      <c r="Q168" s="230"/>
      <c r="R168" s="230"/>
      <c r="S168" s="232"/>
      <c r="T168" s="231"/>
      <c r="U168" s="231"/>
      <c r="V168" s="234"/>
    </row>
    <row r="169" spans="1:22">
      <c r="A169" s="216" t="s">
        <v>1028</v>
      </c>
      <c r="B169" s="18" t="s">
        <v>1029</v>
      </c>
      <c r="C169" s="229" t="str">
        <f>IF(ISBLANK(Raw_Data!C169),"unknown",PROPER(TRIM(CLEAN(Raw_Data!C169))))</f>
        <v>Neha Singh</v>
      </c>
      <c r="D169" s="230"/>
      <c r="E169" s="231"/>
      <c r="F169" s="231"/>
      <c r="G169" s="231"/>
      <c r="H169" s="230"/>
      <c r="I169" s="230"/>
      <c r="J169" s="230"/>
      <c r="K169" s="231"/>
      <c r="L169" s="229"/>
      <c r="M169" s="231"/>
      <c r="N169" s="231"/>
      <c r="O169" s="230"/>
      <c r="P169" s="232"/>
      <c r="Q169" s="230"/>
      <c r="R169" s="230"/>
      <c r="S169" s="232"/>
      <c r="T169" s="231"/>
      <c r="U169" s="229"/>
      <c r="V169" s="233"/>
    </row>
    <row r="170" spans="1:22">
      <c r="A170" s="215" t="s">
        <v>1032</v>
      </c>
      <c r="B170" s="14" t="s">
        <v>1033</v>
      </c>
      <c r="C170" s="231" t="str">
        <f>IF(ISBLANK(Raw_Data!C170),"unknown",PROPER(TRIM(CLEAN(Raw_Data!C170))))</f>
        <v>Kavitha N</v>
      </c>
      <c r="D170" s="230"/>
      <c r="E170" s="231"/>
      <c r="F170" s="231"/>
      <c r="G170" s="231"/>
      <c r="H170" s="230"/>
      <c r="I170" s="235"/>
      <c r="J170" s="230"/>
      <c r="K170" s="231"/>
      <c r="L170" s="231"/>
      <c r="M170" s="231"/>
      <c r="N170" s="231"/>
      <c r="O170" s="230"/>
      <c r="P170" s="232"/>
      <c r="Q170" s="230"/>
      <c r="R170" s="230"/>
      <c r="S170" s="232"/>
      <c r="T170" s="231"/>
      <c r="U170" s="231"/>
      <c r="V170" s="233"/>
    </row>
    <row r="171" spans="1:22">
      <c r="A171" s="216" t="s">
        <v>1035</v>
      </c>
      <c r="B171" s="18" t="s">
        <v>1036</v>
      </c>
      <c r="C171" s="231" t="str">
        <f>IF(ISBLANK(Raw_Data!C171),"unknown",PROPER(TRIM(CLEAN(Raw_Data!C171))))</f>
        <v>Ravi Kumar</v>
      </c>
      <c r="D171" s="230"/>
      <c r="E171" s="231"/>
      <c r="F171" s="231"/>
      <c r="G171" s="229"/>
      <c r="H171" s="230"/>
      <c r="I171" s="235"/>
      <c r="J171" s="230"/>
      <c r="K171" s="231"/>
      <c r="L171" s="231"/>
      <c r="M171" s="231"/>
      <c r="N171" s="231"/>
      <c r="O171" s="230"/>
      <c r="P171" s="232"/>
      <c r="Q171" s="230"/>
      <c r="R171" s="230"/>
      <c r="S171" s="232"/>
      <c r="T171" s="231"/>
      <c r="U171" s="229"/>
      <c r="V171" s="233"/>
    </row>
    <row r="172" spans="1:22">
      <c r="A172" s="215" t="s">
        <v>1041</v>
      </c>
      <c r="B172" s="14" t="s">
        <v>393</v>
      </c>
      <c r="C172" s="229" t="str">
        <f>IF(ISBLANK(Raw_Data!C172),"unknown",PROPER(TRIM(CLEAN(Raw_Data!C172))))</f>
        <v>Nisha Patel</v>
      </c>
      <c r="D172" s="230"/>
      <c r="E172" s="231"/>
      <c r="F172" s="231"/>
      <c r="G172" s="231"/>
      <c r="H172" s="230"/>
      <c r="I172" s="230"/>
      <c r="J172" s="230"/>
      <c r="K172" s="231"/>
      <c r="L172" s="231"/>
      <c r="M172" s="231"/>
      <c r="N172" s="231"/>
      <c r="O172" s="230"/>
      <c r="P172" s="232"/>
      <c r="Q172" s="230"/>
      <c r="R172" s="230"/>
      <c r="S172" s="232"/>
      <c r="T172" s="231"/>
      <c r="U172" s="231"/>
      <c r="V172" s="234"/>
    </row>
    <row r="173" spans="1:22">
      <c r="A173" s="216" t="s">
        <v>1045</v>
      </c>
      <c r="B173" s="18" t="s">
        <v>1046</v>
      </c>
      <c r="C173" s="231" t="str">
        <f>IF(ISBLANK(Raw_Data!C173),"unknown",PROPER(TRIM(CLEAN(Raw_Data!C173))))</f>
        <v>Saranya M</v>
      </c>
      <c r="D173" s="230"/>
      <c r="E173" s="231"/>
      <c r="F173" s="231"/>
      <c r="G173" s="229"/>
      <c r="H173" s="230"/>
      <c r="I173" s="230"/>
      <c r="J173" s="230"/>
      <c r="K173" s="231"/>
      <c r="L173" s="231"/>
      <c r="M173" s="231"/>
      <c r="N173" s="231"/>
      <c r="O173" s="235"/>
      <c r="P173" s="232"/>
      <c r="Q173" s="230"/>
      <c r="R173" s="230"/>
      <c r="S173" s="236"/>
      <c r="T173" s="231"/>
      <c r="U173" s="229"/>
      <c r="V173" s="234"/>
    </row>
    <row r="174" spans="1:22">
      <c r="A174" s="215" t="s">
        <v>1050</v>
      </c>
      <c r="B174" s="14" t="s">
        <v>1051</v>
      </c>
      <c r="C174" s="231" t="str">
        <f>IF(ISBLANK(Raw_Data!C174),"unknown",PROPER(TRIM(CLEAN(Raw_Data!C174))))</f>
        <v>Prasad P</v>
      </c>
      <c r="D174" s="230"/>
      <c r="E174" s="231"/>
      <c r="F174" s="231"/>
      <c r="G174" s="229"/>
      <c r="H174" s="230"/>
      <c r="I174" s="235"/>
      <c r="J174" s="230"/>
      <c r="K174" s="231"/>
      <c r="L174" s="231"/>
      <c r="M174" s="231"/>
      <c r="N174" s="231"/>
      <c r="O174" s="230"/>
      <c r="P174" s="235"/>
      <c r="Q174" s="230"/>
      <c r="R174" s="230"/>
      <c r="S174" s="232"/>
      <c r="T174" s="231"/>
      <c r="U174" s="231"/>
      <c r="V174" s="234"/>
    </row>
    <row r="175" spans="1:22">
      <c r="A175" s="216" t="s">
        <v>1055</v>
      </c>
      <c r="B175" s="18" t="s">
        <v>1056</v>
      </c>
      <c r="C175" s="229" t="str">
        <f>IF(ISBLANK(Raw_Data!C175),"unknown",PROPER(TRIM(CLEAN(Raw_Data!C175))))</f>
        <v>Anita Verma</v>
      </c>
      <c r="D175" s="230"/>
      <c r="E175" s="231"/>
      <c r="F175" s="231"/>
      <c r="G175" s="231"/>
      <c r="H175" s="230"/>
      <c r="I175" s="230"/>
      <c r="J175" s="230"/>
      <c r="K175" s="231"/>
      <c r="L175" s="231"/>
      <c r="M175" s="231"/>
      <c r="N175" s="231"/>
      <c r="O175" s="230"/>
      <c r="P175" s="232"/>
      <c r="Q175" s="230"/>
      <c r="R175" s="230"/>
      <c r="S175" s="232"/>
      <c r="T175" s="231"/>
      <c r="U175" s="231"/>
      <c r="V175" s="234"/>
    </row>
    <row r="176" spans="1:22">
      <c r="A176" s="215" t="s">
        <v>1060</v>
      </c>
      <c r="B176" s="14" t="s">
        <v>1061</v>
      </c>
      <c r="C176" s="229" t="str">
        <f>IF(ISBLANK(Raw_Data!C176),"unknown",PROPER(TRIM(CLEAN(Raw_Data!C176))))</f>
        <v>Manish Tiwari</v>
      </c>
      <c r="D176" s="230"/>
      <c r="E176" s="231"/>
      <c r="F176" s="231"/>
      <c r="G176" s="231"/>
      <c r="H176" s="230"/>
      <c r="I176" s="230"/>
      <c r="J176" s="230"/>
      <c r="K176" s="231"/>
      <c r="L176" s="231"/>
      <c r="M176" s="231"/>
      <c r="N176" s="231"/>
      <c r="O176" s="230"/>
      <c r="P176" s="232"/>
      <c r="Q176" s="230"/>
      <c r="R176" s="230"/>
      <c r="S176" s="232"/>
      <c r="T176" s="231"/>
      <c r="U176" s="231"/>
      <c r="V176" s="234"/>
    </row>
    <row r="177" spans="1:22">
      <c r="A177" s="216" t="s">
        <v>1065</v>
      </c>
      <c r="B177" s="18" t="s">
        <v>186</v>
      </c>
      <c r="C177" s="231" t="str">
        <f>IF(ISBLANK(Raw_Data!C177),"unknown",PROPER(TRIM(CLEAN(Raw_Data!C177))))</f>
        <v>Dinesh K</v>
      </c>
      <c r="D177" s="230"/>
      <c r="E177" s="231"/>
      <c r="F177" s="231"/>
      <c r="G177" s="231"/>
      <c r="H177" s="230"/>
      <c r="I177" s="230"/>
      <c r="J177" s="230"/>
      <c r="K177" s="231"/>
      <c r="L177" s="231"/>
      <c r="M177" s="231"/>
      <c r="N177" s="231"/>
      <c r="O177" s="230"/>
      <c r="P177" s="232"/>
      <c r="Q177" s="230"/>
      <c r="R177" s="230"/>
      <c r="S177" s="232"/>
      <c r="T177" s="231"/>
      <c r="U177" s="229"/>
      <c r="V177" s="234"/>
    </row>
    <row r="178" spans="1:22">
      <c r="A178" s="215" t="s">
        <v>1069</v>
      </c>
      <c r="B178" s="14" t="s">
        <v>1070</v>
      </c>
      <c r="C178" s="231" t="str">
        <f>IF(ISBLANK(Raw_Data!C178),"unknown",PROPER(TRIM(CLEAN(Raw_Data!C178))))</f>
        <v>Kavya Rao</v>
      </c>
      <c r="D178" s="230"/>
      <c r="E178" s="231"/>
      <c r="F178" s="231"/>
      <c r="G178" s="229"/>
      <c r="H178" s="230"/>
      <c r="I178" s="230"/>
      <c r="J178" s="230"/>
      <c r="K178" s="231"/>
      <c r="L178" s="231"/>
      <c r="M178" s="231"/>
      <c r="N178" s="231"/>
      <c r="O178" s="230"/>
      <c r="P178" s="232"/>
      <c r="Q178" s="230"/>
      <c r="R178" s="230"/>
      <c r="S178" s="232"/>
      <c r="T178" s="231"/>
      <c r="U178" s="231"/>
      <c r="V178" s="234"/>
    </row>
    <row r="179" spans="1:22">
      <c r="A179" s="216" t="s">
        <v>1073</v>
      </c>
      <c r="B179" s="18" t="s">
        <v>1074</v>
      </c>
      <c r="C179" s="229" t="str">
        <f>IF(ISBLANK(Raw_Data!C179),"unknown",PROPER(TRIM(CLEAN(Raw_Data!C179))))</f>
        <v>Ravi Shankar</v>
      </c>
      <c r="D179" s="230"/>
      <c r="E179" s="231"/>
      <c r="F179" s="231"/>
      <c r="G179" s="231"/>
      <c r="H179" s="230"/>
      <c r="I179" s="230"/>
      <c r="J179" s="230"/>
      <c r="K179" s="231"/>
      <c r="L179" s="231"/>
      <c r="M179" s="231"/>
      <c r="N179" s="231"/>
      <c r="O179" s="230"/>
      <c r="P179" s="232"/>
      <c r="Q179" s="230"/>
      <c r="R179" s="230"/>
      <c r="S179" s="235"/>
      <c r="T179" s="231"/>
      <c r="U179" s="229"/>
      <c r="V179" s="233"/>
    </row>
    <row r="180" spans="1:22">
      <c r="A180" s="215" t="s">
        <v>1077</v>
      </c>
      <c r="B180" s="14" t="s">
        <v>1078</v>
      </c>
      <c r="C180" s="229" t="str">
        <f>IF(ISBLANK(Raw_Data!C180),"unknown",PROPER(TRIM(CLEAN(Raw_Data!C180))))</f>
        <v>Ravi Shankar</v>
      </c>
      <c r="D180" s="230"/>
      <c r="E180" s="231"/>
      <c r="F180" s="231"/>
      <c r="G180" s="231"/>
      <c r="H180" s="230"/>
      <c r="I180" s="230"/>
      <c r="J180" s="230"/>
      <c r="K180" s="231"/>
      <c r="L180" s="231"/>
      <c r="M180" s="231"/>
      <c r="N180" s="231"/>
      <c r="O180" s="230"/>
      <c r="P180" s="232"/>
      <c r="Q180" s="230"/>
      <c r="R180" s="230"/>
      <c r="S180" s="232"/>
      <c r="T180" s="231"/>
      <c r="U180" s="229"/>
      <c r="V180" s="233"/>
    </row>
    <row r="181" spans="1:22">
      <c r="A181" s="216" t="s">
        <v>1082</v>
      </c>
      <c r="B181" s="18" t="s">
        <v>1033</v>
      </c>
      <c r="C181" s="231" t="str">
        <f>IF(ISBLANK(Raw_Data!C181),"unknown",PROPER(TRIM(CLEAN(Raw_Data!C181))))</f>
        <v>Padma Lakshmi</v>
      </c>
      <c r="D181" s="230"/>
      <c r="E181" s="231"/>
      <c r="F181" s="231"/>
      <c r="G181" s="229"/>
      <c r="H181" s="230"/>
      <c r="I181" s="230"/>
      <c r="J181" s="230"/>
      <c r="K181" s="231"/>
      <c r="L181" s="231"/>
      <c r="M181" s="231"/>
      <c r="N181" s="231"/>
      <c r="O181" s="230"/>
      <c r="P181" s="232"/>
      <c r="Q181" s="230"/>
      <c r="R181" s="230"/>
      <c r="S181" s="232"/>
      <c r="T181" s="231"/>
      <c r="U181" s="229"/>
      <c r="V181" s="234"/>
    </row>
    <row r="182" spans="1:22">
      <c r="A182" s="216" t="s">
        <v>1086</v>
      </c>
      <c r="B182" s="18" t="s">
        <v>360</v>
      </c>
      <c r="C182" s="229" t="str">
        <f>IF(ISBLANK(Raw_Data!C182),"unknown",PROPER(TRIM(CLEAN(Raw_Data!C182))))</f>
        <v>Rahul Gupta</v>
      </c>
      <c r="D182" s="230"/>
      <c r="E182" s="231"/>
      <c r="F182" s="231"/>
      <c r="G182" s="229"/>
      <c r="H182" s="230"/>
      <c r="I182" s="230"/>
      <c r="J182" s="230"/>
      <c r="K182" s="231"/>
      <c r="L182" s="231"/>
      <c r="M182" s="231"/>
      <c r="N182" s="231"/>
      <c r="O182" s="235"/>
      <c r="P182" s="232"/>
      <c r="Q182" s="230"/>
      <c r="R182" s="230"/>
      <c r="S182" s="236"/>
      <c r="T182" s="231"/>
      <c r="U182" s="229"/>
      <c r="V182" s="234"/>
    </row>
    <row r="183" spans="1:22">
      <c r="A183" s="215" t="s">
        <v>1090</v>
      </c>
      <c r="B183" s="14" t="s">
        <v>1091</v>
      </c>
      <c r="C183" s="229" t="str">
        <f>IF(ISBLANK(Raw_Data!C183),"unknown",PROPER(TRIM(CLEAN(Raw_Data!C183))))</f>
        <v>Geetha Rao</v>
      </c>
      <c r="D183" s="230"/>
      <c r="E183" s="231"/>
      <c r="F183" s="231"/>
      <c r="G183" s="231"/>
      <c r="H183" s="230"/>
      <c r="I183" s="230"/>
      <c r="J183" s="230"/>
      <c r="K183" s="231"/>
      <c r="L183" s="231"/>
      <c r="M183" s="231"/>
      <c r="N183" s="231"/>
      <c r="O183" s="230"/>
      <c r="P183" s="232"/>
      <c r="Q183" s="230"/>
      <c r="R183" s="230"/>
      <c r="S183" s="232"/>
      <c r="T183" s="231"/>
      <c r="U183" s="229"/>
      <c r="V183" s="234"/>
    </row>
    <row r="184" spans="1:22">
      <c r="A184" s="216" t="s">
        <v>1095</v>
      </c>
      <c r="B184" s="18" t="s">
        <v>1096</v>
      </c>
      <c r="C184" s="229" t="str">
        <f>IF(ISBLANK(Raw_Data!C184),"unknown",PROPER(TRIM(CLEAN(Raw_Data!C184))))</f>
        <v>unknown</v>
      </c>
      <c r="D184" s="230"/>
      <c r="E184" s="231"/>
      <c r="F184" s="231"/>
      <c r="G184" s="229"/>
      <c r="H184" s="230"/>
      <c r="I184" s="230"/>
      <c r="J184" s="230"/>
      <c r="K184" s="231"/>
      <c r="L184" s="231"/>
      <c r="M184" s="231"/>
      <c r="N184" s="231"/>
      <c r="O184" s="230"/>
      <c r="P184" s="235"/>
      <c r="Q184" s="230"/>
      <c r="R184" s="230"/>
      <c r="S184" s="232"/>
      <c r="T184" s="231"/>
      <c r="U184" s="229"/>
      <c r="V184" s="233"/>
    </row>
    <row r="185" spans="1:22">
      <c r="A185" s="215" t="s">
        <v>1101</v>
      </c>
      <c r="B185" s="14" t="s">
        <v>1102</v>
      </c>
      <c r="C185" s="229" t="str">
        <f>IF(ISBLANK(Raw_Data!C185),"unknown",PROPER(TRIM(CLEAN(Raw_Data!C185))))</f>
        <v>Vijay Patel</v>
      </c>
      <c r="D185" s="230"/>
      <c r="E185" s="231"/>
      <c r="F185" s="231"/>
      <c r="G185" s="231"/>
      <c r="H185" s="230"/>
      <c r="I185" s="230"/>
      <c r="J185" s="230"/>
      <c r="K185" s="231"/>
      <c r="L185" s="231"/>
      <c r="M185" s="231"/>
      <c r="N185" s="231"/>
      <c r="O185" s="230"/>
      <c r="P185" s="232"/>
      <c r="Q185" s="230"/>
      <c r="R185" s="230"/>
      <c r="S185" s="232"/>
      <c r="T185" s="231"/>
      <c r="U185" s="229"/>
      <c r="V185" s="234"/>
    </row>
    <row r="186" spans="1:22">
      <c r="A186" s="216" t="s">
        <v>1105</v>
      </c>
      <c r="B186" s="18" t="s">
        <v>1106</v>
      </c>
      <c r="C186" s="231" t="str">
        <f>IF(ISBLANK(Raw_Data!C186),"unknown",PROPER(TRIM(CLEAN(Raw_Data!C186))))</f>
        <v>Venkat Reddy</v>
      </c>
      <c r="D186" s="230"/>
      <c r="E186" s="231"/>
      <c r="F186" s="231"/>
      <c r="G186" s="229"/>
      <c r="H186" s="230"/>
      <c r="I186" s="230"/>
      <c r="J186" s="230"/>
      <c r="K186" s="231"/>
      <c r="L186" s="231"/>
      <c r="M186" s="231"/>
      <c r="N186" s="231"/>
      <c r="O186" s="230"/>
      <c r="P186" s="232"/>
      <c r="Q186" s="230"/>
      <c r="R186" s="230"/>
      <c r="S186" s="232"/>
      <c r="T186" s="231"/>
      <c r="U186" s="231"/>
      <c r="V186" s="234"/>
    </row>
    <row r="187" spans="1:22">
      <c r="A187" s="215" t="s">
        <v>1109</v>
      </c>
      <c r="B187" s="14" t="s">
        <v>398</v>
      </c>
      <c r="C187" s="231" t="str">
        <f>IF(ISBLANK(Raw_Data!C187),"unknown",PROPER(TRIM(CLEAN(Raw_Data!C187))))</f>
        <v>Manoj Kumar</v>
      </c>
      <c r="D187" s="230"/>
      <c r="E187" s="231"/>
      <c r="F187" s="231"/>
      <c r="G187" s="229"/>
      <c r="H187" s="230"/>
      <c r="I187" s="230"/>
      <c r="J187" s="230"/>
      <c r="K187" s="231"/>
      <c r="L187" s="231"/>
      <c r="M187" s="231"/>
      <c r="N187" s="231"/>
      <c r="O187" s="230"/>
      <c r="P187" s="232"/>
      <c r="Q187" s="230"/>
      <c r="R187" s="230"/>
      <c r="S187" s="232"/>
      <c r="T187" s="231"/>
      <c r="U187" s="231"/>
      <c r="V187" s="234"/>
    </row>
    <row r="188" spans="1:22">
      <c r="A188" s="216" t="s">
        <v>1112</v>
      </c>
      <c r="B188" s="18" t="s">
        <v>1113</v>
      </c>
      <c r="C188" s="231" t="str">
        <f>IF(ISBLANK(Raw_Data!C188),"unknown",PROPER(TRIM(CLEAN(Raw_Data!C188))))</f>
        <v>Sita Devi</v>
      </c>
      <c r="D188" s="230"/>
      <c r="E188" s="231"/>
      <c r="F188" s="231"/>
      <c r="G188" s="231"/>
      <c r="H188" s="230"/>
      <c r="I188" s="230"/>
      <c r="J188" s="230"/>
      <c r="K188" s="231"/>
      <c r="L188" s="231"/>
      <c r="M188" s="231"/>
      <c r="N188" s="231"/>
      <c r="O188" s="230"/>
      <c r="P188" s="232"/>
      <c r="Q188" s="230"/>
      <c r="R188" s="230"/>
      <c r="S188" s="232"/>
      <c r="T188" s="231"/>
      <c r="U188" s="231"/>
      <c r="V188" s="233"/>
    </row>
    <row r="189" spans="1:22">
      <c r="A189" s="215" t="s">
        <v>1117</v>
      </c>
      <c r="B189" s="14" t="s">
        <v>1118</v>
      </c>
      <c r="C189" s="231" t="str">
        <f>IF(ISBLANK(Raw_Data!C189),"unknown",PROPER(TRIM(CLEAN(Raw_Data!C189))))</f>
        <v>Mohan Lal</v>
      </c>
      <c r="D189" s="230"/>
      <c r="E189" s="231"/>
      <c r="F189" s="231"/>
      <c r="G189" s="229"/>
      <c r="H189" s="230"/>
      <c r="I189" s="230"/>
      <c r="J189" s="230"/>
      <c r="K189" s="231"/>
      <c r="L189" s="231"/>
      <c r="M189" s="231"/>
      <c r="N189" s="231"/>
      <c r="O189" s="230"/>
      <c r="P189" s="232"/>
      <c r="Q189" s="230"/>
      <c r="R189" s="230"/>
      <c r="S189" s="232"/>
      <c r="T189" s="231"/>
      <c r="U189" s="231"/>
      <c r="V189" s="233"/>
    </row>
    <row r="190" spans="1:22">
      <c r="A190" s="216" t="s">
        <v>1121</v>
      </c>
      <c r="B190" s="18" t="s">
        <v>760</v>
      </c>
      <c r="C190" s="229" t="str">
        <f>IF(ISBLANK(Raw_Data!C190),"unknown",PROPER(TRIM(CLEAN(Raw_Data!C190))))</f>
        <v>Anita Verma</v>
      </c>
      <c r="D190" s="230"/>
      <c r="E190" s="231"/>
      <c r="F190" s="229"/>
      <c r="G190" s="231"/>
      <c r="H190" s="230"/>
      <c r="I190" s="230"/>
      <c r="J190" s="230"/>
      <c r="K190" s="231"/>
      <c r="L190" s="231"/>
      <c r="M190" s="231"/>
      <c r="N190" s="231"/>
      <c r="O190" s="230"/>
      <c r="P190" s="232"/>
      <c r="Q190" s="235"/>
      <c r="R190" s="230"/>
      <c r="S190" s="232"/>
      <c r="T190" s="231"/>
      <c r="U190" s="229"/>
      <c r="V190" s="233"/>
    </row>
    <row r="191" spans="1:22">
      <c r="A191" s="215" t="s">
        <v>1124</v>
      </c>
      <c r="B191" s="14" t="s">
        <v>604</v>
      </c>
      <c r="C191" s="229" t="str">
        <f>IF(ISBLANK(Raw_Data!C191),"unknown",PROPER(TRIM(CLEAN(Raw_Data!C191))))</f>
        <v>Deepika Rao</v>
      </c>
      <c r="D191" s="230"/>
      <c r="E191" s="231"/>
      <c r="F191" s="231"/>
      <c r="G191" s="231"/>
      <c r="H191" s="230"/>
      <c r="I191" s="230"/>
      <c r="J191" s="230"/>
      <c r="K191" s="231"/>
      <c r="L191" s="231"/>
      <c r="M191" s="231"/>
      <c r="N191" s="231"/>
      <c r="O191" s="230"/>
      <c r="P191" s="232"/>
      <c r="Q191" s="230"/>
      <c r="R191" s="230"/>
      <c r="S191" s="232"/>
      <c r="T191" s="231"/>
      <c r="U191" s="231"/>
      <c r="V191" s="234"/>
    </row>
    <row r="192" spans="1:22">
      <c r="A192" s="216" t="s">
        <v>1128</v>
      </c>
      <c r="B192" s="18" t="s">
        <v>1129</v>
      </c>
      <c r="C192" s="229" t="str">
        <f>IF(ISBLANK(Raw_Data!C192),"unknown",PROPER(TRIM(CLEAN(Raw_Data!C192))))</f>
        <v>Ravi Shankar</v>
      </c>
      <c r="D192" s="230"/>
      <c r="E192" s="231"/>
      <c r="F192" s="229"/>
      <c r="G192" s="229"/>
      <c r="H192" s="230"/>
      <c r="I192" s="230"/>
      <c r="J192" s="230"/>
      <c r="K192" s="231"/>
      <c r="L192" s="231"/>
      <c r="M192" s="231"/>
      <c r="N192" s="231"/>
      <c r="O192" s="230"/>
      <c r="P192" s="232"/>
      <c r="Q192" s="230"/>
      <c r="R192" s="230"/>
      <c r="S192" s="232"/>
      <c r="T192" s="231"/>
      <c r="U192" s="231"/>
      <c r="V192" s="233"/>
    </row>
    <row r="193" spans="1:22">
      <c r="A193" s="215" t="s">
        <v>1131</v>
      </c>
      <c r="B193" s="14" t="s">
        <v>990</v>
      </c>
      <c r="C193" s="231" t="str">
        <f>IF(ISBLANK(Raw_Data!C193),"unknown",PROPER(TRIM(CLEAN(Raw_Data!C193))))</f>
        <v>Rahul Gupta</v>
      </c>
      <c r="D193" s="230"/>
      <c r="E193" s="231"/>
      <c r="F193" s="231"/>
      <c r="G193" s="229"/>
      <c r="H193" s="230"/>
      <c r="I193" s="230"/>
      <c r="J193" s="230"/>
      <c r="K193" s="231"/>
      <c r="L193" s="231"/>
      <c r="M193" s="231"/>
      <c r="N193" s="231"/>
      <c r="O193" s="230"/>
      <c r="P193" s="232"/>
      <c r="Q193" s="230"/>
      <c r="R193" s="230"/>
      <c r="S193" s="232"/>
      <c r="T193" s="231"/>
      <c r="U193" s="229"/>
      <c r="V193" s="234"/>
    </row>
    <row r="194" spans="1:22">
      <c r="A194" s="215" t="s">
        <v>1134</v>
      </c>
      <c r="B194" s="14" t="s">
        <v>1135</v>
      </c>
      <c r="C194" s="231" t="str">
        <f>IF(ISBLANK(Raw_Data!C194),"unknown",PROPER(TRIM(CLEAN(Raw_Data!C194))))</f>
        <v>Sanjay Shah</v>
      </c>
      <c r="D194" s="230"/>
      <c r="E194" s="231"/>
      <c r="F194" s="231"/>
      <c r="G194" s="229"/>
      <c r="H194" s="230"/>
      <c r="I194" s="230"/>
      <c r="J194" s="230"/>
      <c r="K194" s="231"/>
      <c r="L194" s="231"/>
      <c r="M194" s="231"/>
      <c r="N194" s="231"/>
      <c r="O194" s="230"/>
      <c r="P194" s="232"/>
      <c r="Q194" s="230"/>
      <c r="R194" s="230"/>
      <c r="S194" s="232"/>
      <c r="T194" s="231"/>
      <c r="U194" s="229"/>
      <c r="V194" s="234"/>
    </row>
    <row r="195" spans="1:22">
      <c r="A195" s="216" t="s">
        <v>1139</v>
      </c>
      <c r="B195" s="18" t="s">
        <v>1140</v>
      </c>
      <c r="C195" s="231" t="str">
        <f>IF(ISBLANK(Raw_Data!C195),"unknown",PROPER(TRIM(CLEAN(Raw_Data!C195))))</f>
        <v>unknown</v>
      </c>
      <c r="D195" s="230"/>
      <c r="E195" s="231"/>
      <c r="F195" s="231"/>
      <c r="G195" s="229"/>
      <c r="H195" s="230"/>
      <c r="I195" s="230"/>
      <c r="J195" s="230"/>
      <c r="K195" s="231"/>
      <c r="L195" s="231"/>
      <c r="M195" s="231"/>
      <c r="N195" s="231"/>
      <c r="O195" s="230"/>
      <c r="P195" s="232"/>
      <c r="Q195" s="230"/>
      <c r="R195" s="230"/>
      <c r="S195" s="235"/>
      <c r="T195" s="231"/>
      <c r="U195" s="231"/>
      <c r="V195" s="234"/>
    </row>
    <row r="196" spans="1:22">
      <c r="A196" s="215" t="s">
        <v>1144</v>
      </c>
      <c r="B196" s="14" t="s">
        <v>1145</v>
      </c>
      <c r="C196" s="231" t="str">
        <f>IF(ISBLANK(Raw_Data!C196),"unknown",PROPER(TRIM(CLEAN(Raw_Data!C196))))</f>
        <v>Sneha Reddy</v>
      </c>
      <c r="D196" s="230"/>
      <c r="E196" s="231"/>
      <c r="F196" s="231"/>
      <c r="G196" s="231"/>
      <c r="H196" s="230"/>
      <c r="I196" s="230"/>
      <c r="J196" s="230"/>
      <c r="K196" s="231"/>
      <c r="L196" s="231"/>
      <c r="M196" s="231"/>
      <c r="N196" s="231"/>
      <c r="O196" s="230"/>
      <c r="P196" s="232"/>
      <c r="Q196" s="230"/>
      <c r="R196" s="230"/>
      <c r="S196" s="232"/>
      <c r="T196" s="231"/>
      <c r="U196" s="231"/>
      <c r="V196" s="234"/>
    </row>
    <row r="197" spans="1:22">
      <c r="A197" s="216" t="s">
        <v>1148</v>
      </c>
      <c r="B197" s="18" t="s">
        <v>737</v>
      </c>
      <c r="C197" s="229" t="str">
        <f>IF(ISBLANK(Raw_Data!C197),"unknown",PROPER(TRIM(CLEAN(Raw_Data!C197))))</f>
        <v>Amit Singh</v>
      </c>
      <c r="D197" s="230"/>
      <c r="E197" s="231"/>
      <c r="F197" s="231"/>
      <c r="G197" s="229"/>
      <c r="H197" s="230"/>
      <c r="I197" s="230"/>
      <c r="J197" s="230"/>
      <c r="K197" s="231"/>
      <c r="L197" s="231"/>
      <c r="M197" s="231"/>
      <c r="N197" s="231"/>
      <c r="O197" s="230"/>
      <c r="P197" s="232"/>
      <c r="Q197" s="230"/>
      <c r="R197" s="230"/>
      <c r="S197" s="235"/>
      <c r="T197" s="231"/>
      <c r="U197" s="229"/>
      <c r="V197" s="234"/>
    </row>
    <row r="198" spans="1:22">
      <c r="A198" s="215" t="s">
        <v>1152</v>
      </c>
      <c r="B198" s="14" t="s">
        <v>1153</v>
      </c>
      <c r="C198" s="231" t="str">
        <f>IF(ISBLANK(Raw_Data!C198),"unknown",PROPER(TRIM(CLEAN(Raw_Data!C198))))</f>
        <v>Padma Lakshmi</v>
      </c>
      <c r="D198" s="230"/>
      <c r="E198" s="231"/>
      <c r="F198" s="231"/>
      <c r="G198" s="231"/>
      <c r="H198" s="230"/>
      <c r="I198" s="230"/>
      <c r="J198" s="230"/>
      <c r="K198" s="231"/>
      <c r="L198" s="231"/>
      <c r="M198" s="231"/>
      <c r="N198" s="231"/>
      <c r="O198" s="230"/>
      <c r="P198" s="232"/>
      <c r="Q198" s="230"/>
      <c r="R198" s="230"/>
      <c r="S198" s="232"/>
      <c r="T198" s="231"/>
      <c r="U198" s="229"/>
      <c r="V198" s="234"/>
    </row>
    <row r="199" spans="1:22">
      <c r="A199" s="216" t="s">
        <v>1156</v>
      </c>
      <c r="B199" s="18" t="s">
        <v>1157</v>
      </c>
      <c r="C199" s="231" t="str">
        <f>IF(ISBLANK(Raw_Data!C199),"unknown",PROPER(TRIM(CLEAN(Raw_Data!C199))))</f>
        <v>Divya Nair</v>
      </c>
      <c r="D199" s="230"/>
      <c r="E199" s="231"/>
      <c r="F199" s="231"/>
      <c r="G199" s="229"/>
      <c r="H199" s="230"/>
      <c r="I199" s="230"/>
      <c r="J199" s="230"/>
      <c r="K199" s="231"/>
      <c r="L199" s="231"/>
      <c r="M199" s="231"/>
      <c r="N199" s="231"/>
      <c r="O199" s="230"/>
      <c r="P199" s="232"/>
      <c r="Q199" s="230"/>
      <c r="R199" s="230"/>
      <c r="S199" s="232"/>
      <c r="T199" s="231"/>
      <c r="U199" s="231"/>
      <c r="V199" s="234"/>
    </row>
    <row r="200" spans="1:22">
      <c r="A200" s="215" t="s">
        <v>1160</v>
      </c>
      <c r="B200" s="14" t="s">
        <v>550</v>
      </c>
      <c r="C200" s="229" t="str">
        <f>IF(ISBLANK(Raw_Data!C200),"unknown",PROPER(TRIM(CLEAN(Raw_Data!C200))))</f>
        <v>Divya Nair</v>
      </c>
      <c r="D200" s="230"/>
      <c r="E200" s="231"/>
      <c r="F200" s="231"/>
      <c r="G200" s="229"/>
      <c r="H200" s="230"/>
      <c r="I200" s="230"/>
      <c r="J200" s="230"/>
      <c r="K200" s="231"/>
      <c r="L200" s="231"/>
      <c r="M200" s="231"/>
      <c r="N200" s="231"/>
      <c r="O200" s="230"/>
      <c r="P200" s="232"/>
      <c r="Q200" s="230"/>
      <c r="R200" s="230"/>
      <c r="S200" s="232"/>
      <c r="T200" s="231"/>
      <c r="U200" s="231"/>
      <c r="V200" s="233"/>
    </row>
    <row r="201" spans="1:22">
      <c r="A201" s="216" t="s">
        <v>1164</v>
      </c>
      <c r="B201" s="18" t="s">
        <v>1165</v>
      </c>
      <c r="C201" s="229" t="str">
        <f>IF(ISBLANK(Raw_Data!C201),"unknown",PROPER(TRIM(CLEAN(Raw_Data!C201))))</f>
        <v>Meera Nair</v>
      </c>
      <c r="D201" s="230"/>
      <c r="E201" s="231"/>
      <c r="F201" s="231"/>
      <c r="G201" s="231"/>
      <c r="H201" s="230"/>
      <c r="I201" s="230"/>
      <c r="J201" s="230"/>
      <c r="K201" s="231"/>
      <c r="L201" s="231"/>
      <c r="M201" s="231"/>
      <c r="N201" s="231"/>
      <c r="O201" s="230"/>
      <c r="P201" s="232"/>
      <c r="Q201" s="230"/>
      <c r="R201" s="230"/>
      <c r="S201" s="232"/>
      <c r="T201" s="231"/>
      <c r="U201" s="229"/>
      <c r="V201" s="233"/>
    </row>
    <row r="202" spans="1:22">
      <c r="A202" s="215" t="s">
        <v>1168</v>
      </c>
      <c r="B202" s="14" t="s">
        <v>889</v>
      </c>
      <c r="C202" s="231" t="str">
        <f>IF(ISBLANK(Raw_Data!C202),"unknown",PROPER(TRIM(CLEAN(Raw_Data!C202))))</f>
        <v>Vijay Patel</v>
      </c>
      <c r="D202" s="230"/>
      <c r="E202" s="231"/>
      <c r="F202" s="231"/>
      <c r="G202" s="231"/>
      <c r="H202" s="230"/>
      <c r="I202" s="230"/>
      <c r="J202" s="230"/>
      <c r="K202" s="231"/>
      <c r="L202" s="231"/>
      <c r="M202" s="231"/>
      <c r="N202" s="231"/>
      <c r="O202" s="230"/>
      <c r="P202" s="232"/>
      <c r="Q202" s="230"/>
      <c r="R202" s="230"/>
      <c r="S202" s="232"/>
      <c r="T202" s="231"/>
      <c r="U202" s="229"/>
      <c r="V202" s="233"/>
    </row>
    <row r="203" spans="1:22">
      <c r="A203" s="216" t="s">
        <v>1171</v>
      </c>
      <c r="B203" s="18" t="s">
        <v>1172</v>
      </c>
      <c r="C203" s="231" t="str">
        <f>IF(ISBLANK(Raw_Data!C203),"unknown",PROPER(TRIM(CLEAN(Raw_Data!C203))))</f>
        <v>Neha Singh</v>
      </c>
      <c r="D203" s="230"/>
      <c r="E203" s="231"/>
      <c r="F203" s="231"/>
      <c r="G203" s="231"/>
      <c r="H203" s="230"/>
      <c r="I203" s="230"/>
      <c r="J203" s="230"/>
      <c r="K203" s="231"/>
      <c r="L203" s="231"/>
      <c r="M203" s="231"/>
      <c r="N203" s="231"/>
      <c r="O203" s="230"/>
      <c r="P203" s="232"/>
      <c r="Q203" s="230"/>
      <c r="R203" s="230"/>
      <c r="S203" s="232"/>
      <c r="T203" s="231"/>
      <c r="U203" s="229"/>
      <c r="V203" s="234"/>
    </row>
    <row r="204" spans="1:22">
      <c r="A204" s="215" t="s">
        <v>1175</v>
      </c>
      <c r="B204" s="14" t="s">
        <v>1176</v>
      </c>
      <c r="C204" s="229" t="str">
        <f>IF(ISBLANK(Raw_Data!C204),"unknown",PROPER(TRIM(CLEAN(Raw_Data!C204))))</f>
        <v>Rekha Pandey</v>
      </c>
      <c r="D204" s="230"/>
      <c r="E204" s="231"/>
      <c r="F204" s="231"/>
      <c r="G204" s="231"/>
      <c r="H204" s="230"/>
      <c r="I204" s="230"/>
      <c r="J204" s="230"/>
      <c r="K204" s="231"/>
      <c r="L204" s="231"/>
      <c r="M204" s="231"/>
      <c r="N204" s="231"/>
      <c r="O204" s="230"/>
      <c r="P204" s="232"/>
      <c r="Q204" s="230"/>
      <c r="R204" s="230"/>
      <c r="S204" s="232"/>
      <c r="T204" s="231"/>
      <c r="U204" s="231"/>
      <c r="V204" s="234"/>
    </row>
    <row r="205" spans="1:22">
      <c r="A205" s="216" t="s">
        <v>1179</v>
      </c>
      <c r="B205" s="18" t="s">
        <v>223</v>
      </c>
      <c r="C205" s="231" t="str">
        <f>IF(ISBLANK(Raw_Data!C205),"unknown",PROPER(TRIM(CLEAN(Raw_Data!C205))))</f>
        <v>Kiran Kumar</v>
      </c>
      <c r="D205" s="230"/>
      <c r="E205" s="231"/>
      <c r="F205" s="231"/>
      <c r="G205" s="231"/>
      <c r="H205" s="230"/>
      <c r="I205" s="230"/>
      <c r="J205" s="230"/>
      <c r="K205" s="231"/>
      <c r="L205" s="231"/>
      <c r="M205" s="231"/>
      <c r="N205" s="231"/>
      <c r="O205" s="230"/>
      <c r="P205" s="232"/>
      <c r="Q205" s="230"/>
      <c r="R205" s="230"/>
      <c r="S205" s="232"/>
      <c r="T205" s="231"/>
      <c r="U205" s="229"/>
      <c r="V205" s="234"/>
    </row>
    <row r="206" spans="1:22">
      <c r="A206" s="215" t="s">
        <v>1181</v>
      </c>
      <c r="B206" s="14" t="s">
        <v>1182</v>
      </c>
      <c r="C206" s="229" t="str">
        <f>IF(ISBLANK(Raw_Data!C206),"unknown",PROPER(TRIM(CLEAN(Raw_Data!C206))))</f>
        <v>Mohan Lal</v>
      </c>
      <c r="D206" s="230"/>
      <c r="E206" s="231"/>
      <c r="F206" s="231"/>
      <c r="G206" s="229"/>
      <c r="H206" s="230"/>
      <c r="I206" s="230"/>
      <c r="J206" s="230"/>
      <c r="K206" s="231"/>
      <c r="L206" s="231"/>
      <c r="M206" s="231"/>
      <c r="N206" s="231"/>
      <c r="O206" s="230"/>
      <c r="P206" s="232"/>
      <c r="Q206" s="230"/>
      <c r="R206" s="230"/>
      <c r="S206" s="232"/>
      <c r="T206" s="231"/>
      <c r="U206" s="231"/>
      <c r="V206" s="234"/>
    </row>
    <row r="207" spans="1:22">
      <c r="A207" s="216" t="s">
        <v>1185</v>
      </c>
      <c r="B207" s="18" t="s">
        <v>1186</v>
      </c>
      <c r="C207" s="229" t="str">
        <f>IF(ISBLANK(Raw_Data!C207),"unknown",PROPER(TRIM(CLEAN(Raw_Data!C207))))</f>
        <v>Vijay Patel</v>
      </c>
      <c r="D207" s="230"/>
      <c r="E207" s="231"/>
      <c r="F207" s="231"/>
      <c r="G207" s="231"/>
      <c r="H207" s="230"/>
      <c r="I207" s="230"/>
      <c r="J207" s="230"/>
      <c r="K207" s="231"/>
      <c r="L207" s="231"/>
      <c r="M207" s="231"/>
      <c r="N207" s="231"/>
      <c r="O207" s="230"/>
      <c r="P207" s="232"/>
      <c r="Q207" s="230"/>
      <c r="R207" s="230"/>
      <c r="S207" s="232"/>
      <c r="T207" s="231"/>
      <c r="U207" s="229"/>
      <c r="V207" s="234"/>
    </row>
    <row r="208" spans="1:22">
      <c r="A208" s="215" t="s">
        <v>1189</v>
      </c>
      <c r="B208" s="14" t="s">
        <v>865</v>
      </c>
      <c r="C208" s="229" t="str">
        <f>IF(ISBLANK(Raw_Data!C208),"unknown",PROPER(TRIM(CLEAN(Raw_Data!C208))))</f>
        <v>Venkat Reddy</v>
      </c>
      <c r="D208" s="230"/>
      <c r="E208" s="231"/>
      <c r="F208" s="231"/>
      <c r="G208" s="229"/>
      <c r="H208" s="230"/>
      <c r="I208" s="230"/>
      <c r="J208" s="230"/>
      <c r="K208" s="231"/>
      <c r="L208" s="231"/>
      <c r="M208" s="231"/>
      <c r="N208" s="231"/>
      <c r="O208" s="230"/>
      <c r="P208" s="232"/>
      <c r="Q208" s="230"/>
      <c r="R208" s="230"/>
      <c r="S208" s="232"/>
      <c r="T208" s="231"/>
      <c r="U208" s="229"/>
      <c r="V208" s="233"/>
    </row>
    <row r="209" spans="1:22">
      <c r="A209" s="216" t="s">
        <v>1193</v>
      </c>
      <c r="B209" s="18" t="s">
        <v>1194</v>
      </c>
      <c r="C209" s="229" t="str">
        <f>IF(ISBLANK(Raw_Data!C209),"unknown",PROPER(TRIM(CLEAN(Raw_Data!C209))))</f>
        <v>Prasad P</v>
      </c>
      <c r="D209" s="230"/>
      <c r="E209" s="231"/>
      <c r="F209" s="231"/>
      <c r="G209" s="231"/>
      <c r="H209" s="230"/>
      <c r="I209" s="230"/>
      <c r="J209" s="230"/>
      <c r="K209" s="231"/>
      <c r="L209" s="231"/>
      <c r="M209" s="231"/>
      <c r="N209" s="231"/>
      <c r="O209" s="230"/>
      <c r="P209" s="232"/>
      <c r="Q209" s="235"/>
      <c r="R209" s="230"/>
      <c r="S209" s="232"/>
      <c r="T209" s="231"/>
      <c r="U209" s="229"/>
      <c r="V209" s="233"/>
    </row>
    <row r="210" spans="1:22">
      <c r="A210" s="215" t="s">
        <v>1198</v>
      </c>
      <c r="B210" s="14" t="s">
        <v>1199</v>
      </c>
      <c r="C210" s="229" t="str">
        <f>IF(ISBLANK(Raw_Data!C210),"unknown",PROPER(TRIM(CLEAN(Raw_Data!C210))))</f>
        <v>Suresh Kumar</v>
      </c>
      <c r="D210" s="230"/>
      <c r="E210" s="231"/>
      <c r="F210" s="231"/>
      <c r="G210" s="229"/>
      <c r="H210" s="230"/>
      <c r="I210" s="230"/>
      <c r="J210" s="230"/>
      <c r="K210" s="231"/>
      <c r="L210" s="231"/>
      <c r="M210" s="231"/>
      <c r="N210" s="231"/>
      <c r="O210" s="230"/>
      <c r="P210" s="232"/>
      <c r="Q210" s="230"/>
      <c r="R210" s="230"/>
      <c r="S210" s="232"/>
      <c r="T210" s="231"/>
      <c r="U210" s="231"/>
      <c r="V210" s="233"/>
    </row>
    <row r="211" spans="1:22">
      <c r="A211" s="216" t="s">
        <v>1203</v>
      </c>
      <c r="B211" s="18" t="s">
        <v>1204</v>
      </c>
      <c r="C211" s="229" t="str">
        <f>IF(ISBLANK(Raw_Data!C211),"unknown",PROPER(TRIM(CLEAN(Raw_Data!C211))))</f>
        <v>Kiran Kumar</v>
      </c>
      <c r="D211" s="230"/>
      <c r="E211" s="231"/>
      <c r="F211" s="231"/>
      <c r="G211" s="231"/>
      <c r="H211" s="230"/>
      <c r="I211" s="230"/>
      <c r="J211" s="230"/>
      <c r="K211" s="231"/>
      <c r="L211" s="231"/>
      <c r="M211" s="231"/>
      <c r="N211" s="231"/>
      <c r="O211" s="230"/>
      <c r="P211" s="232"/>
      <c r="Q211" s="230"/>
      <c r="R211" s="230"/>
      <c r="S211" s="232"/>
      <c r="T211" s="231"/>
      <c r="U211" s="231"/>
      <c r="V211" s="233"/>
    </row>
    <row r="212" spans="1:22">
      <c r="A212" s="215" t="s">
        <v>1208</v>
      </c>
      <c r="B212" s="14" t="s">
        <v>1209</v>
      </c>
      <c r="C212" s="229" t="str">
        <f>IF(ISBLANK(Raw_Data!C212),"unknown",PROPER(TRIM(CLEAN(Raw_Data!C212))))</f>
        <v>Suresh Kumar</v>
      </c>
      <c r="D212" s="230"/>
      <c r="E212" s="231"/>
      <c r="F212" s="231"/>
      <c r="G212" s="231"/>
      <c r="H212" s="230"/>
      <c r="I212" s="230"/>
      <c r="J212" s="230"/>
      <c r="K212" s="231"/>
      <c r="L212" s="231"/>
      <c r="M212" s="231"/>
      <c r="N212" s="231"/>
      <c r="O212" s="230"/>
      <c r="P212" s="232"/>
      <c r="Q212" s="230"/>
      <c r="R212" s="230"/>
      <c r="S212" s="232"/>
      <c r="T212" s="231"/>
      <c r="U212" s="231"/>
      <c r="V212" s="233"/>
    </row>
    <row r="213" spans="1:22">
      <c r="A213" s="216" t="s">
        <v>1213</v>
      </c>
      <c r="B213" s="18" t="s">
        <v>270</v>
      </c>
      <c r="C213" s="229" t="str">
        <f>IF(ISBLANK(Raw_Data!C213),"unknown",PROPER(TRIM(CLEAN(Raw_Data!C213))))</f>
        <v>Suresh Kumar</v>
      </c>
      <c r="D213" s="230"/>
      <c r="E213" s="231"/>
      <c r="F213" s="231"/>
      <c r="G213" s="231"/>
      <c r="H213" s="230"/>
      <c r="I213" s="230"/>
      <c r="J213" s="230"/>
      <c r="K213" s="231"/>
      <c r="L213" s="231"/>
      <c r="M213" s="231"/>
      <c r="N213" s="231"/>
      <c r="O213" s="230"/>
      <c r="P213" s="232"/>
      <c r="Q213" s="230"/>
      <c r="R213" s="230"/>
      <c r="S213" s="232"/>
      <c r="T213" s="231"/>
      <c r="U213" s="229"/>
      <c r="V213" s="233"/>
    </row>
    <row r="214" spans="1:22">
      <c r="A214" s="215" t="s">
        <v>1216</v>
      </c>
      <c r="B214" s="14" t="s">
        <v>1033</v>
      </c>
      <c r="C214" s="229" t="str">
        <f>IF(ISBLANK(Raw_Data!C214),"unknown",PROPER(TRIM(CLEAN(Raw_Data!C214))))</f>
        <v>Dinesh K</v>
      </c>
      <c r="D214" s="230"/>
      <c r="E214" s="231"/>
      <c r="F214" s="231"/>
      <c r="G214" s="229"/>
      <c r="H214" s="230"/>
      <c r="I214" s="230"/>
      <c r="J214" s="230"/>
      <c r="K214" s="231"/>
      <c r="L214" s="231"/>
      <c r="M214" s="231"/>
      <c r="N214" s="231"/>
      <c r="O214" s="230"/>
      <c r="P214" s="232"/>
      <c r="Q214" s="230"/>
      <c r="R214" s="230"/>
      <c r="S214" s="232"/>
      <c r="T214" s="231"/>
      <c r="U214" s="229"/>
      <c r="V214" s="234"/>
    </row>
    <row r="215" spans="1:22">
      <c r="A215" s="216" t="s">
        <v>1220</v>
      </c>
      <c r="B215" s="18" t="s">
        <v>1221</v>
      </c>
      <c r="C215" s="229" t="str">
        <f>IF(ISBLANK(Raw_Data!C215),"unknown",PROPER(TRIM(CLEAN(Raw_Data!C215))))</f>
        <v>Sanjay Shah</v>
      </c>
      <c r="D215" s="230"/>
      <c r="E215" s="231"/>
      <c r="F215" s="231"/>
      <c r="G215" s="231"/>
      <c r="H215" s="230"/>
      <c r="I215" s="230"/>
      <c r="J215" s="230"/>
      <c r="K215" s="231"/>
      <c r="L215" s="231"/>
      <c r="M215" s="231"/>
      <c r="N215" s="231"/>
      <c r="O215" s="230"/>
      <c r="P215" s="232"/>
      <c r="Q215" s="230"/>
      <c r="R215" s="230"/>
      <c r="S215" s="232"/>
      <c r="T215" s="231"/>
      <c r="U215" s="229"/>
      <c r="V215" s="234"/>
    </row>
    <row r="216" spans="1:22">
      <c r="A216" s="215" t="s">
        <v>1225</v>
      </c>
      <c r="B216" s="14" t="s">
        <v>1226</v>
      </c>
      <c r="C216" s="229" t="str">
        <f>IF(ISBLANK(Raw_Data!C216),"unknown",PROPER(TRIM(CLEAN(Raw_Data!C216))))</f>
        <v>Geetha Rao</v>
      </c>
      <c r="D216" s="230"/>
      <c r="E216" s="231"/>
      <c r="F216" s="231"/>
      <c r="G216" s="231"/>
      <c r="H216" s="230"/>
      <c r="I216" s="230"/>
      <c r="J216" s="230"/>
      <c r="K216" s="231"/>
      <c r="L216" s="231"/>
      <c r="M216" s="231"/>
      <c r="N216" s="231"/>
      <c r="O216" s="230"/>
      <c r="P216" s="232"/>
      <c r="Q216" s="230"/>
      <c r="R216" s="230"/>
      <c r="S216" s="232"/>
      <c r="T216" s="231"/>
      <c r="U216" s="231"/>
      <c r="V216" s="233"/>
    </row>
    <row r="217" spans="1:22">
      <c r="A217" s="216" t="s">
        <v>1229</v>
      </c>
      <c r="B217" s="18" t="s">
        <v>1230</v>
      </c>
      <c r="C217" s="229" t="str">
        <f>IF(ISBLANK(Raw_Data!C217),"unknown",PROPER(TRIM(CLEAN(Raw_Data!C217))))</f>
        <v>Geetha Rao</v>
      </c>
      <c r="D217" s="230"/>
      <c r="E217" s="231"/>
      <c r="F217" s="231"/>
      <c r="G217" s="231"/>
      <c r="H217" s="230"/>
      <c r="I217" s="230"/>
      <c r="J217" s="230"/>
      <c r="K217" s="231"/>
      <c r="L217" s="231"/>
      <c r="M217" s="231"/>
      <c r="N217" s="231"/>
      <c r="O217" s="230"/>
      <c r="P217" s="232"/>
      <c r="Q217" s="230"/>
      <c r="R217" s="230"/>
      <c r="S217" s="232"/>
      <c r="T217" s="231"/>
      <c r="U217" s="231"/>
      <c r="V217" s="233"/>
    </row>
    <row r="218" spans="1:22">
      <c r="A218" s="215" t="s">
        <v>1233</v>
      </c>
      <c r="B218" s="14" t="s">
        <v>526</v>
      </c>
      <c r="C218" s="229" t="str">
        <f>IF(ISBLANK(Raw_Data!C218),"unknown",PROPER(TRIM(CLEAN(Raw_Data!C218))))</f>
        <v>Suresh Babu</v>
      </c>
      <c r="D218" s="230"/>
      <c r="E218" s="231"/>
      <c r="F218" s="231"/>
      <c r="G218" s="231"/>
      <c r="H218" s="230"/>
      <c r="I218" s="230"/>
      <c r="J218" s="230"/>
      <c r="K218" s="231"/>
      <c r="L218" s="231"/>
      <c r="M218" s="231"/>
      <c r="N218" s="231"/>
      <c r="O218" s="230"/>
      <c r="P218" s="232"/>
      <c r="Q218" s="230"/>
      <c r="R218" s="230"/>
      <c r="S218" s="232"/>
      <c r="T218" s="231"/>
      <c r="U218" s="229"/>
      <c r="V218" s="234"/>
    </row>
    <row r="219" spans="1:22">
      <c r="A219" s="216" t="s">
        <v>1236</v>
      </c>
      <c r="B219" s="18" t="s">
        <v>1237</v>
      </c>
      <c r="C219" s="229" t="str">
        <f>IF(ISBLANK(Raw_Data!C219),"unknown",PROPER(TRIM(CLEAN(Raw_Data!C219))))</f>
        <v>Vijay Patel</v>
      </c>
      <c r="D219" s="230"/>
      <c r="E219" s="231"/>
      <c r="F219" s="231"/>
      <c r="G219" s="231"/>
      <c r="H219" s="230"/>
      <c r="I219" s="230"/>
      <c r="J219" s="230"/>
      <c r="K219" s="231"/>
      <c r="L219" s="231"/>
      <c r="M219" s="231"/>
      <c r="N219" s="231"/>
      <c r="O219" s="235"/>
      <c r="P219" s="232"/>
      <c r="Q219" s="230"/>
      <c r="R219" s="230"/>
      <c r="S219" s="232"/>
      <c r="T219" s="231"/>
      <c r="U219" s="229"/>
      <c r="V219" s="233"/>
    </row>
    <row r="220" spans="1:22">
      <c r="A220" s="215" t="s">
        <v>1240</v>
      </c>
      <c r="B220" s="14" t="s">
        <v>1241</v>
      </c>
      <c r="C220" s="229" t="str">
        <f>IF(ISBLANK(Raw_Data!C220),"unknown",PROPER(TRIM(CLEAN(Raw_Data!C220))))</f>
        <v>Padma Lakshmi</v>
      </c>
      <c r="D220" s="230"/>
      <c r="E220" s="231"/>
      <c r="F220" s="231"/>
      <c r="G220" s="231"/>
      <c r="H220" s="230"/>
      <c r="I220" s="230"/>
      <c r="J220" s="230"/>
      <c r="K220" s="231"/>
      <c r="L220" s="231"/>
      <c r="M220" s="231"/>
      <c r="N220" s="231"/>
      <c r="O220" s="230"/>
      <c r="P220" s="232"/>
      <c r="Q220" s="235"/>
      <c r="R220" s="230"/>
      <c r="S220" s="232"/>
      <c r="T220" s="231"/>
      <c r="U220" s="229"/>
      <c r="V220" s="234"/>
    </row>
    <row r="221" spans="1:22">
      <c r="A221" s="216" t="s">
        <v>1245</v>
      </c>
      <c r="B221" s="18" t="s">
        <v>955</v>
      </c>
      <c r="C221" s="229" t="str">
        <f>IF(ISBLANK(Raw_Data!C221),"unknown",PROPER(TRIM(CLEAN(Raw_Data!C221))))</f>
        <v>Deepika Rao</v>
      </c>
      <c r="D221" s="230"/>
      <c r="E221" s="231"/>
      <c r="F221" s="231"/>
      <c r="G221" s="231"/>
      <c r="H221" s="230"/>
      <c r="I221" s="230"/>
      <c r="J221" s="230"/>
      <c r="K221" s="231"/>
      <c r="L221" s="231"/>
      <c r="M221" s="231"/>
      <c r="N221" s="231"/>
      <c r="O221" s="235"/>
      <c r="P221" s="232"/>
      <c r="Q221" s="230"/>
      <c r="R221" s="230"/>
      <c r="S221" s="236"/>
      <c r="T221" s="231"/>
      <c r="U221" s="231"/>
      <c r="V221" s="233"/>
    </row>
    <row r="222" spans="1:22">
      <c r="A222" s="215" t="s">
        <v>1248</v>
      </c>
      <c r="B222" s="14" t="s">
        <v>192</v>
      </c>
      <c r="C222" s="231" t="str">
        <f>IF(ISBLANK(Raw_Data!C222),"unknown",PROPER(TRIM(CLEAN(Raw_Data!C222))))</f>
        <v>Sanjay Shah</v>
      </c>
      <c r="D222" s="230"/>
      <c r="E222" s="231"/>
      <c r="F222" s="231"/>
      <c r="G222" s="231"/>
      <c r="H222" s="230"/>
      <c r="I222" s="230"/>
      <c r="J222" s="230"/>
      <c r="K222" s="231"/>
      <c r="L222" s="231"/>
      <c r="M222" s="231"/>
      <c r="N222" s="231"/>
      <c r="O222" s="230"/>
      <c r="P222" s="232"/>
      <c r="Q222" s="230"/>
      <c r="R222" s="230"/>
      <c r="S222" s="232"/>
      <c r="T222" s="231"/>
      <c r="U222" s="231"/>
      <c r="V222" s="234"/>
    </row>
    <row r="223" spans="1:22">
      <c r="A223" s="216" t="s">
        <v>1253</v>
      </c>
      <c r="B223" s="18" t="s">
        <v>1254</v>
      </c>
      <c r="C223" s="231" t="str">
        <f>IF(ISBLANK(Raw_Data!C223),"unknown",PROPER(TRIM(CLEAN(Raw_Data!C223))))</f>
        <v>Amit Singh</v>
      </c>
      <c r="D223" s="230"/>
      <c r="E223" s="231"/>
      <c r="F223" s="231"/>
      <c r="G223" s="231"/>
      <c r="H223" s="230"/>
      <c r="I223" s="230"/>
      <c r="J223" s="230"/>
      <c r="K223" s="231"/>
      <c r="L223" s="231"/>
      <c r="M223" s="231"/>
      <c r="N223" s="231"/>
      <c r="O223" s="230"/>
      <c r="P223" s="232"/>
      <c r="Q223" s="230"/>
      <c r="R223" s="230"/>
      <c r="S223" s="232"/>
      <c r="T223" s="231"/>
      <c r="U223" s="229"/>
      <c r="V223" s="234"/>
    </row>
    <row r="224" spans="1:22">
      <c r="A224" s="215" t="s">
        <v>1258</v>
      </c>
      <c r="B224" s="14" t="s">
        <v>1259</v>
      </c>
      <c r="C224" s="231" t="str">
        <f>IF(ISBLANK(Raw_Data!C224),"unknown",PROPER(TRIM(CLEAN(Raw_Data!C224))))</f>
        <v>Pooja Iyer</v>
      </c>
      <c r="D224" s="230"/>
      <c r="E224" s="231"/>
      <c r="F224" s="231"/>
      <c r="G224" s="229"/>
      <c r="H224" s="230"/>
      <c r="I224" s="230"/>
      <c r="J224" s="230"/>
      <c r="K224" s="231"/>
      <c r="L224" s="231"/>
      <c r="M224" s="231"/>
      <c r="N224" s="231"/>
      <c r="O224" s="235"/>
      <c r="P224" s="232"/>
      <c r="Q224" s="230"/>
      <c r="R224" s="230"/>
      <c r="S224" s="232"/>
      <c r="T224" s="231"/>
      <c r="U224" s="231"/>
      <c r="V224" s="233"/>
    </row>
    <row r="225" spans="1:22">
      <c r="A225" s="216" t="s">
        <v>1262</v>
      </c>
      <c r="B225" s="18" t="s">
        <v>1263</v>
      </c>
      <c r="C225" s="229" t="str">
        <f>IF(ISBLANK(Raw_Data!C225),"unknown",PROPER(TRIM(CLEAN(Raw_Data!C225))))</f>
        <v>Arun Sharma</v>
      </c>
      <c r="D225" s="230"/>
      <c r="E225" s="231"/>
      <c r="F225" s="231"/>
      <c r="G225" s="231"/>
      <c r="H225" s="230"/>
      <c r="I225" s="230"/>
      <c r="J225" s="230"/>
      <c r="K225" s="231"/>
      <c r="L225" s="231"/>
      <c r="M225" s="231"/>
      <c r="N225" s="231"/>
      <c r="O225" s="230"/>
      <c r="P225" s="232"/>
      <c r="Q225" s="230"/>
      <c r="R225" s="230"/>
      <c r="S225" s="232"/>
      <c r="T225" s="231"/>
      <c r="U225" s="231"/>
      <c r="V225" s="234"/>
    </row>
    <row r="226" spans="1:22">
      <c r="A226" s="215" t="s">
        <v>1266</v>
      </c>
      <c r="B226" s="14" t="s">
        <v>1267</v>
      </c>
      <c r="C226" s="231" t="str">
        <f>IF(ISBLANK(Raw_Data!C226),"unknown",PROPER(TRIM(CLEAN(Raw_Data!C226))))</f>
        <v>Sita Devi</v>
      </c>
      <c r="D226" s="230"/>
      <c r="E226" s="231"/>
      <c r="F226" s="231"/>
      <c r="G226" s="231"/>
      <c r="H226" s="230"/>
      <c r="I226" s="230"/>
      <c r="J226" s="230"/>
      <c r="K226" s="231"/>
      <c r="L226" s="231"/>
      <c r="M226" s="231"/>
      <c r="N226" s="231"/>
      <c r="O226" s="230"/>
      <c r="P226" s="232"/>
      <c r="Q226" s="230"/>
      <c r="R226" s="230"/>
      <c r="S226" s="232"/>
      <c r="T226" s="231"/>
      <c r="U226" s="231"/>
      <c r="V226" s="233"/>
    </row>
    <row r="227" spans="1:22">
      <c r="A227" s="216" t="s">
        <v>1271</v>
      </c>
      <c r="B227" s="18" t="s">
        <v>167</v>
      </c>
      <c r="C227" s="231" t="str">
        <f>IF(ISBLANK(Raw_Data!C227),"unknown",PROPER(TRIM(CLEAN(Raw_Data!C227))))</f>
        <v>Padma Lakshmi</v>
      </c>
      <c r="D227" s="230"/>
      <c r="E227" s="231"/>
      <c r="F227" s="231"/>
      <c r="G227" s="231"/>
      <c r="H227" s="230"/>
      <c r="I227" s="230"/>
      <c r="J227" s="230"/>
      <c r="K227" s="231"/>
      <c r="L227" s="229"/>
      <c r="M227" s="231"/>
      <c r="N227" s="231"/>
      <c r="O227" s="235"/>
      <c r="P227" s="232"/>
      <c r="Q227" s="230"/>
      <c r="R227" s="230"/>
      <c r="S227" s="232"/>
      <c r="T227" s="231"/>
      <c r="U227" s="229"/>
      <c r="V227" s="234"/>
    </row>
    <row r="228" spans="1:22">
      <c r="A228" s="215" t="s">
        <v>1275</v>
      </c>
      <c r="B228" s="14" t="s">
        <v>1276</v>
      </c>
      <c r="C228" s="231" t="str">
        <f>IF(ISBLANK(Raw_Data!C228),"unknown",PROPER(TRIM(CLEAN(Raw_Data!C228))))</f>
        <v>Rashmi Verma</v>
      </c>
      <c r="D228" s="230"/>
      <c r="E228" s="231"/>
      <c r="F228" s="231"/>
      <c r="G228" s="231"/>
      <c r="H228" s="230"/>
      <c r="I228" s="230"/>
      <c r="J228" s="230"/>
      <c r="K228" s="231"/>
      <c r="L228" s="231"/>
      <c r="M228" s="231"/>
      <c r="N228" s="231"/>
      <c r="O228" s="230"/>
      <c r="P228" s="232"/>
      <c r="Q228" s="230"/>
      <c r="R228" s="230"/>
      <c r="S228" s="232"/>
      <c r="T228" s="231"/>
      <c r="U228" s="231"/>
      <c r="V228" s="234"/>
    </row>
    <row r="229" spans="1:22">
      <c r="A229" s="216" t="s">
        <v>1280</v>
      </c>
      <c r="B229" s="18" t="s">
        <v>1281</v>
      </c>
      <c r="C229" s="231" t="str">
        <f>IF(ISBLANK(Raw_Data!C229),"unknown",PROPER(TRIM(CLEAN(Raw_Data!C229))))</f>
        <v>Deepa Krishnan</v>
      </c>
      <c r="D229" s="230"/>
      <c r="E229" s="231"/>
      <c r="F229" s="229"/>
      <c r="G229" s="231"/>
      <c r="H229" s="230"/>
      <c r="I229" s="230"/>
      <c r="J229" s="230"/>
      <c r="K229" s="231"/>
      <c r="L229" s="229"/>
      <c r="M229" s="231"/>
      <c r="N229" s="231"/>
      <c r="O229" s="230"/>
      <c r="P229" s="232"/>
      <c r="Q229" s="230"/>
      <c r="R229" s="230"/>
      <c r="S229" s="232"/>
      <c r="T229" s="231"/>
      <c r="U229" s="229"/>
      <c r="V229" s="233"/>
    </row>
    <row r="230" spans="1:22">
      <c r="A230" s="215" t="s">
        <v>1283</v>
      </c>
      <c r="B230" s="14" t="s">
        <v>633</v>
      </c>
      <c r="C230" s="229" t="str">
        <f>IF(ISBLANK(Raw_Data!C230),"unknown",PROPER(TRIM(CLEAN(Raw_Data!C230))))</f>
        <v>Nisha Patel</v>
      </c>
      <c r="D230" s="230"/>
      <c r="E230" s="231"/>
      <c r="F230" s="231"/>
      <c r="G230" s="231"/>
      <c r="H230" s="230"/>
      <c r="I230" s="230"/>
      <c r="J230" s="230"/>
      <c r="K230" s="231"/>
      <c r="L230" s="231"/>
      <c r="M230" s="231"/>
      <c r="N230" s="231"/>
      <c r="O230" s="230"/>
      <c r="P230" s="232"/>
      <c r="Q230" s="230"/>
      <c r="R230" s="230"/>
      <c r="S230" s="232"/>
      <c r="T230" s="231"/>
      <c r="U230" s="229"/>
      <c r="V230" s="234"/>
    </row>
    <row r="231" spans="1:22">
      <c r="A231" s="216" t="s">
        <v>1286</v>
      </c>
      <c r="B231" s="18" t="s">
        <v>1287</v>
      </c>
      <c r="C231" s="231" t="str">
        <f>IF(ISBLANK(Raw_Data!C231),"unknown",PROPER(TRIM(CLEAN(Raw_Data!C231))))</f>
        <v>Sanjay Shah</v>
      </c>
      <c r="D231" s="230"/>
      <c r="E231" s="231"/>
      <c r="F231" s="231"/>
      <c r="G231" s="231"/>
      <c r="H231" s="230"/>
      <c r="I231" s="230"/>
      <c r="J231" s="230"/>
      <c r="K231" s="231"/>
      <c r="L231" s="231"/>
      <c r="M231" s="231"/>
      <c r="N231" s="231"/>
      <c r="O231" s="230"/>
      <c r="P231" s="232"/>
      <c r="Q231" s="230"/>
      <c r="R231" s="230"/>
      <c r="S231" s="235"/>
      <c r="T231" s="231"/>
      <c r="U231" s="229"/>
      <c r="V231" s="234"/>
    </row>
    <row r="232" spans="1:22">
      <c r="A232" s="215" t="s">
        <v>1290</v>
      </c>
      <c r="B232" s="14" t="s">
        <v>1291</v>
      </c>
      <c r="C232" s="229" t="str">
        <f>IF(ISBLANK(Raw_Data!C232),"unknown",PROPER(TRIM(CLEAN(Raw_Data!C232))))</f>
        <v>Kiran Kumar</v>
      </c>
      <c r="D232" s="230"/>
      <c r="E232" s="231"/>
      <c r="F232" s="231"/>
      <c r="G232" s="231"/>
      <c r="H232" s="230"/>
      <c r="I232" s="230"/>
      <c r="J232" s="230"/>
      <c r="K232" s="231"/>
      <c r="L232" s="231"/>
      <c r="M232" s="231"/>
      <c r="N232" s="231"/>
      <c r="O232" s="230"/>
      <c r="P232" s="235"/>
      <c r="Q232" s="230"/>
      <c r="R232" s="230"/>
      <c r="S232" s="232"/>
      <c r="T232" s="231"/>
      <c r="U232" s="229"/>
      <c r="V232" s="233"/>
    </row>
    <row r="233" spans="1:22">
      <c r="A233" s="216" t="s">
        <v>1295</v>
      </c>
      <c r="B233" s="18" t="s">
        <v>192</v>
      </c>
      <c r="C233" s="231" t="str">
        <f>IF(ISBLANK(Raw_Data!C233),"unknown",PROPER(TRIM(CLEAN(Raw_Data!C233))))</f>
        <v>Dinesh K</v>
      </c>
      <c r="D233" s="230"/>
      <c r="E233" s="231"/>
      <c r="F233" s="231"/>
      <c r="G233" s="229"/>
      <c r="H233" s="230"/>
      <c r="I233" s="230"/>
      <c r="J233" s="230"/>
      <c r="K233" s="231"/>
      <c r="L233" s="231"/>
      <c r="M233" s="231"/>
      <c r="N233" s="231"/>
      <c r="O233" s="230"/>
      <c r="P233" s="232"/>
      <c r="Q233" s="230"/>
      <c r="R233" s="230"/>
      <c r="S233" s="232"/>
      <c r="T233" s="231"/>
      <c r="U233" s="229"/>
      <c r="V233" s="233"/>
    </row>
    <row r="234" spans="1:22">
      <c r="A234" s="215" t="s">
        <v>1298</v>
      </c>
      <c r="B234" s="14" t="s">
        <v>1299</v>
      </c>
      <c r="C234" s="229" t="str">
        <f>IF(ISBLANK(Raw_Data!C234),"unknown",PROPER(TRIM(CLEAN(Raw_Data!C234))))</f>
        <v>Deepika Rao</v>
      </c>
      <c r="D234" s="230"/>
      <c r="E234" s="231"/>
      <c r="F234" s="231"/>
      <c r="G234" s="231"/>
      <c r="H234" s="230"/>
      <c r="I234" s="230"/>
      <c r="J234" s="230"/>
      <c r="K234" s="231"/>
      <c r="L234" s="231"/>
      <c r="M234" s="231"/>
      <c r="N234" s="231"/>
      <c r="O234" s="230"/>
      <c r="P234" s="232"/>
      <c r="Q234" s="230"/>
      <c r="R234" s="230"/>
      <c r="S234" s="232"/>
      <c r="T234" s="231"/>
      <c r="U234" s="229"/>
      <c r="V234" s="234"/>
    </row>
    <row r="235" spans="1:22">
      <c r="A235" s="216" t="s">
        <v>1302</v>
      </c>
      <c r="B235" s="18" t="s">
        <v>505</v>
      </c>
      <c r="C235" s="231" t="str">
        <f>IF(ISBLANK(Raw_Data!C235),"unknown",PROPER(TRIM(CLEAN(Raw_Data!C235))))</f>
        <v>Ravi Shankar</v>
      </c>
      <c r="D235" s="230"/>
      <c r="E235" s="231"/>
      <c r="F235" s="231"/>
      <c r="G235" s="231"/>
      <c r="H235" s="230"/>
      <c r="I235" s="230"/>
      <c r="J235" s="230"/>
      <c r="K235" s="231"/>
      <c r="L235" s="231"/>
      <c r="M235" s="231"/>
      <c r="N235" s="231"/>
      <c r="O235" s="230"/>
      <c r="P235" s="232"/>
      <c r="Q235" s="230"/>
      <c r="R235" s="230"/>
      <c r="S235" s="232"/>
      <c r="T235" s="231"/>
      <c r="U235" s="229"/>
      <c r="V235" s="233"/>
    </row>
    <row r="236" spans="1:22">
      <c r="A236" s="215" t="s">
        <v>1305</v>
      </c>
      <c r="B236" s="14" t="s">
        <v>1306</v>
      </c>
      <c r="C236" s="229" t="str">
        <f>IF(ISBLANK(Raw_Data!C236),"unknown",PROPER(TRIM(CLEAN(Raw_Data!C236))))</f>
        <v>Lakshmi Devi</v>
      </c>
      <c r="D236" s="230"/>
      <c r="E236" s="231"/>
      <c r="F236" s="231"/>
      <c r="G236" s="229"/>
      <c r="H236" s="230"/>
      <c r="I236" s="230"/>
      <c r="J236" s="230"/>
      <c r="K236" s="231"/>
      <c r="L236" s="231"/>
      <c r="M236" s="231"/>
      <c r="N236" s="231"/>
      <c r="O236" s="230"/>
      <c r="P236" s="232"/>
      <c r="Q236" s="230"/>
      <c r="R236" s="230"/>
      <c r="S236" s="232"/>
      <c r="T236" s="231"/>
      <c r="U236" s="229"/>
      <c r="V236" s="234"/>
    </row>
    <row r="237" spans="1:22">
      <c r="A237" s="216" t="s">
        <v>1310</v>
      </c>
      <c r="B237" s="18" t="s">
        <v>1311</v>
      </c>
      <c r="C237" s="231" t="str">
        <f>IF(ISBLANK(Raw_Data!C237),"unknown",PROPER(TRIM(CLEAN(Raw_Data!C237))))</f>
        <v>Mohan Lal</v>
      </c>
      <c r="D237" s="230"/>
      <c r="E237" s="231"/>
      <c r="F237" s="231"/>
      <c r="G237" s="231"/>
      <c r="H237" s="230"/>
      <c r="I237" s="235"/>
      <c r="J237" s="230"/>
      <c r="K237" s="231"/>
      <c r="L237" s="231"/>
      <c r="M237" s="231"/>
      <c r="N237" s="231"/>
      <c r="O237" s="230"/>
      <c r="P237" s="232"/>
      <c r="Q237" s="230"/>
      <c r="R237" s="230"/>
      <c r="S237" s="232"/>
      <c r="T237" s="231"/>
      <c r="U237" s="229"/>
      <c r="V237" s="233"/>
    </row>
    <row r="238" spans="1:22">
      <c r="A238" s="215" t="s">
        <v>1314</v>
      </c>
      <c r="B238" s="14" t="s">
        <v>1315</v>
      </c>
      <c r="C238" s="229" t="str">
        <f>IF(ISBLANK(Raw_Data!C238),"unknown",PROPER(TRIM(CLEAN(Raw_Data!C238))))</f>
        <v>Vijay Patel</v>
      </c>
      <c r="D238" s="230"/>
      <c r="E238" s="231"/>
      <c r="F238" s="231"/>
      <c r="G238" s="231"/>
      <c r="H238" s="230"/>
      <c r="I238" s="230"/>
      <c r="J238" s="230"/>
      <c r="K238" s="231"/>
      <c r="L238" s="231"/>
      <c r="M238" s="231"/>
      <c r="N238" s="231"/>
      <c r="O238" s="230"/>
      <c r="P238" s="232"/>
      <c r="Q238" s="230"/>
      <c r="R238" s="230"/>
      <c r="S238" s="232"/>
      <c r="T238" s="231"/>
      <c r="U238" s="231"/>
      <c r="V238" s="234"/>
    </row>
    <row r="239" spans="1:22">
      <c r="A239" s="216" t="s">
        <v>1319</v>
      </c>
      <c r="B239" s="18" t="s">
        <v>1320</v>
      </c>
      <c r="C239" s="229" t="str">
        <f>IF(ISBLANK(Raw_Data!C239),"unknown",PROPER(TRIM(CLEAN(Raw_Data!C239))))</f>
        <v>Dinesh K</v>
      </c>
      <c r="D239" s="230"/>
      <c r="E239" s="231"/>
      <c r="F239" s="231"/>
      <c r="G239" s="231"/>
      <c r="H239" s="230"/>
      <c r="I239" s="230"/>
      <c r="J239" s="230"/>
      <c r="K239" s="231"/>
      <c r="L239" s="231"/>
      <c r="M239" s="231"/>
      <c r="N239" s="231"/>
      <c r="O239" s="230"/>
      <c r="P239" s="232"/>
      <c r="Q239" s="230"/>
      <c r="R239" s="230"/>
      <c r="S239" s="232"/>
      <c r="T239" s="231"/>
      <c r="U239" s="231"/>
      <c r="V239" s="233"/>
    </row>
    <row r="240" spans="1:22">
      <c r="A240" s="215" t="s">
        <v>1323</v>
      </c>
      <c r="B240" s="14" t="s">
        <v>1324</v>
      </c>
      <c r="C240" s="229" t="str">
        <f>IF(ISBLANK(Raw_Data!C240),"unknown",PROPER(TRIM(CLEAN(Raw_Data!C240))))</f>
        <v>Lakshmi Devi</v>
      </c>
      <c r="D240" s="230"/>
      <c r="E240" s="231"/>
      <c r="F240" s="231"/>
      <c r="G240" s="231"/>
      <c r="H240" s="230"/>
      <c r="I240" s="230"/>
      <c r="J240" s="230"/>
      <c r="K240" s="231"/>
      <c r="L240" s="231"/>
      <c r="M240" s="231"/>
      <c r="N240" s="231"/>
      <c r="O240" s="230"/>
      <c r="P240" s="232"/>
      <c r="Q240" s="230"/>
      <c r="R240" s="230"/>
      <c r="S240" s="232"/>
      <c r="T240" s="231"/>
      <c r="U240" s="231"/>
      <c r="V240" s="234"/>
    </row>
    <row r="241" spans="1:22">
      <c r="A241" s="216" t="s">
        <v>1327</v>
      </c>
      <c r="B241" s="18" t="s">
        <v>1328</v>
      </c>
      <c r="C241" s="231" t="str">
        <f>IF(ISBLANK(Raw_Data!C241),"unknown",PROPER(TRIM(CLEAN(Raw_Data!C241))))</f>
        <v>Suresh Kumar</v>
      </c>
      <c r="D241" s="230"/>
      <c r="E241" s="231"/>
      <c r="F241" s="231"/>
      <c r="G241" s="229"/>
      <c r="H241" s="230"/>
      <c r="I241" s="230"/>
      <c r="J241" s="230"/>
      <c r="K241" s="231"/>
      <c r="L241" s="231"/>
      <c r="M241" s="231"/>
      <c r="N241" s="231"/>
      <c r="O241" s="230"/>
      <c r="P241" s="232"/>
      <c r="Q241" s="230"/>
      <c r="R241" s="230"/>
      <c r="S241" s="232"/>
      <c r="T241" s="231"/>
      <c r="U241" s="229"/>
      <c r="V241" s="234"/>
    </row>
    <row r="242" spans="1:22">
      <c r="A242" s="215" t="s">
        <v>1332</v>
      </c>
      <c r="B242" s="14" t="s">
        <v>1333</v>
      </c>
      <c r="C242" s="229" t="str">
        <f>IF(ISBLANK(Raw_Data!C242),"unknown",PROPER(TRIM(CLEAN(Raw_Data!C242))))</f>
        <v>Rohit Yadav</v>
      </c>
      <c r="D242" s="230"/>
      <c r="E242" s="231"/>
      <c r="F242" s="231"/>
      <c r="G242" s="231"/>
      <c r="H242" s="230"/>
      <c r="I242" s="230"/>
      <c r="J242" s="230"/>
      <c r="K242" s="231"/>
      <c r="L242" s="231"/>
      <c r="M242" s="231"/>
      <c r="N242" s="231"/>
      <c r="O242" s="230"/>
      <c r="P242" s="232"/>
      <c r="Q242" s="230"/>
      <c r="R242" s="230"/>
      <c r="S242" s="232"/>
      <c r="T242" s="231"/>
      <c r="U242" s="229"/>
      <c r="V242" s="234"/>
    </row>
    <row r="243" spans="1:22">
      <c r="A243" s="216" t="s">
        <v>1336</v>
      </c>
      <c r="B243" s="18" t="s">
        <v>1337</v>
      </c>
      <c r="C243" s="231" t="str">
        <f>IF(ISBLANK(Raw_Data!C243),"unknown",PROPER(TRIM(CLEAN(Raw_Data!C243))))</f>
        <v>Mohan Lal</v>
      </c>
      <c r="D243" s="230"/>
      <c r="E243" s="231"/>
      <c r="F243" s="231"/>
      <c r="G243" s="229"/>
      <c r="H243" s="230"/>
      <c r="I243" s="230"/>
      <c r="J243" s="230"/>
      <c r="K243" s="231"/>
      <c r="L243" s="231"/>
      <c r="M243" s="231"/>
      <c r="N243" s="231"/>
      <c r="O243" s="230"/>
      <c r="P243" s="232"/>
      <c r="Q243" s="230"/>
      <c r="R243" s="230"/>
      <c r="S243" s="232"/>
      <c r="T243" s="231"/>
      <c r="U243" s="229"/>
      <c r="V243" s="233"/>
    </row>
    <row r="244" spans="1:22">
      <c r="A244" s="215" t="s">
        <v>1341</v>
      </c>
      <c r="B244" s="14" t="s">
        <v>1342</v>
      </c>
      <c r="C244" s="231" t="str">
        <f>IF(ISBLANK(Raw_Data!C244),"unknown",PROPER(TRIM(CLEAN(Raw_Data!C244))))</f>
        <v>Sneha Reddy</v>
      </c>
      <c r="D244" s="230"/>
      <c r="E244" s="231"/>
      <c r="F244" s="231"/>
      <c r="G244" s="231"/>
      <c r="H244" s="230"/>
      <c r="I244" s="235"/>
      <c r="J244" s="230"/>
      <c r="K244" s="231"/>
      <c r="L244" s="231"/>
      <c r="M244" s="231"/>
      <c r="N244" s="231"/>
      <c r="O244" s="230"/>
      <c r="P244" s="232"/>
      <c r="Q244" s="230"/>
      <c r="R244" s="230"/>
      <c r="S244" s="232"/>
      <c r="T244" s="231"/>
      <c r="U244" s="231"/>
      <c r="V244" s="234"/>
    </row>
    <row r="245" spans="1:22">
      <c r="A245" s="216" t="s">
        <v>1345</v>
      </c>
      <c r="B245" s="18" t="s">
        <v>1346</v>
      </c>
      <c r="C245" s="231" t="str">
        <f>IF(ISBLANK(Raw_Data!C245),"unknown",PROPER(TRIM(CLEAN(Raw_Data!C245))))</f>
        <v>Meera Nair</v>
      </c>
      <c r="D245" s="230"/>
      <c r="E245" s="231"/>
      <c r="F245" s="231"/>
      <c r="G245" s="231"/>
      <c r="H245" s="230"/>
      <c r="I245" s="230"/>
      <c r="J245" s="230"/>
      <c r="K245" s="231"/>
      <c r="L245" s="231"/>
      <c r="M245" s="231"/>
      <c r="N245" s="231"/>
      <c r="O245" s="230"/>
      <c r="P245" s="232"/>
      <c r="Q245" s="230"/>
      <c r="R245" s="230"/>
      <c r="S245" s="232"/>
      <c r="T245" s="231"/>
      <c r="U245" s="229"/>
      <c r="V245" s="233"/>
    </row>
    <row r="246" spans="1:22">
      <c r="A246" s="215" t="s">
        <v>1350</v>
      </c>
      <c r="B246" s="14" t="s">
        <v>1351</v>
      </c>
      <c r="C246" s="229" t="str">
        <f>IF(ISBLANK(Raw_Data!C246),"unknown",PROPER(TRIM(CLEAN(Raw_Data!C246))))</f>
        <v>Manoj Kumar</v>
      </c>
      <c r="D246" s="230"/>
      <c r="E246" s="231"/>
      <c r="F246" s="231"/>
      <c r="G246" s="231"/>
      <c r="H246" s="230"/>
      <c r="I246" s="230"/>
      <c r="J246" s="230"/>
      <c r="K246" s="231"/>
      <c r="L246" s="231"/>
      <c r="M246" s="231"/>
      <c r="N246" s="231"/>
      <c r="O246" s="230"/>
      <c r="P246" s="232"/>
      <c r="Q246" s="230"/>
      <c r="R246" s="230"/>
      <c r="S246" s="232"/>
      <c r="T246" s="231"/>
      <c r="U246" s="229"/>
      <c r="V246" s="233"/>
    </row>
    <row r="247" spans="1:22">
      <c r="A247" s="215" t="s">
        <v>1354</v>
      </c>
      <c r="B247" s="14" t="s">
        <v>1355</v>
      </c>
      <c r="C247" s="229" t="str">
        <f>IF(ISBLANK(Raw_Data!C247),"unknown",PROPER(TRIM(CLEAN(Raw_Data!C247))))</f>
        <v>Suresh Kumar</v>
      </c>
      <c r="D247" s="230"/>
      <c r="E247" s="231"/>
      <c r="F247" s="231"/>
      <c r="G247" s="231"/>
      <c r="H247" s="230"/>
      <c r="I247" s="230"/>
      <c r="J247" s="230"/>
      <c r="K247" s="231"/>
      <c r="L247" s="231"/>
      <c r="M247" s="231"/>
      <c r="N247" s="231"/>
      <c r="O247" s="230"/>
      <c r="P247" s="232"/>
      <c r="Q247" s="230"/>
      <c r="R247" s="230"/>
      <c r="S247" s="232"/>
      <c r="T247" s="231"/>
      <c r="U247" s="229"/>
      <c r="V247" s="234"/>
    </row>
    <row r="248" spans="1:22">
      <c r="A248" s="216" t="s">
        <v>1358</v>
      </c>
      <c r="B248" s="18" t="s">
        <v>1359</v>
      </c>
      <c r="C248" s="229" t="str">
        <f>IF(ISBLANK(Raw_Data!C248),"unknown",PROPER(TRIM(CLEAN(Raw_Data!C248))))</f>
        <v>Kiran Kumar</v>
      </c>
      <c r="D248" s="230"/>
      <c r="E248" s="231"/>
      <c r="F248" s="231"/>
      <c r="G248" s="231"/>
      <c r="H248" s="230"/>
      <c r="I248" s="230"/>
      <c r="J248" s="230"/>
      <c r="K248" s="231"/>
      <c r="L248" s="231"/>
      <c r="M248" s="231"/>
      <c r="N248" s="231"/>
      <c r="O248" s="230"/>
      <c r="P248" s="232"/>
      <c r="Q248" s="230"/>
      <c r="R248" s="230"/>
      <c r="S248" s="232"/>
      <c r="T248" s="231"/>
      <c r="U248" s="229"/>
      <c r="V248" s="234"/>
    </row>
    <row r="249" spans="1:22">
      <c r="A249" s="215" t="s">
        <v>1362</v>
      </c>
      <c r="B249" s="14" t="s">
        <v>1363</v>
      </c>
      <c r="C249" s="229" t="str">
        <f>IF(ISBLANK(Raw_Data!C249),"unknown",PROPER(TRIM(CLEAN(Raw_Data!C249))))</f>
        <v>Anita Verma</v>
      </c>
      <c r="D249" s="230"/>
      <c r="E249" s="231"/>
      <c r="F249" s="231"/>
      <c r="G249" s="231"/>
      <c r="H249" s="230"/>
      <c r="I249" s="230"/>
      <c r="J249" s="230"/>
      <c r="K249" s="231"/>
      <c r="L249" s="231"/>
      <c r="M249" s="231"/>
      <c r="N249" s="231"/>
      <c r="O249" s="230"/>
      <c r="P249" s="232"/>
      <c r="Q249" s="230"/>
      <c r="R249" s="230"/>
      <c r="S249" s="232"/>
      <c r="T249" s="231"/>
      <c r="U249" s="229"/>
      <c r="V249" s="234"/>
    </row>
    <row r="250" spans="1:22">
      <c r="A250" s="216" t="s">
        <v>1367</v>
      </c>
      <c r="B250" s="18" t="s">
        <v>1368</v>
      </c>
      <c r="C250" s="231" t="str">
        <f>IF(ISBLANK(Raw_Data!C250),"unknown",PROPER(TRIM(CLEAN(Raw_Data!C250))))</f>
        <v>Swati Gupta</v>
      </c>
      <c r="D250" s="230"/>
      <c r="E250" s="231"/>
      <c r="F250" s="229"/>
      <c r="G250" s="231"/>
      <c r="H250" s="230"/>
      <c r="I250" s="230"/>
      <c r="J250" s="230"/>
      <c r="K250" s="231"/>
      <c r="L250" s="231"/>
      <c r="M250" s="231"/>
      <c r="N250" s="231"/>
      <c r="O250" s="230"/>
      <c r="P250" s="232"/>
      <c r="Q250" s="230"/>
      <c r="R250" s="230"/>
      <c r="S250" s="232"/>
      <c r="T250" s="231"/>
      <c r="U250" s="231"/>
      <c r="V250" s="233"/>
    </row>
    <row r="251" spans="1:22">
      <c r="A251" s="215" t="s">
        <v>1370</v>
      </c>
      <c r="B251" s="14" t="s">
        <v>1371</v>
      </c>
      <c r="C251" s="229" t="str">
        <f>IF(ISBLANK(Raw_Data!C251),"unknown",PROPER(TRIM(CLEAN(Raw_Data!C251))))</f>
        <v>Vijay Patel</v>
      </c>
      <c r="D251" s="230"/>
      <c r="E251" s="231"/>
      <c r="F251" s="231"/>
      <c r="G251" s="231"/>
      <c r="H251" s="230"/>
      <c r="I251" s="230"/>
      <c r="J251" s="230"/>
      <c r="K251" s="231"/>
      <c r="L251" s="231"/>
      <c r="M251" s="231"/>
      <c r="N251" s="231"/>
      <c r="O251" s="235"/>
      <c r="P251" s="232"/>
      <c r="Q251" s="230"/>
      <c r="R251" s="230"/>
      <c r="S251" s="236"/>
      <c r="T251" s="231"/>
      <c r="U251" s="231"/>
      <c r="V251" s="233"/>
    </row>
    <row r="252" spans="1:22">
      <c r="A252" s="216" t="s">
        <v>1374</v>
      </c>
      <c r="B252" s="18" t="s">
        <v>550</v>
      </c>
      <c r="C252" s="231" t="str">
        <f>IF(ISBLANK(Raw_Data!C252),"unknown",PROPER(TRIM(CLEAN(Raw_Data!C252))))</f>
        <v>Sanjay Shah</v>
      </c>
      <c r="D252" s="230"/>
      <c r="E252" s="231"/>
      <c r="F252" s="231"/>
      <c r="G252" s="231"/>
      <c r="H252" s="230"/>
      <c r="I252" s="230"/>
      <c r="J252" s="230"/>
      <c r="K252" s="231"/>
      <c r="L252" s="231"/>
      <c r="M252" s="231"/>
      <c r="N252" s="231"/>
      <c r="O252" s="230"/>
      <c r="P252" s="232"/>
      <c r="Q252" s="230"/>
      <c r="R252" s="230"/>
      <c r="S252" s="232"/>
      <c r="T252" s="231"/>
      <c r="U252" s="229"/>
      <c r="V252" s="234"/>
    </row>
    <row r="253" spans="1:22">
      <c r="A253" s="215" t="s">
        <v>1377</v>
      </c>
      <c r="B253" s="14" t="s">
        <v>1378</v>
      </c>
      <c r="C253" s="229" t="str">
        <f>IF(ISBLANK(Raw_Data!C253),"unknown",PROPER(TRIM(CLEAN(Raw_Data!C253))))</f>
        <v>Rekha Pandey</v>
      </c>
      <c r="D253" s="230"/>
      <c r="E253" s="231"/>
      <c r="F253" s="231"/>
      <c r="G253" s="231"/>
      <c r="H253" s="230"/>
      <c r="I253" s="230"/>
      <c r="J253" s="230"/>
      <c r="K253" s="231"/>
      <c r="L253" s="231"/>
      <c r="M253" s="231"/>
      <c r="N253" s="231"/>
      <c r="O253" s="230"/>
      <c r="P253" s="232"/>
      <c r="Q253" s="230"/>
      <c r="R253" s="230"/>
      <c r="S253" s="232"/>
      <c r="T253" s="231"/>
      <c r="U253" s="229"/>
      <c r="V253" s="234"/>
    </row>
    <row r="254" spans="1:22">
      <c r="A254" s="216" t="s">
        <v>1381</v>
      </c>
      <c r="B254" s="18" t="s">
        <v>1382</v>
      </c>
      <c r="C254" s="231" t="str">
        <f>IF(ISBLANK(Raw_Data!C254),"unknown",PROPER(TRIM(CLEAN(Raw_Data!C254))))</f>
        <v>Pooja Iyer</v>
      </c>
      <c r="D254" s="230"/>
      <c r="E254" s="231"/>
      <c r="F254" s="231"/>
      <c r="G254" s="231"/>
      <c r="H254" s="230"/>
      <c r="I254" s="230"/>
      <c r="J254" s="230"/>
      <c r="K254" s="231"/>
      <c r="L254" s="231"/>
      <c r="M254" s="231"/>
      <c r="N254" s="231"/>
      <c r="O254" s="230"/>
      <c r="P254" s="232"/>
      <c r="Q254" s="230"/>
      <c r="R254" s="230"/>
      <c r="S254" s="232"/>
      <c r="T254" s="231"/>
      <c r="U254" s="229"/>
      <c r="V254" s="234"/>
    </row>
    <row r="255" spans="1:22">
      <c r="A255" s="216" t="s">
        <v>1385</v>
      </c>
      <c r="B255" s="18" t="s">
        <v>1386</v>
      </c>
      <c r="C255" s="231" t="str">
        <f>IF(ISBLANK(Raw_Data!C255),"unknown",PROPER(TRIM(CLEAN(Raw_Data!C255))))</f>
        <v>Saranya M</v>
      </c>
      <c r="D255" s="230"/>
      <c r="E255" s="231"/>
      <c r="F255" s="231"/>
      <c r="G255" s="231"/>
      <c r="H255" s="230"/>
      <c r="I255" s="230"/>
      <c r="J255" s="230"/>
      <c r="K255" s="231"/>
      <c r="L255" s="231"/>
      <c r="M255" s="231"/>
      <c r="N255" s="231"/>
      <c r="O255" s="230"/>
      <c r="P255" s="232"/>
      <c r="Q255" s="230"/>
      <c r="R255" s="230"/>
      <c r="S255" s="232"/>
      <c r="T255" s="231"/>
      <c r="U255" s="229"/>
      <c r="V255" s="233"/>
    </row>
    <row r="256" spans="1:22">
      <c r="A256" s="216" t="s">
        <v>1390</v>
      </c>
      <c r="B256" s="18" t="s">
        <v>1391</v>
      </c>
      <c r="C256" s="231" t="str">
        <f>IF(ISBLANK(Raw_Data!C256),"unknown",PROPER(TRIM(CLEAN(Raw_Data!C256))))</f>
        <v>Ravi Shankar</v>
      </c>
      <c r="D256" s="230"/>
      <c r="E256" s="231"/>
      <c r="F256" s="231"/>
      <c r="G256" s="229"/>
      <c r="H256" s="230"/>
      <c r="I256" s="230"/>
      <c r="J256" s="230"/>
      <c r="K256" s="231"/>
      <c r="L256" s="231"/>
      <c r="M256" s="231"/>
      <c r="N256" s="231"/>
      <c r="O256" s="230"/>
      <c r="P256" s="232"/>
      <c r="Q256" s="230"/>
      <c r="R256" s="230"/>
      <c r="S256" s="232"/>
      <c r="T256" s="231"/>
      <c r="U256" s="229"/>
      <c r="V256" s="234"/>
    </row>
    <row r="257" spans="1:22">
      <c r="A257" s="215" t="s">
        <v>1394</v>
      </c>
      <c r="B257" s="14" t="s">
        <v>1395</v>
      </c>
      <c r="C257" s="229" t="str">
        <f>IF(ISBLANK(Raw_Data!C257),"unknown",PROPER(TRIM(CLEAN(Raw_Data!C257))))</f>
        <v>Rahul Gupta</v>
      </c>
      <c r="D257" s="230"/>
      <c r="E257" s="231"/>
      <c r="F257" s="231"/>
      <c r="G257" s="229"/>
      <c r="H257" s="230"/>
      <c r="I257" s="230"/>
      <c r="J257" s="230"/>
      <c r="K257" s="231"/>
      <c r="L257" s="231"/>
      <c r="M257" s="231"/>
      <c r="N257" s="231"/>
      <c r="O257" s="230"/>
      <c r="P257" s="232"/>
      <c r="Q257" s="230"/>
      <c r="R257" s="230"/>
      <c r="S257" s="232"/>
      <c r="T257" s="231"/>
      <c r="U257" s="229"/>
      <c r="V257" s="233"/>
    </row>
    <row r="258" spans="1:22">
      <c r="A258" s="215" t="s">
        <v>1398</v>
      </c>
      <c r="B258" s="14" t="s">
        <v>1399</v>
      </c>
      <c r="C258" s="229" t="str">
        <f>IF(ISBLANK(Raw_Data!C258),"unknown",PROPER(TRIM(CLEAN(Raw_Data!C258))))</f>
        <v>Anita Verma</v>
      </c>
      <c r="D258" s="230"/>
      <c r="E258" s="231"/>
      <c r="F258" s="231"/>
      <c r="G258" s="231"/>
      <c r="H258" s="230"/>
      <c r="I258" s="230"/>
      <c r="J258" s="230"/>
      <c r="K258" s="231"/>
      <c r="L258" s="231"/>
      <c r="M258" s="231"/>
      <c r="N258" s="231"/>
      <c r="O258" s="235"/>
      <c r="P258" s="232"/>
      <c r="Q258" s="230"/>
      <c r="R258" s="230"/>
      <c r="S258" s="232"/>
      <c r="T258" s="231"/>
      <c r="U258" s="229"/>
      <c r="V258" s="233"/>
    </row>
    <row r="259" spans="1:22">
      <c r="A259" s="216" t="s">
        <v>1402</v>
      </c>
      <c r="B259" s="18" t="s">
        <v>284</v>
      </c>
      <c r="C259" s="229" t="str">
        <f>IF(ISBLANK(Raw_Data!C259),"unknown",PROPER(TRIM(CLEAN(Raw_Data!C259))))</f>
        <v>Prasad P</v>
      </c>
      <c r="D259" s="230"/>
      <c r="E259" s="231"/>
      <c r="F259" s="231"/>
      <c r="G259" s="231"/>
      <c r="H259" s="230"/>
      <c r="I259" s="230"/>
      <c r="J259" s="230"/>
      <c r="K259" s="231"/>
      <c r="L259" s="231"/>
      <c r="M259" s="231"/>
      <c r="N259" s="231"/>
      <c r="O259" s="230"/>
      <c r="P259" s="232"/>
      <c r="Q259" s="230"/>
      <c r="R259" s="230"/>
      <c r="S259" s="232"/>
      <c r="T259" s="231"/>
      <c r="U259" s="231"/>
      <c r="V259" s="233"/>
    </row>
    <row r="260" spans="1:22">
      <c r="A260" s="215" t="s">
        <v>1405</v>
      </c>
      <c r="B260" s="14" t="s">
        <v>1406</v>
      </c>
      <c r="C260" s="229" t="str">
        <f>IF(ISBLANK(Raw_Data!C260),"unknown",PROPER(TRIM(CLEAN(Raw_Data!C260))))</f>
        <v>Ravi Shankar</v>
      </c>
      <c r="D260" s="230"/>
      <c r="E260" s="231"/>
      <c r="F260" s="231"/>
      <c r="G260" s="231"/>
      <c r="H260" s="230"/>
      <c r="I260" s="230"/>
      <c r="J260" s="230"/>
      <c r="K260" s="231"/>
      <c r="L260" s="231"/>
      <c r="M260" s="231"/>
      <c r="N260" s="231"/>
      <c r="O260" s="230"/>
      <c r="P260" s="232"/>
      <c r="Q260" s="230"/>
      <c r="R260" s="230"/>
      <c r="S260" s="232"/>
      <c r="T260" s="231"/>
      <c r="U260" s="229"/>
      <c r="V260" s="233"/>
    </row>
    <row r="261" spans="1:22">
      <c r="A261" s="216" t="s">
        <v>1409</v>
      </c>
      <c r="B261" s="18" t="s">
        <v>711</v>
      </c>
      <c r="C261" s="229" t="str">
        <f>IF(ISBLANK(Raw_Data!C261),"unknown",PROPER(TRIM(CLEAN(Raw_Data!C261))))</f>
        <v>Suresh Kumar</v>
      </c>
      <c r="D261" s="230"/>
      <c r="E261" s="231"/>
      <c r="F261" s="229"/>
      <c r="G261" s="229"/>
      <c r="H261" s="230"/>
      <c r="I261" s="230"/>
      <c r="J261" s="230"/>
      <c r="K261" s="231"/>
      <c r="L261" s="231"/>
      <c r="M261" s="231"/>
      <c r="N261" s="231"/>
      <c r="O261" s="230"/>
      <c r="P261" s="232"/>
      <c r="Q261" s="230"/>
      <c r="R261" s="230"/>
      <c r="S261" s="232"/>
      <c r="T261" s="231"/>
      <c r="U261" s="231"/>
      <c r="V261" s="234"/>
    </row>
    <row r="262" spans="1:22">
      <c r="A262" s="215" t="s">
        <v>1411</v>
      </c>
      <c r="B262" s="14" t="s">
        <v>1412</v>
      </c>
      <c r="C262" s="229" t="str">
        <f>IF(ISBLANK(Raw_Data!C262),"unknown",PROPER(TRIM(CLEAN(Raw_Data!C262))))</f>
        <v>Arjun Mehta</v>
      </c>
      <c r="D262" s="230"/>
      <c r="E262" s="231"/>
      <c r="F262" s="231"/>
      <c r="G262" s="231"/>
      <c r="H262" s="230"/>
      <c r="I262" s="230"/>
      <c r="J262" s="230"/>
      <c r="K262" s="231"/>
      <c r="L262" s="231"/>
      <c r="M262" s="231"/>
      <c r="N262" s="231"/>
      <c r="O262" s="230"/>
      <c r="P262" s="232"/>
      <c r="Q262" s="230"/>
      <c r="R262" s="230"/>
      <c r="S262" s="232"/>
      <c r="T262" s="231"/>
      <c r="U262" s="229"/>
      <c r="V262" s="234"/>
    </row>
    <row r="263" spans="1:22">
      <c r="A263" s="216" t="s">
        <v>1415</v>
      </c>
      <c r="B263" s="18" t="s">
        <v>1359</v>
      </c>
      <c r="C263" s="231" t="str">
        <f>IF(ISBLANK(Raw_Data!C263),"unknown",PROPER(TRIM(CLEAN(Raw_Data!C263))))</f>
        <v>Sneha Reddy</v>
      </c>
      <c r="D263" s="230"/>
      <c r="E263" s="231"/>
      <c r="F263" s="231"/>
      <c r="G263" s="231"/>
      <c r="H263" s="230"/>
      <c r="I263" s="230"/>
      <c r="J263" s="230"/>
      <c r="K263" s="231"/>
      <c r="L263" s="231"/>
      <c r="M263" s="231"/>
      <c r="N263" s="231"/>
      <c r="O263" s="230"/>
      <c r="P263" s="232"/>
      <c r="Q263" s="230"/>
      <c r="R263" s="230"/>
      <c r="S263" s="232"/>
      <c r="T263" s="231"/>
      <c r="U263" s="229"/>
      <c r="V263" s="234"/>
    </row>
    <row r="264" spans="1:22">
      <c r="A264" s="215" t="s">
        <v>1418</v>
      </c>
      <c r="B264" s="14" t="s">
        <v>1419</v>
      </c>
      <c r="C264" s="229" t="str">
        <f>IF(ISBLANK(Raw_Data!C264),"unknown",PROPER(TRIM(CLEAN(Raw_Data!C264))))</f>
        <v>Pooja Iyer</v>
      </c>
      <c r="D264" s="230"/>
      <c r="E264" s="231"/>
      <c r="F264" s="231"/>
      <c r="G264" s="229"/>
      <c r="H264" s="230"/>
      <c r="I264" s="230"/>
      <c r="J264" s="230"/>
      <c r="K264" s="231"/>
      <c r="L264" s="231"/>
      <c r="M264" s="231"/>
      <c r="N264" s="231"/>
      <c r="O264" s="230"/>
      <c r="P264" s="232"/>
      <c r="Q264" s="230"/>
      <c r="R264" s="230"/>
      <c r="S264" s="235"/>
      <c r="T264" s="231"/>
      <c r="U264" s="229"/>
      <c r="V264" s="234"/>
    </row>
    <row r="265" spans="1:22">
      <c r="A265" s="216" t="s">
        <v>1422</v>
      </c>
      <c r="B265" s="18" t="s">
        <v>1423</v>
      </c>
      <c r="C265" s="231" t="str">
        <f>IF(ISBLANK(Raw_Data!C265),"unknown",PROPER(TRIM(CLEAN(Raw_Data!C265))))</f>
        <v>Preethi S</v>
      </c>
      <c r="D265" s="230"/>
      <c r="E265" s="231"/>
      <c r="F265" s="231"/>
      <c r="G265" s="231"/>
      <c r="H265" s="230"/>
      <c r="I265" s="230"/>
      <c r="J265" s="230"/>
      <c r="K265" s="231"/>
      <c r="L265" s="231"/>
      <c r="M265" s="231"/>
      <c r="N265" s="231"/>
      <c r="O265" s="230"/>
      <c r="P265" s="232"/>
      <c r="Q265" s="230"/>
      <c r="R265" s="230"/>
      <c r="S265" s="232"/>
      <c r="T265" s="231"/>
      <c r="U265" s="231"/>
      <c r="V265" s="233"/>
    </row>
    <row r="266" spans="1:22">
      <c r="A266" s="215" t="s">
        <v>1426</v>
      </c>
      <c r="B266" s="14" t="s">
        <v>1427</v>
      </c>
      <c r="C266" s="229" t="str">
        <f>IF(ISBLANK(Raw_Data!C266),"unknown",PROPER(TRIM(CLEAN(Raw_Data!C266))))</f>
        <v>Sita Devi</v>
      </c>
      <c r="D266" s="230"/>
      <c r="E266" s="231"/>
      <c r="F266" s="231"/>
      <c r="G266" s="231"/>
      <c r="H266" s="230"/>
      <c r="I266" s="230"/>
      <c r="J266" s="230"/>
      <c r="K266" s="231"/>
      <c r="L266" s="231"/>
      <c r="M266" s="231"/>
      <c r="N266" s="231"/>
      <c r="O266" s="230"/>
      <c r="P266" s="232"/>
      <c r="Q266" s="230"/>
      <c r="R266" s="230"/>
      <c r="S266" s="232"/>
      <c r="T266" s="231"/>
      <c r="U266" s="231"/>
      <c r="V266" s="234"/>
    </row>
    <row r="267" spans="1:22">
      <c r="A267" s="216" t="s">
        <v>1430</v>
      </c>
      <c r="B267" s="18" t="s">
        <v>1431</v>
      </c>
      <c r="C267" s="231" t="str">
        <f>IF(ISBLANK(Raw_Data!C267),"unknown",PROPER(TRIM(CLEAN(Raw_Data!C267))))</f>
        <v>Divya Nair</v>
      </c>
      <c r="D267" s="230"/>
      <c r="E267" s="231"/>
      <c r="F267" s="231"/>
      <c r="G267" s="229"/>
      <c r="H267" s="230"/>
      <c r="I267" s="230"/>
      <c r="J267" s="230"/>
      <c r="K267" s="231"/>
      <c r="L267" s="231"/>
      <c r="M267" s="231"/>
      <c r="N267" s="231"/>
      <c r="O267" s="230"/>
      <c r="P267" s="232"/>
      <c r="Q267" s="230"/>
      <c r="R267" s="230"/>
      <c r="S267" s="232"/>
      <c r="T267" s="231"/>
      <c r="U267" s="231"/>
      <c r="V267" s="233"/>
    </row>
    <row r="268" spans="1:22">
      <c r="A268" s="215" t="s">
        <v>1434</v>
      </c>
      <c r="B268" s="14" t="s">
        <v>1435</v>
      </c>
      <c r="C268" s="229" t="str">
        <f>IF(ISBLANK(Raw_Data!C268),"unknown",PROPER(TRIM(CLEAN(Raw_Data!C268))))</f>
        <v>Nisha Patel</v>
      </c>
      <c r="D268" s="230"/>
      <c r="E268" s="231"/>
      <c r="F268" s="231"/>
      <c r="G268" s="231"/>
      <c r="H268" s="230"/>
      <c r="I268" s="230"/>
      <c r="J268" s="230"/>
      <c r="K268" s="231"/>
      <c r="L268" s="231"/>
      <c r="M268" s="231"/>
      <c r="N268" s="231"/>
      <c r="O268" s="235"/>
      <c r="P268" s="232"/>
      <c r="Q268" s="230"/>
      <c r="R268" s="230"/>
      <c r="S268" s="236"/>
      <c r="T268" s="231"/>
      <c r="U268" s="231"/>
      <c r="V268" s="233"/>
    </row>
    <row r="269" spans="1:22">
      <c r="A269" s="216" t="s">
        <v>1438</v>
      </c>
      <c r="B269" s="18" t="s">
        <v>186</v>
      </c>
      <c r="C269" s="231" t="str">
        <f>IF(ISBLANK(Raw_Data!C269),"unknown",PROPER(TRIM(CLEAN(Raw_Data!C269))))</f>
        <v>Rohit Yadav</v>
      </c>
      <c r="D269" s="230"/>
      <c r="E269" s="231"/>
      <c r="F269" s="231"/>
      <c r="G269" s="231"/>
      <c r="H269" s="230"/>
      <c r="I269" s="230"/>
      <c r="J269" s="230"/>
      <c r="K269" s="231"/>
      <c r="L269" s="229"/>
      <c r="M269" s="231"/>
      <c r="N269" s="231"/>
      <c r="O269" s="230"/>
      <c r="P269" s="235"/>
      <c r="Q269" s="230"/>
      <c r="R269" s="230"/>
      <c r="S269" s="232"/>
      <c r="T269" s="231"/>
      <c r="U269" s="229"/>
      <c r="V269" s="234"/>
    </row>
    <row r="270" spans="1:22">
      <c r="A270" s="216" t="s">
        <v>1442</v>
      </c>
      <c r="B270" s="18" t="s">
        <v>1443</v>
      </c>
      <c r="C270" s="229" t="str">
        <f>IF(ISBLANK(Raw_Data!C270),"unknown",PROPER(TRIM(CLEAN(Raw_Data!C270))))</f>
        <v>Anita Verma</v>
      </c>
      <c r="D270" s="230"/>
      <c r="E270" s="231"/>
      <c r="F270" s="231"/>
      <c r="G270" s="229"/>
      <c r="H270" s="230"/>
      <c r="I270" s="230"/>
      <c r="J270" s="230"/>
      <c r="K270" s="231"/>
      <c r="L270" s="231"/>
      <c r="M270" s="231"/>
      <c r="N270" s="231"/>
      <c r="O270" s="230"/>
      <c r="P270" s="232"/>
      <c r="Q270" s="230"/>
      <c r="R270" s="230"/>
      <c r="S270" s="232"/>
      <c r="T270" s="231"/>
      <c r="U270" s="229"/>
      <c r="V270" s="234"/>
    </row>
    <row r="271" spans="1:22">
      <c r="A271" s="215" t="s">
        <v>1446</v>
      </c>
      <c r="B271" s="14" t="s">
        <v>457</v>
      </c>
      <c r="C271" s="231" t="str">
        <f>IF(ISBLANK(Raw_Data!C271),"unknown",PROPER(TRIM(CLEAN(Raw_Data!C271))))</f>
        <v>Anita Verma</v>
      </c>
      <c r="D271" s="230"/>
      <c r="E271" s="231"/>
      <c r="F271" s="231"/>
      <c r="G271" s="229"/>
      <c r="H271" s="230"/>
      <c r="I271" s="230"/>
      <c r="J271" s="230"/>
      <c r="K271" s="231"/>
      <c r="L271" s="231"/>
      <c r="M271" s="231"/>
      <c r="N271" s="231"/>
      <c r="O271" s="230"/>
      <c r="P271" s="232"/>
      <c r="Q271" s="230"/>
      <c r="R271" s="230"/>
      <c r="S271" s="232"/>
      <c r="T271" s="231"/>
      <c r="U271" s="229"/>
      <c r="V271" s="233"/>
    </row>
    <row r="272" spans="1:22">
      <c r="A272" s="216" t="s">
        <v>1450</v>
      </c>
      <c r="B272" s="18" t="s">
        <v>1451</v>
      </c>
      <c r="C272" s="229" t="str">
        <f>IF(ISBLANK(Raw_Data!C272),"unknown",PROPER(TRIM(CLEAN(Raw_Data!C272))))</f>
        <v>Suresh Kumar</v>
      </c>
      <c r="D272" s="230"/>
      <c r="E272" s="231"/>
      <c r="F272" s="231"/>
      <c r="G272" s="231"/>
      <c r="H272" s="230"/>
      <c r="I272" s="230"/>
      <c r="J272" s="230"/>
      <c r="K272" s="231"/>
      <c r="L272" s="231"/>
      <c r="M272" s="231"/>
      <c r="N272" s="231"/>
      <c r="O272" s="230"/>
      <c r="P272" s="232"/>
      <c r="Q272" s="230"/>
      <c r="R272" s="230"/>
      <c r="S272" s="232"/>
      <c r="T272" s="231"/>
      <c r="U272" s="231"/>
      <c r="V272" s="234"/>
    </row>
    <row r="273" spans="1:22">
      <c r="A273" s="215" t="s">
        <v>1454</v>
      </c>
      <c r="B273" s="14" t="s">
        <v>1455</v>
      </c>
      <c r="C273" s="229" t="str">
        <f>IF(ISBLANK(Raw_Data!C273),"unknown",PROPER(TRIM(CLEAN(Raw_Data!C273))))</f>
        <v>Lakshmi Devi</v>
      </c>
      <c r="D273" s="230"/>
      <c r="E273" s="231"/>
      <c r="F273" s="231"/>
      <c r="G273" s="231"/>
      <c r="H273" s="230"/>
      <c r="I273" s="230"/>
      <c r="J273" s="230"/>
      <c r="K273" s="231"/>
      <c r="L273" s="231"/>
      <c r="M273" s="231"/>
      <c r="N273" s="231"/>
      <c r="O273" s="230"/>
      <c r="P273" s="232"/>
      <c r="Q273" s="230"/>
      <c r="R273" s="230"/>
      <c r="S273" s="232"/>
      <c r="T273" s="231"/>
      <c r="U273" s="229"/>
      <c r="V273" s="233"/>
    </row>
    <row r="274" spans="1:22">
      <c r="A274" s="216" t="s">
        <v>1459</v>
      </c>
      <c r="B274" s="18" t="s">
        <v>1460</v>
      </c>
      <c r="C274" s="231" t="str">
        <f>IF(ISBLANK(Raw_Data!C274),"unknown",PROPER(TRIM(CLEAN(Raw_Data!C274))))</f>
        <v>Kavitha N</v>
      </c>
      <c r="D274" s="230"/>
      <c r="E274" s="231"/>
      <c r="F274" s="231"/>
      <c r="G274" s="231"/>
      <c r="H274" s="230"/>
      <c r="I274" s="230"/>
      <c r="J274" s="230"/>
      <c r="K274" s="231"/>
      <c r="L274" s="231"/>
      <c r="M274" s="231"/>
      <c r="N274" s="231"/>
      <c r="O274" s="230"/>
      <c r="P274" s="232"/>
      <c r="Q274" s="230"/>
      <c r="R274" s="230"/>
      <c r="S274" s="232"/>
      <c r="T274" s="231"/>
      <c r="U274" s="231"/>
      <c r="V274" s="233"/>
    </row>
    <row r="275" spans="1:22">
      <c r="A275" s="215" t="s">
        <v>1463</v>
      </c>
      <c r="B275" s="14" t="s">
        <v>1464</v>
      </c>
      <c r="C275" s="229" t="str">
        <f>IF(ISBLANK(Raw_Data!C275),"unknown",PROPER(TRIM(CLEAN(Raw_Data!C275))))</f>
        <v>Suresh Kumar</v>
      </c>
      <c r="D275" s="230"/>
      <c r="E275" s="231"/>
      <c r="F275" s="231"/>
      <c r="G275" s="231"/>
      <c r="H275" s="230"/>
      <c r="I275" s="230"/>
      <c r="J275" s="230"/>
      <c r="K275" s="231"/>
      <c r="L275" s="231"/>
      <c r="M275" s="231"/>
      <c r="N275" s="231"/>
      <c r="O275" s="230"/>
      <c r="P275" s="232"/>
      <c r="Q275" s="230"/>
      <c r="R275" s="230"/>
      <c r="S275" s="232"/>
      <c r="T275" s="231"/>
      <c r="U275" s="231"/>
      <c r="V275" s="234"/>
    </row>
    <row r="276" spans="1:22">
      <c r="A276" s="216" t="s">
        <v>1467</v>
      </c>
      <c r="B276" s="18" t="s">
        <v>889</v>
      </c>
      <c r="C276" s="231" t="str">
        <f>IF(ISBLANK(Raw_Data!C276),"unknown",PROPER(TRIM(CLEAN(Raw_Data!C276))))</f>
        <v>Sneha Reddy</v>
      </c>
      <c r="D276" s="230"/>
      <c r="E276" s="231"/>
      <c r="F276" s="231"/>
      <c r="G276" s="231"/>
      <c r="H276" s="230"/>
      <c r="I276" s="230"/>
      <c r="J276" s="230"/>
      <c r="K276" s="231"/>
      <c r="L276" s="231"/>
      <c r="M276" s="231"/>
      <c r="N276" s="231"/>
      <c r="O276" s="230"/>
      <c r="P276" s="232"/>
      <c r="Q276" s="230"/>
      <c r="R276" s="230"/>
      <c r="S276" s="232"/>
      <c r="T276" s="231"/>
      <c r="U276" s="229"/>
      <c r="V276" s="233"/>
    </row>
    <row r="277" spans="1:22">
      <c r="A277" s="215" t="s">
        <v>1470</v>
      </c>
      <c r="B277" s="14" t="s">
        <v>906</v>
      </c>
      <c r="C277" s="229" t="str">
        <f>IF(ISBLANK(Raw_Data!C277),"unknown",PROPER(TRIM(CLEAN(Raw_Data!C277))))</f>
        <v>Sanjay Shah</v>
      </c>
      <c r="D277" s="230"/>
      <c r="E277" s="231"/>
      <c r="F277" s="229"/>
      <c r="G277" s="231"/>
      <c r="H277" s="230"/>
      <c r="I277" s="230"/>
      <c r="J277" s="230"/>
      <c r="K277" s="231"/>
      <c r="L277" s="231"/>
      <c r="M277" s="231"/>
      <c r="N277" s="231"/>
      <c r="O277" s="230"/>
      <c r="P277" s="232"/>
      <c r="Q277" s="230"/>
      <c r="R277" s="230"/>
      <c r="S277" s="232"/>
      <c r="T277" s="231"/>
      <c r="U277" s="231"/>
      <c r="V277" s="234"/>
    </row>
    <row r="278" spans="1:22">
      <c r="A278" s="216" t="s">
        <v>1472</v>
      </c>
      <c r="B278" s="18" t="s">
        <v>696</v>
      </c>
      <c r="C278" s="231" t="str">
        <f>IF(ISBLANK(Raw_Data!C278),"unknown",PROPER(TRIM(CLEAN(Raw_Data!C278))))</f>
        <v>Swati Gupta</v>
      </c>
      <c r="D278" s="230"/>
      <c r="E278" s="231"/>
      <c r="F278" s="231"/>
      <c r="G278" s="231"/>
      <c r="H278" s="230"/>
      <c r="I278" s="230"/>
      <c r="J278" s="230"/>
      <c r="K278" s="231"/>
      <c r="L278" s="231"/>
      <c r="M278" s="231"/>
      <c r="N278" s="231"/>
      <c r="O278" s="230"/>
      <c r="P278" s="232"/>
      <c r="Q278" s="230"/>
      <c r="R278" s="230"/>
      <c r="S278" s="232"/>
      <c r="T278" s="231"/>
      <c r="U278" s="231"/>
      <c r="V278" s="233"/>
    </row>
    <row r="279" spans="1:22">
      <c r="A279" s="215" t="s">
        <v>1475</v>
      </c>
      <c r="B279" s="14" t="s">
        <v>1476</v>
      </c>
      <c r="C279" s="229" t="str">
        <f>IF(ISBLANK(Raw_Data!C279),"unknown",PROPER(TRIM(CLEAN(Raw_Data!C279))))</f>
        <v>Swati Gupta</v>
      </c>
      <c r="D279" s="230"/>
      <c r="E279" s="231"/>
      <c r="F279" s="231"/>
      <c r="G279" s="231"/>
      <c r="H279" s="230"/>
      <c r="I279" s="230"/>
      <c r="J279" s="230"/>
      <c r="K279" s="231"/>
      <c r="L279" s="231"/>
      <c r="M279" s="231"/>
      <c r="N279" s="231"/>
      <c r="O279" s="230"/>
      <c r="P279" s="235"/>
      <c r="Q279" s="230"/>
      <c r="R279" s="230"/>
      <c r="S279" s="232"/>
      <c r="T279" s="231"/>
      <c r="U279" s="231"/>
      <c r="V279" s="234"/>
    </row>
    <row r="280" spans="1:22">
      <c r="A280" s="216" t="s">
        <v>1480</v>
      </c>
      <c r="B280" s="18" t="s">
        <v>1481</v>
      </c>
      <c r="C280" s="231" t="str">
        <f>IF(ISBLANK(Raw_Data!C280),"unknown",PROPER(TRIM(CLEAN(Raw_Data!C280))))</f>
        <v>Sita Devi</v>
      </c>
      <c r="D280" s="230"/>
      <c r="E280" s="231"/>
      <c r="F280" s="231"/>
      <c r="G280" s="229"/>
      <c r="H280" s="230"/>
      <c r="I280" s="230"/>
      <c r="J280" s="230"/>
      <c r="K280" s="231"/>
      <c r="L280" s="229"/>
      <c r="M280" s="231"/>
      <c r="N280" s="231"/>
      <c r="O280" s="230"/>
      <c r="P280" s="235"/>
      <c r="Q280" s="230"/>
      <c r="R280" s="230"/>
      <c r="S280" s="232"/>
      <c r="T280" s="231"/>
      <c r="U280" s="229"/>
      <c r="V280" s="234"/>
    </row>
    <row r="281" spans="1:22">
      <c r="A281" s="215" t="s">
        <v>1485</v>
      </c>
      <c r="B281" s="14" t="s">
        <v>1486</v>
      </c>
      <c r="C281" s="229" t="str">
        <f>IF(ISBLANK(Raw_Data!C281),"unknown",PROPER(TRIM(CLEAN(Raw_Data!C281))))</f>
        <v>Kavya Rao</v>
      </c>
      <c r="D281" s="230"/>
      <c r="E281" s="231"/>
      <c r="F281" s="231"/>
      <c r="G281" s="229"/>
      <c r="H281" s="230"/>
      <c r="I281" s="230"/>
      <c r="J281" s="230"/>
      <c r="K281" s="231"/>
      <c r="L281" s="231"/>
      <c r="M281" s="231"/>
      <c r="N281" s="231"/>
      <c r="O281" s="230"/>
      <c r="P281" s="232"/>
      <c r="Q281" s="230"/>
      <c r="R281" s="230"/>
      <c r="S281" s="232"/>
      <c r="T281" s="231"/>
      <c r="U281" s="231"/>
      <c r="V281" s="234"/>
    </row>
    <row r="282" spans="1:22">
      <c r="A282" s="216" t="s">
        <v>1489</v>
      </c>
      <c r="B282" s="18" t="s">
        <v>1490</v>
      </c>
      <c r="C282" s="229" t="str">
        <f>IF(ISBLANK(Raw_Data!C282),"unknown",PROPER(TRIM(CLEAN(Raw_Data!C282))))</f>
        <v>Sneha Reddy</v>
      </c>
      <c r="D282" s="230"/>
      <c r="E282" s="231"/>
      <c r="F282" s="231"/>
      <c r="G282" s="231"/>
      <c r="H282" s="230"/>
      <c r="I282" s="230"/>
      <c r="J282" s="230"/>
      <c r="K282" s="231"/>
      <c r="L282" s="231"/>
      <c r="M282" s="231"/>
      <c r="N282" s="231"/>
      <c r="O282" s="230"/>
      <c r="P282" s="232"/>
      <c r="Q282" s="230"/>
      <c r="R282" s="230"/>
      <c r="S282" s="232"/>
      <c r="T282" s="231"/>
      <c r="U282" s="231"/>
      <c r="V282" s="233"/>
    </row>
    <row r="283" spans="1:22">
      <c r="A283" s="215" t="s">
        <v>1492</v>
      </c>
      <c r="B283" s="14" t="s">
        <v>1493</v>
      </c>
      <c r="C283" s="229" t="str">
        <f>IF(ISBLANK(Raw_Data!C283),"unknown",PROPER(TRIM(CLEAN(Raw_Data!C283))))</f>
        <v>Vijay Patel</v>
      </c>
      <c r="D283" s="230"/>
      <c r="E283" s="231"/>
      <c r="F283" s="231"/>
      <c r="G283" s="231"/>
      <c r="H283" s="230"/>
      <c r="I283" s="230"/>
      <c r="J283" s="230"/>
      <c r="K283" s="231"/>
      <c r="L283" s="231"/>
      <c r="M283" s="231"/>
      <c r="N283" s="231"/>
      <c r="O283" s="230"/>
      <c r="P283" s="232"/>
      <c r="Q283" s="230"/>
      <c r="R283" s="230"/>
      <c r="S283" s="232"/>
      <c r="T283" s="231"/>
      <c r="U283" s="231"/>
      <c r="V283" s="234"/>
    </row>
    <row r="284" spans="1:22">
      <c r="A284" s="216" t="s">
        <v>1496</v>
      </c>
      <c r="B284" s="18" t="s">
        <v>371</v>
      </c>
      <c r="C284" s="229" t="str">
        <f>IF(ISBLANK(Raw_Data!C284),"unknown",PROPER(TRIM(CLEAN(Raw_Data!C284))))</f>
        <v>Deepa Krishnan</v>
      </c>
      <c r="D284" s="230"/>
      <c r="E284" s="231"/>
      <c r="F284" s="231"/>
      <c r="G284" s="231"/>
      <c r="H284" s="230"/>
      <c r="I284" s="230"/>
      <c r="J284" s="230"/>
      <c r="K284" s="231"/>
      <c r="L284" s="231"/>
      <c r="M284" s="231"/>
      <c r="N284" s="231"/>
      <c r="O284" s="230"/>
      <c r="P284" s="232"/>
      <c r="Q284" s="230"/>
      <c r="R284" s="230"/>
      <c r="S284" s="232"/>
      <c r="T284" s="231"/>
      <c r="U284" s="229"/>
      <c r="V284" s="234"/>
    </row>
    <row r="285" spans="1:22">
      <c r="A285" s="215" t="s">
        <v>1499</v>
      </c>
      <c r="B285" s="14" t="s">
        <v>1299</v>
      </c>
      <c r="C285" s="229" t="str">
        <f>IF(ISBLANK(Raw_Data!C285),"unknown",PROPER(TRIM(CLEAN(Raw_Data!C285))))</f>
        <v>Kavya Rao</v>
      </c>
      <c r="D285" s="230"/>
      <c r="E285" s="231"/>
      <c r="F285" s="231"/>
      <c r="G285" s="229"/>
      <c r="H285" s="230"/>
      <c r="I285" s="230"/>
      <c r="J285" s="230"/>
      <c r="K285" s="231"/>
      <c r="L285" s="231"/>
      <c r="M285" s="231"/>
      <c r="N285" s="231"/>
      <c r="O285" s="230"/>
      <c r="P285" s="232"/>
      <c r="Q285" s="230"/>
      <c r="R285" s="230"/>
      <c r="S285" s="232"/>
      <c r="T285" s="231"/>
      <c r="U285" s="231"/>
      <c r="V285" s="233"/>
    </row>
    <row r="286" spans="1:22">
      <c r="A286" s="216" t="s">
        <v>1502</v>
      </c>
      <c r="B286" s="18" t="s">
        <v>1503</v>
      </c>
      <c r="C286" s="229" t="str">
        <f>IF(ISBLANK(Raw_Data!C286),"unknown",PROPER(TRIM(CLEAN(Raw_Data!C286))))</f>
        <v>Sneha Reddy</v>
      </c>
      <c r="D286" s="230"/>
      <c r="E286" s="231"/>
      <c r="F286" s="231"/>
      <c r="G286" s="231"/>
      <c r="H286" s="230"/>
      <c r="I286" s="230"/>
      <c r="J286" s="230"/>
      <c r="K286" s="231"/>
      <c r="L286" s="231"/>
      <c r="M286" s="231"/>
      <c r="N286" s="231"/>
      <c r="O286" s="230"/>
      <c r="P286" s="232"/>
      <c r="Q286" s="230"/>
      <c r="R286" s="230"/>
      <c r="S286" s="232"/>
      <c r="T286" s="231"/>
      <c r="U286" s="229"/>
      <c r="V286" s="234"/>
    </row>
    <row r="287" spans="1:22">
      <c r="A287" s="215" t="s">
        <v>1506</v>
      </c>
      <c r="B287" s="14" t="s">
        <v>1507</v>
      </c>
      <c r="C287" s="229" t="str">
        <f>IF(ISBLANK(Raw_Data!C287),"unknown",PROPER(TRIM(CLEAN(Raw_Data!C287))))</f>
        <v>Divya Nair</v>
      </c>
      <c r="D287" s="230"/>
      <c r="E287" s="231"/>
      <c r="F287" s="231"/>
      <c r="G287" s="231"/>
      <c r="H287" s="230"/>
      <c r="I287" s="235"/>
      <c r="J287" s="230"/>
      <c r="K287" s="231"/>
      <c r="L287" s="231"/>
      <c r="M287" s="231"/>
      <c r="N287" s="231"/>
      <c r="O287" s="230"/>
      <c r="P287" s="232"/>
      <c r="Q287" s="230"/>
      <c r="R287" s="230"/>
      <c r="S287" s="232"/>
      <c r="T287" s="231"/>
      <c r="U287" s="229"/>
      <c r="V287" s="233"/>
    </row>
    <row r="288" spans="1:22">
      <c r="A288" s="216" t="s">
        <v>1510</v>
      </c>
      <c r="B288" s="18" t="s">
        <v>671</v>
      </c>
      <c r="C288" s="231" t="str">
        <f>IF(ISBLANK(Raw_Data!C288),"unknown",PROPER(TRIM(CLEAN(Raw_Data!C288))))</f>
        <v>Sanjay Shah</v>
      </c>
      <c r="D288" s="230"/>
      <c r="E288" s="231"/>
      <c r="F288" s="231"/>
      <c r="G288" s="231"/>
      <c r="H288" s="230"/>
      <c r="I288" s="230"/>
      <c r="J288" s="230"/>
      <c r="K288" s="231"/>
      <c r="L288" s="231"/>
      <c r="M288" s="231"/>
      <c r="N288" s="231"/>
      <c r="O288" s="230"/>
      <c r="P288" s="232"/>
      <c r="Q288" s="230"/>
      <c r="R288" s="230"/>
      <c r="S288" s="232"/>
      <c r="T288" s="231"/>
      <c r="U288" s="229"/>
      <c r="V288" s="233"/>
    </row>
    <row r="289" spans="1:22">
      <c r="A289" s="215" t="s">
        <v>1514</v>
      </c>
      <c r="B289" s="14" t="s">
        <v>1515</v>
      </c>
      <c r="C289" s="229" t="str">
        <f>IF(ISBLANK(Raw_Data!C289),"unknown",PROPER(TRIM(CLEAN(Raw_Data!C289))))</f>
        <v>unknown</v>
      </c>
      <c r="D289" s="230"/>
      <c r="E289" s="231"/>
      <c r="F289" s="231"/>
      <c r="G289" s="231"/>
      <c r="H289" s="230"/>
      <c r="I289" s="230"/>
      <c r="J289" s="230"/>
      <c r="K289" s="231"/>
      <c r="L289" s="231"/>
      <c r="M289" s="231"/>
      <c r="N289" s="231"/>
      <c r="O289" s="230"/>
      <c r="P289" s="232"/>
      <c r="Q289" s="230"/>
      <c r="R289" s="230"/>
      <c r="S289" s="232"/>
      <c r="T289" s="231"/>
      <c r="U289" s="229"/>
      <c r="V289" s="233"/>
    </row>
    <row r="290" spans="1:22">
      <c r="A290" s="216" t="s">
        <v>1518</v>
      </c>
      <c r="B290" s="18" t="s">
        <v>1519</v>
      </c>
      <c r="C290" s="229" t="str">
        <f>IF(ISBLANK(Raw_Data!C290),"unknown",PROPER(TRIM(CLEAN(Raw_Data!C290))))</f>
        <v>Kavya Rao</v>
      </c>
      <c r="D290" s="230"/>
      <c r="E290" s="231"/>
      <c r="F290" s="231"/>
      <c r="G290" s="231"/>
      <c r="H290" s="230"/>
      <c r="I290" s="230"/>
      <c r="J290" s="230"/>
      <c r="K290" s="231"/>
      <c r="L290" s="231"/>
      <c r="M290" s="231"/>
      <c r="N290" s="231"/>
      <c r="O290" s="230"/>
      <c r="P290" s="232"/>
      <c r="Q290" s="230"/>
      <c r="R290" s="230"/>
      <c r="S290" s="232"/>
      <c r="T290" s="231"/>
      <c r="U290" s="229"/>
      <c r="V290" s="234"/>
    </row>
    <row r="291" spans="1:22">
      <c r="A291" s="215" t="s">
        <v>1523</v>
      </c>
      <c r="B291" s="14" t="s">
        <v>1524</v>
      </c>
      <c r="C291" s="231" t="str">
        <f>IF(ISBLANK(Raw_Data!C291),"unknown",PROPER(TRIM(CLEAN(Raw_Data!C291))))</f>
        <v>Rashmi Verma</v>
      </c>
      <c r="D291" s="230"/>
      <c r="E291" s="231"/>
      <c r="F291" s="231"/>
      <c r="G291" s="231"/>
      <c r="H291" s="230"/>
      <c r="I291" s="230"/>
      <c r="J291" s="230"/>
      <c r="K291" s="231"/>
      <c r="L291" s="231"/>
      <c r="M291" s="231"/>
      <c r="N291" s="231"/>
      <c r="O291" s="230"/>
      <c r="P291" s="232"/>
      <c r="Q291" s="230"/>
      <c r="R291" s="230"/>
      <c r="S291" s="232"/>
      <c r="T291" s="231"/>
      <c r="U291" s="231"/>
      <c r="V291" s="233"/>
    </row>
    <row r="292" spans="1:22">
      <c r="A292" s="216" t="s">
        <v>1527</v>
      </c>
      <c r="B292" s="18" t="s">
        <v>1528</v>
      </c>
      <c r="C292" s="231" t="str">
        <f>IF(ISBLANK(Raw_Data!C292),"unknown",PROPER(TRIM(CLEAN(Raw_Data!C292))))</f>
        <v>Nisha Patel</v>
      </c>
      <c r="D292" s="230"/>
      <c r="E292" s="231"/>
      <c r="F292" s="231"/>
      <c r="G292" s="231"/>
      <c r="H292" s="230"/>
      <c r="I292" s="230"/>
      <c r="J292" s="230"/>
      <c r="K292" s="231"/>
      <c r="L292" s="231"/>
      <c r="M292" s="231"/>
      <c r="N292" s="231"/>
      <c r="O292" s="235"/>
      <c r="P292" s="232"/>
      <c r="Q292" s="230"/>
      <c r="R292" s="230"/>
      <c r="S292" s="232"/>
      <c r="T292" s="231"/>
      <c r="U292" s="229"/>
      <c r="V292" s="233"/>
    </row>
    <row r="293" spans="1:22">
      <c r="A293" s="215" t="s">
        <v>1531</v>
      </c>
      <c r="B293" s="14" t="s">
        <v>1460</v>
      </c>
      <c r="C293" s="229" t="str">
        <f>IF(ISBLANK(Raw_Data!C293),"unknown",PROPER(TRIM(CLEAN(Raw_Data!C293))))</f>
        <v>Rahul Gupta</v>
      </c>
      <c r="D293" s="230"/>
      <c r="E293" s="231"/>
      <c r="F293" s="231"/>
      <c r="G293" s="231"/>
      <c r="H293" s="230"/>
      <c r="I293" s="230"/>
      <c r="J293" s="230"/>
      <c r="K293" s="231"/>
      <c r="L293" s="231"/>
      <c r="M293" s="231"/>
      <c r="N293" s="231"/>
      <c r="O293" s="230"/>
      <c r="P293" s="232"/>
      <c r="Q293" s="230"/>
      <c r="R293" s="230"/>
      <c r="S293" s="232"/>
      <c r="T293" s="231"/>
      <c r="U293" s="231"/>
      <c r="V293" s="233"/>
    </row>
    <row r="294" spans="1:22">
      <c r="A294" s="216" t="s">
        <v>1534</v>
      </c>
      <c r="B294" s="18" t="s">
        <v>1535</v>
      </c>
      <c r="C294" s="229" t="str">
        <f>IF(ISBLANK(Raw_Data!C294),"unknown",PROPER(TRIM(CLEAN(Raw_Data!C294))))</f>
        <v>Deepa Krishnan</v>
      </c>
      <c r="D294" s="230"/>
      <c r="E294" s="231"/>
      <c r="F294" s="231"/>
      <c r="G294" s="231"/>
      <c r="H294" s="230"/>
      <c r="I294" s="230"/>
      <c r="J294" s="230"/>
      <c r="K294" s="231"/>
      <c r="L294" s="231"/>
      <c r="M294" s="231"/>
      <c r="N294" s="231"/>
      <c r="O294" s="230"/>
      <c r="P294" s="232"/>
      <c r="Q294" s="230"/>
      <c r="R294" s="230"/>
      <c r="S294" s="232"/>
      <c r="T294" s="231"/>
      <c r="U294" s="229"/>
      <c r="V294" s="233"/>
    </row>
    <row r="295" spans="1:22">
      <c r="A295" s="215" t="s">
        <v>1538</v>
      </c>
      <c r="B295" s="14" t="s">
        <v>1539</v>
      </c>
      <c r="C295" s="229" t="str">
        <f>IF(ISBLANK(Raw_Data!C295),"unknown",PROPER(TRIM(CLEAN(Raw_Data!C295))))</f>
        <v>Suresh Kumar</v>
      </c>
      <c r="D295" s="230"/>
      <c r="E295" s="231"/>
      <c r="F295" s="231"/>
      <c r="G295" s="231"/>
      <c r="H295" s="230"/>
      <c r="I295" s="230"/>
      <c r="J295" s="230"/>
      <c r="K295" s="231"/>
      <c r="L295" s="231"/>
      <c r="M295" s="231"/>
      <c r="N295" s="231"/>
      <c r="O295" s="230"/>
      <c r="P295" s="232"/>
      <c r="Q295" s="230"/>
      <c r="R295" s="230"/>
      <c r="S295" s="235"/>
      <c r="T295" s="231"/>
      <c r="U295" s="229"/>
      <c r="V295" s="234"/>
    </row>
    <row r="296" spans="1:22">
      <c r="A296" s="216" t="s">
        <v>1542</v>
      </c>
      <c r="B296" s="18" t="s">
        <v>1543</v>
      </c>
      <c r="C296" s="229" t="str">
        <f>IF(ISBLANK(Raw_Data!C296),"unknown",PROPER(TRIM(CLEAN(Raw_Data!C296))))</f>
        <v>Amit Singh</v>
      </c>
      <c r="D296" s="230"/>
      <c r="E296" s="231"/>
      <c r="F296" s="231"/>
      <c r="G296" s="231"/>
      <c r="H296" s="230"/>
      <c r="I296" s="230"/>
      <c r="J296" s="230"/>
      <c r="K296" s="231"/>
      <c r="L296" s="231"/>
      <c r="M296" s="231"/>
      <c r="N296" s="231"/>
      <c r="O296" s="230"/>
      <c r="P296" s="232"/>
      <c r="Q296" s="230"/>
      <c r="R296" s="230"/>
      <c r="S296" s="232"/>
      <c r="T296" s="231"/>
      <c r="U296" s="231"/>
      <c r="V296" s="234"/>
    </row>
    <row r="297" spans="1:22">
      <c r="A297" s="216" t="s">
        <v>1546</v>
      </c>
      <c r="B297" s="18" t="s">
        <v>1547</v>
      </c>
      <c r="C297" s="231" t="str">
        <f>IF(ISBLANK(Raw_Data!C297),"unknown",PROPER(TRIM(CLEAN(Raw_Data!C297))))</f>
        <v>Venkat Reddy</v>
      </c>
      <c r="D297" s="230"/>
      <c r="E297" s="231"/>
      <c r="F297" s="231"/>
      <c r="G297" s="229"/>
      <c r="H297" s="230"/>
      <c r="I297" s="230"/>
      <c r="J297" s="230"/>
      <c r="K297" s="231"/>
      <c r="L297" s="231"/>
      <c r="M297" s="231"/>
      <c r="N297" s="231"/>
      <c r="O297" s="230"/>
      <c r="P297" s="232"/>
      <c r="Q297" s="230"/>
      <c r="R297" s="230"/>
      <c r="S297" s="232"/>
      <c r="T297" s="231"/>
      <c r="U297" s="229"/>
      <c r="V297" s="234"/>
    </row>
    <row r="298" spans="1:22">
      <c r="A298" s="215" t="s">
        <v>1550</v>
      </c>
      <c r="B298" s="14" t="s">
        <v>1551</v>
      </c>
      <c r="C298" s="231" t="str">
        <f>IF(ISBLANK(Raw_Data!C298),"unknown",PROPER(TRIM(CLEAN(Raw_Data!C298))))</f>
        <v>unknown</v>
      </c>
      <c r="D298" s="230"/>
      <c r="E298" s="231"/>
      <c r="F298" s="231"/>
      <c r="G298" s="231"/>
      <c r="H298" s="230"/>
      <c r="I298" s="230"/>
      <c r="J298" s="230"/>
      <c r="K298" s="231"/>
      <c r="L298" s="231"/>
      <c r="M298" s="231"/>
      <c r="N298" s="231"/>
      <c r="O298" s="230"/>
      <c r="P298" s="232"/>
      <c r="Q298" s="230"/>
      <c r="R298" s="230"/>
      <c r="S298" s="232"/>
      <c r="T298" s="231"/>
      <c r="U298" s="231"/>
      <c r="V298" s="233"/>
    </row>
    <row r="299" spans="1:22">
      <c r="A299" s="216" t="s">
        <v>1554</v>
      </c>
      <c r="B299" s="18" t="s">
        <v>1036</v>
      </c>
      <c r="C299" s="231" t="str">
        <f>IF(ISBLANK(Raw_Data!C299),"unknown",PROPER(TRIM(CLEAN(Raw_Data!C299))))</f>
        <v>Saranya M</v>
      </c>
      <c r="D299" s="230"/>
      <c r="E299" s="231"/>
      <c r="F299" s="231"/>
      <c r="G299" s="229"/>
      <c r="H299" s="230"/>
      <c r="I299" s="230"/>
      <c r="J299" s="230"/>
      <c r="K299" s="231"/>
      <c r="L299" s="231"/>
      <c r="M299" s="231"/>
      <c r="N299" s="231"/>
      <c r="O299" s="230"/>
      <c r="P299" s="232"/>
      <c r="Q299" s="230"/>
      <c r="R299" s="230"/>
      <c r="S299" s="232"/>
      <c r="T299" s="231"/>
      <c r="U299" s="229"/>
      <c r="V299" s="234"/>
    </row>
    <row r="300" spans="1:22">
      <c r="A300" s="215" t="s">
        <v>1557</v>
      </c>
      <c r="B300" s="14" t="s">
        <v>1558</v>
      </c>
      <c r="C300" s="229" t="str">
        <f>IF(ISBLANK(Raw_Data!C300),"unknown",PROPER(TRIM(CLEAN(Raw_Data!C300))))</f>
        <v>Rekha Pandey</v>
      </c>
      <c r="D300" s="230"/>
      <c r="E300" s="231"/>
      <c r="F300" s="231"/>
      <c r="G300" s="231"/>
      <c r="H300" s="230"/>
      <c r="I300" s="230"/>
      <c r="J300" s="230"/>
      <c r="K300" s="231"/>
      <c r="L300" s="231"/>
      <c r="M300" s="231"/>
      <c r="N300" s="231"/>
      <c r="O300" s="230"/>
      <c r="P300" s="232"/>
      <c r="Q300" s="230"/>
      <c r="R300" s="230"/>
      <c r="S300" s="232"/>
      <c r="T300" s="231"/>
      <c r="U300" s="231"/>
      <c r="V300" s="234"/>
    </row>
    <row r="301" spans="1:22">
      <c r="A301" s="216" t="s">
        <v>1561</v>
      </c>
      <c r="B301" s="18" t="s">
        <v>284</v>
      </c>
      <c r="C301" s="229" t="str">
        <f>IF(ISBLANK(Raw_Data!C301),"unknown",PROPER(TRIM(CLEAN(Raw_Data!C301))))</f>
        <v>Deepa Krishnan</v>
      </c>
      <c r="D301" s="230"/>
      <c r="E301" s="231"/>
      <c r="F301" s="231"/>
      <c r="G301" s="231"/>
      <c r="H301" s="230"/>
      <c r="I301" s="230"/>
      <c r="J301" s="230"/>
      <c r="K301" s="231"/>
      <c r="L301" s="231"/>
      <c r="M301" s="231"/>
      <c r="N301" s="231"/>
      <c r="O301" s="230"/>
      <c r="P301" s="232"/>
      <c r="Q301" s="230"/>
      <c r="R301" s="230"/>
      <c r="S301" s="232"/>
      <c r="T301" s="231"/>
      <c r="U301" s="229"/>
      <c r="V301" s="233"/>
    </row>
    <row r="302" spans="1:22">
      <c r="A302" s="215" t="s">
        <v>1564</v>
      </c>
      <c r="B302" s="14" t="s">
        <v>1565</v>
      </c>
      <c r="C302" s="231" t="str">
        <f>IF(ISBLANK(Raw_Data!C302),"unknown",PROPER(TRIM(CLEAN(Raw_Data!C302))))</f>
        <v>Kavitha N</v>
      </c>
      <c r="D302" s="230"/>
      <c r="E302" s="231"/>
      <c r="F302" s="231"/>
      <c r="G302" s="231"/>
      <c r="H302" s="230"/>
      <c r="I302" s="230"/>
      <c r="J302" s="230"/>
      <c r="K302" s="231"/>
      <c r="L302" s="231"/>
      <c r="M302" s="231"/>
      <c r="N302" s="231"/>
      <c r="O302" s="230"/>
      <c r="P302" s="232"/>
      <c r="Q302" s="230"/>
      <c r="R302" s="230"/>
      <c r="S302" s="232"/>
      <c r="T302" s="231"/>
      <c r="U302" s="229"/>
      <c r="V302" s="234"/>
    </row>
    <row r="303" spans="1:22">
      <c r="A303" s="216" t="s">
        <v>1568</v>
      </c>
      <c r="B303" s="18" t="s">
        <v>768</v>
      </c>
      <c r="C303" s="229" t="str">
        <f>IF(ISBLANK(Raw_Data!C303),"unknown",PROPER(TRIM(CLEAN(Raw_Data!C303))))</f>
        <v>Deepa Krishnan</v>
      </c>
      <c r="D303" s="230"/>
      <c r="E303" s="231"/>
      <c r="F303" s="231"/>
      <c r="G303" s="231"/>
      <c r="H303" s="230"/>
      <c r="I303" s="230"/>
      <c r="J303" s="230"/>
      <c r="K303" s="231"/>
      <c r="L303" s="231"/>
      <c r="M303" s="231"/>
      <c r="N303" s="231"/>
      <c r="O303" s="230"/>
      <c r="P303" s="232"/>
      <c r="Q303" s="230"/>
      <c r="R303" s="230"/>
      <c r="S303" s="232"/>
      <c r="T303" s="231"/>
      <c r="U303" s="231"/>
      <c r="V303" s="234"/>
    </row>
    <row r="304" spans="1:22">
      <c r="A304" s="215" t="s">
        <v>1572</v>
      </c>
      <c r="B304" s="14" t="s">
        <v>1573</v>
      </c>
      <c r="C304" s="229" t="str">
        <f>IF(ISBLANK(Raw_Data!C304),"unknown",PROPER(TRIM(CLEAN(Raw_Data!C304))))</f>
        <v>Rashmi Verma</v>
      </c>
      <c r="D304" s="230"/>
      <c r="E304" s="231"/>
      <c r="F304" s="231"/>
      <c r="G304" s="231"/>
      <c r="H304" s="230"/>
      <c r="I304" s="230"/>
      <c r="J304" s="230"/>
      <c r="K304" s="231"/>
      <c r="L304" s="231"/>
      <c r="M304" s="231"/>
      <c r="N304" s="231"/>
      <c r="O304" s="230"/>
      <c r="P304" s="232"/>
      <c r="Q304" s="230"/>
      <c r="R304" s="230"/>
      <c r="S304" s="232"/>
      <c r="T304" s="231"/>
      <c r="U304" s="231"/>
      <c r="V304" s="234"/>
    </row>
    <row r="305" spans="1:22">
      <c r="A305" s="216" t="s">
        <v>1576</v>
      </c>
      <c r="B305" s="18" t="s">
        <v>1577</v>
      </c>
      <c r="C305" s="229" t="str">
        <f>IF(ISBLANK(Raw_Data!C305),"unknown",PROPER(TRIM(CLEAN(Raw_Data!C305))))</f>
        <v>Aarav Shah</v>
      </c>
      <c r="D305" s="230"/>
      <c r="E305" s="231"/>
      <c r="F305" s="231"/>
      <c r="G305" s="231"/>
      <c r="H305" s="230"/>
      <c r="I305" s="230"/>
      <c r="J305" s="230"/>
      <c r="K305" s="231"/>
      <c r="L305" s="231"/>
      <c r="M305" s="231"/>
      <c r="N305" s="231"/>
      <c r="O305" s="235"/>
      <c r="P305" s="232"/>
      <c r="Q305" s="230"/>
      <c r="R305" s="230"/>
      <c r="S305" s="232"/>
      <c r="T305" s="231"/>
      <c r="U305" s="229"/>
      <c r="V305" s="234"/>
    </row>
    <row r="306" spans="1:22">
      <c r="A306" s="215" t="s">
        <v>1581</v>
      </c>
      <c r="B306" s="14" t="s">
        <v>1582</v>
      </c>
      <c r="C306" s="229" t="str">
        <f>IF(ISBLANK(Raw_Data!C306),"unknown",PROPER(TRIM(CLEAN(Raw_Data!C306))))</f>
        <v>Pooja Iyer</v>
      </c>
      <c r="D306" s="230"/>
      <c r="E306" s="231"/>
      <c r="F306" s="231"/>
      <c r="G306" s="231"/>
      <c r="H306" s="230"/>
      <c r="I306" s="230"/>
      <c r="J306" s="230"/>
      <c r="K306" s="231"/>
      <c r="L306" s="231"/>
      <c r="M306" s="231"/>
      <c r="N306" s="231"/>
      <c r="O306" s="230"/>
      <c r="P306" s="232"/>
      <c r="Q306" s="230"/>
      <c r="R306" s="230"/>
      <c r="S306" s="232"/>
      <c r="T306" s="231"/>
      <c r="U306" s="231"/>
      <c r="V306" s="234"/>
    </row>
    <row r="307" spans="1:22">
      <c r="A307" s="216" t="s">
        <v>1586</v>
      </c>
      <c r="B307" s="18" t="s">
        <v>1587</v>
      </c>
      <c r="C307" s="231" t="str">
        <f>IF(ISBLANK(Raw_Data!C307),"unknown",PROPER(TRIM(CLEAN(Raw_Data!C307))))</f>
        <v>Kavya Rao</v>
      </c>
      <c r="D307" s="230"/>
      <c r="E307" s="231"/>
      <c r="F307" s="231"/>
      <c r="G307" s="231"/>
      <c r="H307" s="230"/>
      <c r="I307" s="230"/>
      <c r="J307" s="230"/>
      <c r="K307" s="231"/>
      <c r="L307" s="231"/>
      <c r="M307" s="231"/>
      <c r="N307" s="231"/>
      <c r="O307" s="230"/>
      <c r="P307" s="232"/>
      <c r="Q307" s="230"/>
      <c r="R307" s="230"/>
      <c r="S307" s="232"/>
      <c r="T307" s="231"/>
      <c r="U307" s="229"/>
      <c r="V307" s="234"/>
    </row>
    <row r="308" spans="1:22">
      <c r="A308" s="215" t="s">
        <v>1591</v>
      </c>
      <c r="B308" s="14" t="s">
        <v>752</v>
      </c>
      <c r="C308" s="231" t="str">
        <f>IF(ISBLANK(Raw_Data!C308),"unknown",PROPER(TRIM(CLEAN(Raw_Data!C308))))</f>
        <v>Nisha Patel</v>
      </c>
      <c r="D308" s="230"/>
      <c r="E308" s="231"/>
      <c r="F308" s="231"/>
      <c r="G308" s="231"/>
      <c r="H308" s="230"/>
      <c r="I308" s="230"/>
      <c r="J308" s="230"/>
      <c r="K308" s="231"/>
      <c r="L308" s="231"/>
      <c r="M308" s="231"/>
      <c r="N308" s="231"/>
      <c r="O308" s="230"/>
      <c r="P308" s="232"/>
      <c r="Q308" s="230"/>
      <c r="R308" s="230"/>
      <c r="S308" s="232"/>
      <c r="T308" s="231"/>
      <c r="U308" s="229"/>
      <c r="V308" s="233"/>
    </row>
    <row r="309" spans="1:22">
      <c r="A309" s="216" t="s">
        <v>1594</v>
      </c>
      <c r="B309" s="18" t="s">
        <v>1595</v>
      </c>
      <c r="C309" s="231" t="str">
        <f>IF(ISBLANK(Raw_Data!C309),"unknown",PROPER(TRIM(CLEAN(Raw_Data!C309))))</f>
        <v>Neha Singh</v>
      </c>
      <c r="D309" s="230"/>
      <c r="E309" s="231"/>
      <c r="F309" s="231"/>
      <c r="G309" s="231"/>
      <c r="H309" s="230"/>
      <c r="I309" s="230"/>
      <c r="J309" s="230"/>
      <c r="K309" s="231"/>
      <c r="L309" s="231"/>
      <c r="M309" s="231"/>
      <c r="N309" s="231"/>
      <c r="O309" s="230"/>
      <c r="P309" s="232"/>
      <c r="Q309" s="230"/>
      <c r="R309" s="230"/>
      <c r="S309" s="232"/>
      <c r="T309" s="231"/>
      <c r="U309" s="231"/>
      <c r="V309" s="234"/>
    </row>
    <row r="310" spans="1:22">
      <c r="A310" s="215" t="s">
        <v>1598</v>
      </c>
      <c r="B310" s="14" t="s">
        <v>1582</v>
      </c>
      <c r="C310" s="229" t="str">
        <f>IF(ISBLANK(Raw_Data!C310),"unknown",PROPER(TRIM(CLEAN(Raw_Data!C310))))</f>
        <v>Kavya Rao</v>
      </c>
      <c r="D310" s="230"/>
      <c r="E310" s="231"/>
      <c r="F310" s="231"/>
      <c r="G310" s="231"/>
      <c r="H310" s="230"/>
      <c r="I310" s="230"/>
      <c r="J310" s="230"/>
      <c r="K310" s="231"/>
      <c r="L310" s="231"/>
      <c r="M310" s="231"/>
      <c r="N310" s="231"/>
      <c r="O310" s="230"/>
      <c r="P310" s="232"/>
      <c r="Q310" s="230"/>
      <c r="R310" s="230"/>
      <c r="S310" s="232"/>
      <c r="T310" s="231"/>
      <c r="U310" s="231"/>
      <c r="V310" s="234"/>
    </row>
    <row r="311" spans="1:22">
      <c r="A311" s="216" t="s">
        <v>1601</v>
      </c>
      <c r="B311" s="18" t="s">
        <v>371</v>
      </c>
      <c r="C311" s="231" t="str">
        <f>IF(ISBLANK(Raw_Data!C311),"unknown",PROPER(TRIM(CLEAN(Raw_Data!C311))))</f>
        <v>Rohit Yadav</v>
      </c>
      <c r="D311" s="230"/>
      <c r="E311" s="231"/>
      <c r="F311" s="231"/>
      <c r="G311" s="231"/>
      <c r="H311" s="230"/>
      <c r="I311" s="230"/>
      <c r="J311" s="230"/>
      <c r="K311" s="231"/>
      <c r="L311" s="231"/>
      <c r="M311" s="231"/>
      <c r="N311" s="231"/>
      <c r="O311" s="235"/>
      <c r="P311" s="232"/>
      <c r="Q311" s="230"/>
      <c r="R311" s="230"/>
      <c r="S311" s="232"/>
      <c r="T311" s="231"/>
      <c r="U311" s="229"/>
      <c r="V311" s="233"/>
    </row>
    <row r="312" spans="1:22">
      <c r="A312" s="215" t="s">
        <v>1605</v>
      </c>
      <c r="B312" s="14" t="s">
        <v>1490</v>
      </c>
      <c r="C312" s="229" t="str">
        <f>IF(ISBLANK(Raw_Data!C312),"unknown",PROPER(TRIM(CLEAN(Raw_Data!C312))))</f>
        <v>Swati Gupta</v>
      </c>
      <c r="D312" s="230"/>
      <c r="E312" s="231"/>
      <c r="F312" s="231"/>
      <c r="G312" s="231"/>
      <c r="H312" s="230"/>
      <c r="I312" s="230"/>
      <c r="J312" s="230"/>
      <c r="K312" s="231"/>
      <c r="L312" s="231"/>
      <c r="M312" s="231"/>
      <c r="N312" s="231"/>
      <c r="O312" s="230"/>
      <c r="P312" s="232"/>
      <c r="Q312" s="230"/>
      <c r="R312" s="230"/>
      <c r="S312" s="232"/>
      <c r="T312" s="231"/>
      <c r="U312" s="229"/>
      <c r="V312" s="234"/>
    </row>
    <row r="313" spans="1:22">
      <c r="A313" s="216" t="s">
        <v>1608</v>
      </c>
      <c r="B313" s="18" t="s">
        <v>1609</v>
      </c>
      <c r="C313" s="229" t="str">
        <f>IF(ISBLANK(Raw_Data!C313),"unknown",PROPER(TRIM(CLEAN(Raw_Data!C313))))</f>
        <v>Arjun Mehta</v>
      </c>
      <c r="D313" s="230"/>
      <c r="E313" s="231"/>
      <c r="F313" s="231"/>
      <c r="G313" s="229"/>
      <c r="H313" s="230"/>
      <c r="I313" s="235"/>
      <c r="J313" s="230"/>
      <c r="K313" s="231"/>
      <c r="L313" s="231"/>
      <c r="M313" s="231"/>
      <c r="N313" s="231"/>
      <c r="O313" s="230"/>
      <c r="P313" s="232"/>
      <c r="Q313" s="230"/>
      <c r="R313" s="230"/>
      <c r="S313" s="232"/>
      <c r="T313" s="231"/>
      <c r="U313" s="229"/>
      <c r="V313" s="233"/>
    </row>
    <row r="314" spans="1:22">
      <c r="A314" s="215" t="s">
        <v>1613</v>
      </c>
      <c r="B314" s="14" t="s">
        <v>841</v>
      </c>
      <c r="C314" s="229" t="str">
        <f>IF(ISBLANK(Raw_Data!C314),"unknown",PROPER(TRIM(CLEAN(Raw_Data!C314))))</f>
        <v>Sanjay Shah</v>
      </c>
      <c r="D314" s="230"/>
      <c r="E314" s="231"/>
      <c r="F314" s="231"/>
      <c r="G314" s="229"/>
      <c r="H314" s="230"/>
      <c r="I314" s="235"/>
      <c r="J314" s="230"/>
      <c r="K314" s="231"/>
      <c r="L314" s="231"/>
      <c r="M314" s="231"/>
      <c r="N314" s="231"/>
      <c r="O314" s="230"/>
      <c r="P314" s="232"/>
      <c r="Q314" s="230"/>
      <c r="R314" s="230"/>
      <c r="S314" s="232"/>
      <c r="T314" s="231"/>
      <c r="U314" s="229"/>
      <c r="V314" s="233"/>
    </row>
    <row r="315" spans="1:22">
      <c r="A315" s="216" t="s">
        <v>1617</v>
      </c>
      <c r="B315" s="18" t="s">
        <v>1618</v>
      </c>
      <c r="C315" s="231" t="str">
        <f>IF(ISBLANK(Raw_Data!C315),"unknown",PROPER(TRIM(CLEAN(Raw_Data!C315))))</f>
        <v>Ravi Shankar</v>
      </c>
      <c r="D315" s="230"/>
      <c r="E315" s="231"/>
      <c r="F315" s="231"/>
      <c r="G315" s="231"/>
      <c r="H315" s="230"/>
      <c r="I315" s="230"/>
      <c r="J315" s="230"/>
      <c r="K315" s="231"/>
      <c r="L315" s="231"/>
      <c r="M315" s="231"/>
      <c r="N315" s="231"/>
      <c r="O315" s="230"/>
      <c r="P315" s="232"/>
      <c r="Q315" s="230"/>
      <c r="R315" s="230"/>
      <c r="S315" s="232"/>
      <c r="T315" s="231"/>
      <c r="U315" s="229"/>
      <c r="V315" s="233"/>
    </row>
    <row r="316" spans="1:22">
      <c r="A316" s="215" t="s">
        <v>1621</v>
      </c>
      <c r="B316" s="14" t="s">
        <v>1622</v>
      </c>
      <c r="C316" s="229" t="str">
        <f>IF(ISBLANK(Raw_Data!C316),"unknown",PROPER(TRIM(CLEAN(Raw_Data!C316))))</f>
        <v>unknown</v>
      </c>
      <c r="D316" s="230"/>
      <c r="E316" s="231"/>
      <c r="F316" s="231"/>
      <c r="G316" s="231"/>
      <c r="H316" s="230"/>
      <c r="I316" s="230"/>
      <c r="J316" s="230"/>
      <c r="K316" s="231"/>
      <c r="L316" s="231"/>
      <c r="M316" s="231"/>
      <c r="N316" s="231"/>
      <c r="O316" s="230"/>
      <c r="P316" s="232"/>
      <c r="Q316" s="230"/>
      <c r="R316" s="230"/>
      <c r="S316" s="232"/>
      <c r="T316" s="231"/>
      <c r="U316" s="229"/>
      <c r="V316" s="234"/>
    </row>
    <row r="317" spans="1:22">
      <c r="A317" s="216" t="s">
        <v>1626</v>
      </c>
      <c r="B317" s="18" t="s">
        <v>1102</v>
      </c>
      <c r="C317" s="229" t="str">
        <f>IF(ISBLANK(Raw_Data!C317),"unknown",PROPER(TRIM(CLEAN(Raw_Data!C317))))</f>
        <v>Ravi Kumar</v>
      </c>
      <c r="D317" s="230"/>
      <c r="E317" s="231"/>
      <c r="F317" s="231"/>
      <c r="G317" s="231"/>
      <c r="H317" s="230"/>
      <c r="I317" s="230"/>
      <c r="J317" s="230"/>
      <c r="K317" s="231"/>
      <c r="L317" s="231"/>
      <c r="M317" s="231"/>
      <c r="N317" s="231"/>
      <c r="O317" s="230"/>
      <c r="P317" s="232"/>
      <c r="Q317" s="230"/>
      <c r="R317" s="230"/>
      <c r="S317" s="232"/>
      <c r="T317" s="231"/>
      <c r="U317" s="231"/>
      <c r="V317" s="233"/>
    </row>
    <row r="318" spans="1:22">
      <c r="A318" s="215" t="s">
        <v>1629</v>
      </c>
      <c r="B318" s="14" t="s">
        <v>1113</v>
      </c>
      <c r="C318" s="229" t="str">
        <f>IF(ISBLANK(Raw_Data!C318),"unknown",PROPER(TRIM(CLEAN(Raw_Data!C318))))</f>
        <v>Prasad P</v>
      </c>
      <c r="D318" s="230"/>
      <c r="E318" s="231"/>
      <c r="F318" s="231"/>
      <c r="G318" s="231"/>
      <c r="H318" s="230"/>
      <c r="I318" s="230"/>
      <c r="J318" s="230"/>
      <c r="K318" s="231"/>
      <c r="L318" s="231"/>
      <c r="M318" s="231"/>
      <c r="N318" s="231"/>
      <c r="O318" s="235"/>
      <c r="P318" s="232"/>
      <c r="Q318" s="230"/>
      <c r="R318" s="230"/>
      <c r="S318" s="232"/>
      <c r="T318" s="231"/>
      <c r="U318" s="229"/>
      <c r="V318" s="234"/>
    </row>
    <row r="319" spans="1:22">
      <c r="A319" s="216" t="s">
        <v>1632</v>
      </c>
      <c r="B319" s="18" t="s">
        <v>1633</v>
      </c>
      <c r="C319" s="229" t="str">
        <f>IF(ISBLANK(Raw_Data!C319),"unknown",PROPER(TRIM(CLEAN(Raw_Data!C319))))</f>
        <v>Divya Nair</v>
      </c>
      <c r="D319" s="230"/>
      <c r="E319" s="231"/>
      <c r="F319" s="231"/>
      <c r="G319" s="231"/>
      <c r="H319" s="230"/>
      <c r="I319" s="230"/>
      <c r="J319" s="230"/>
      <c r="K319" s="231"/>
      <c r="L319" s="231"/>
      <c r="M319" s="231"/>
      <c r="N319" s="231"/>
      <c r="O319" s="230"/>
      <c r="P319" s="232"/>
      <c r="Q319" s="230"/>
      <c r="R319" s="230"/>
      <c r="S319" s="235"/>
      <c r="T319" s="231"/>
      <c r="U319" s="231"/>
      <c r="V319" s="234"/>
    </row>
    <row r="320" spans="1:22">
      <c r="A320" s="215" t="s">
        <v>1636</v>
      </c>
      <c r="B320" s="14" t="s">
        <v>1637</v>
      </c>
      <c r="C320" s="229" t="str">
        <f>IF(ISBLANK(Raw_Data!C320),"unknown",PROPER(TRIM(CLEAN(Raw_Data!C320))))</f>
        <v>Kiran Kumar</v>
      </c>
      <c r="D320" s="230"/>
      <c r="E320" s="231"/>
      <c r="F320" s="231"/>
      <c r="G320" s="229"/>
      <c r="H320" s="230"/>
      <c r="I320" s="230"/>
      <c r="J320" s="230"/>
      <c r="K320" s="231"/>
      <c r="L320" s="231"/>
      <c r="M320" s="231"/>
      <c r="N320" s="231"/>
      <c r="O320" s="230"/>
      <c r="P320" s="235"/>
      <c r="Q320" s="230"/>
      <c r="R320" s="230"/>
      <c r="S320" s="232"/>
      <c r="T320" s="231"/>
      <c r="U320" s="229"/>
      <c r="V320" s="234"/>
    </row>
    <row r="321" spans="1:22">
      <c r="A321" s="216" t="s">
        <v>1640</v>
      </c>
      <c r="B321" s="18" t="s">
        <v>1641</v>
      </c>
      <c r="C321" s="231" t="str">
        <f>IF(ISBLANK(Raw_Data!C321),"unknown",PROPER(TRIM(CLEAN(Raw_Data!C321))))</f>
        <v>Deepa Krishnan</v>
      </c>
      <c r="D321" s="230"/>
      <c r="E321" s="231"/>
      <c r="F321" s="231"/>
      <c r="G321" s="229"/>
      <c r="H321" s="230"/>
      <c r="I321" s="230"/>
      <c r="J321" s="230"/>
      <c r="K321" s="231"/>
      <c r="L321" s="231"/>
      <c r="M321" s="231"/>
      <c r="N321" s="231"/>
      <c r="O321" s="230"/>
      <c r="P321" s="232"/>
      <c r="Q321" s="235"/>
      <c r="R321" s="230"/>
      <c r="S321" s="232"/>
      <c r="T321" s="231"/>
      <c r="U321" s="229"/>
      <c r="V321" s="233"/>
    </row>
    <row r="322" spans="1:22">
      <c r="A322" s="215" t="s">
        <v>1644</v>
      </c>
      <c r="B322" s="14" t="s">
        <v>1645</v>
      </c>
      <c r="C322" s="229" t="str">
        <f>IF(ISBLANK(Raw_Data!C322),"unknown",PROPER(TRIM(CLEAN(Raw_Data!C322))))</f>
        <v>Meera Nair</v>
      </c>
      <c r="D322" s="230"/>
      <c r="E322" s="231"/>
      <c r="F322" s="231"/>
      <c r="G322" s="231"/>
      <c r="H322" s="230"/>
      <c r="I322" s="230"/>
      <c r="J322" s="230"/>
      <c r="K322" s="231"/>
      <c r="L322" s="231"/>
      <c r="M322" s="231"/>
      <c r="N322" s="231"/>
      <c r="O322" s="230"/>
      <c r="P322" s="232"/>
      <c r="Q322" s="230"/>
      <c r="R322" s="230"/>
      <c r="S322" s="232"/>
      <c r="T322" s="231"/>
      <c r="U322" s="231"/>
      <c r="V322" s="233"/>
    </row>
    <row r="323" spans="1:22">
      <c r="A323" s="216" t="s">
        <v>1649</v>
      </c>
      <c r="B323" s="18" t="s">
        <v>1650</v>
      </c>
      <c r="C323" s="229" t="str">
        <f>IF(ISBLANK(Raw_Data!C323),"unknown",PROPER(TRIM(CLEAN(Raw_Data!C323))))</f>
        <v>Priya Sharma</v>
      </c>
      <c r="D323" s="230"/>
      <c r="E323" s="231"/>
      <c r="F323" s="231"/>
      <c r="G323" s="229"/>
      <c r="H323" s="230"/>
      <c r="I323" s="235"/>
      <c r="J323" s="230"/>
      <c r="K323" s="231"/>
      <c r="L323" s="231"/>
      <c r="M323" s="231"/>
      <c r="N323" s="231"/>
      <c r="O323" s="235"/>
      <c r="P323" s="232"/>
      <c r="Q323" s="230"/>
      <c r="R323" s="230"/>
      <c r="S323" s="232"/>
      <c r="T323" s="231"/>
      <c r="U323" s="231"/>
      <c r="V323" s="234"/>
    </row>
    <row r="324" spans="1:22">
      <c r="A324" s="215" t="s">
        <v>1653</v>
      </c>
      <c r="B324" s="14" t="s">
        <v>1654</v>
      </c>
      <c r="C324" s="231" t="str">
        <f>IF(ISBLANK(Raw_Data!C324),"unknown",PROPER(TRIM(CLEAN(Raw_Data!C324))))</f>
        <v>unknown</v>
      </c>
      <c r="D324" s="230"/>
      <c r="E324" s="231"/>
      <c r="F324" s="231"/>
      <c r="G324" s="231"/>
      <c r="H324" s="230"/>
      <c r="I324" s="230"/>
      <c r="J324" s="230"/>
      <c r="K324" s="231"/>
      <c r="L324" s="231"/>
      <c r="M324" s="231"/>
      <c r="N324" s="231"/>
      <c r="O324" s="230"/>
      <c r="P324" s="232"/>
      <c r="Q324" s="230"/>
      <c r="R324" s="230"/>
      <c r="S324" s="232"/>
      <c r="T324" s="231"/>
      <c r="U324" s="231"/>
      <c r="V324" s="233"/>
    </row>
    <row r="325" spans="1:22">
      <c r="A325" s="216" t="s">
        <v>1657</v>
      </c>
      <c r="B325" s="18" t="s">
        <v>1658</v>
      </c>
      <c r="C325" s="231" t="str">
        <f>IF(ISBLANK(Raw_Data!C325),"unknown",PROPER(TRIM(CLEAN(Raw_Data!C325))))</f>
        <v>Ravi Shankar</v>
      </c>
      <c r="D325" s="230"/>
      <c r="E325" s="231"/>
      <c r="F325" s="231"/>
      <c r="G325" s="231"/>
      <c r="H325" s="230"/>
      <c r="I325" s="230"/>
      <c r="J325" s="230"/>
      <c r="K325" s="231"/>
      <c r="L325" s="231"/>
      <c r="M325" s="231"/>
      <c r="N325" s="231"/>
      <c r="O325" s="230"/>
      <c r="P325" s="232"/>
      <c r="Q325" s="230"/>
      <c r="R325" s="230"/>
      <c r="S325" s="235"/>
      <c r="T325" s="231"/>
      <c r="U325" s="229"/>
      <c r="V325" s="234"/>
    </row>
    <row r="326" spans="1:22">
      <c r="A326" s="215" t="s">
        <v>1661</v>
      </c>
      <c r="B326" s="14" t="s">
        <v>1662</v>
      </c>
      <c r="C326" s="229" t="str">
        <f>IF(ISBLANK(Raw_Data!C326),"unknown",PROPER(TRIM(CLEAN(Raw_Data!C326))))</f>
        <v>Kavitha N</v>
      </c>
      <c r="D326" s="230"/>
      <c r="E326" s="231"/>
      <c r="F326" s="231"/>
      <c r="G326" s="231"/>
      <c r="H326" s="230"/>
      <c r="I326" s="230"/>
      <c r="J326" s="230"/>
      <c r="K326" s="231"/>
      <c r="L326" s="231"/>
      <c r="M326" s="231"/>
      <c r="N326" s="231"/>
      <c r="O326" s="230"/>
      <c r="P326" s="232"/>
      <c r="Q326" s="230"/>
      <c r="R326" s="230"/>
      <c r="S326" s="232"/>
      <c r="T326" s="231"/>
      <c r="U326" s="229"/>
      <c r="V326" s="233"/>
    </row>
    <row r="327" spans="1:22">
      <c r="A327" s="216" t="s">
        <v>1665</v>
      </c>
      <c r="B327" s="18" t="s">
        <v>56</v>
      </c>
      <c r="C327" s="229" t="str">
        <f>IF(ISBLANK(Raw_Data!C327),"unknown",PROPER(TRIM(CLEAN(Raw_Data!C327))))</f>
        <v>Preethi S</v>
      </c>
      <c r="D327" s="230"/>
      <c r="E327" s="231"/>
      <c r="F327" s="231"/>
      <c r="G327" s="229"/>
      <c r="H327" s="230"/>
      <c r="I327" s="230"/>
      <c r="J327" s="230"/>
      <c r="K327" s="231"/>
      <c r="L327" s="229"/>
      <c r="M327" s="231"/>
      <c r="N327" s="231"/>
      <c r="O327" s="230"/>
      <c r="P327" s="232"/>
      <c r="Q327" s="230"/>
      <c r="R327" s="230"/>
      <c r="S327" s="232"/>
      <c r="T327" s="231"/>
      <c r="U327" s="229"/>
      <c r="V327" s="234"/>
    </row>
    <row r="328" spans="1:22">
      <c r="A328" s="215" t="s">
        <v>1668</v>
      </c>
      <c r="B328" s="14" t="s">
        <v>1669</v>
      </c>
      <c r="C328" s="229" t="str">
        <f>IF(ISBLANK(Raw_Data!C328),"unknown",PROPER(TRIM(CLEAN(Raw_Data!C328))))</f>
        <v>Suresh Kumar</v>
      </c>
      <c r="D328" s="230"/>
      <c r="E328" s="231"/>
      <c r="F328" s="231"/>
      <c r="G328" s="231"/>
      <c r="H328" s="230"/>
      <c r="I328" s="230"/>
      <c r="J328" s="230"/>
      <c r="K328" s="231"/>
      <c r="L328" s="231"/>
      <c r="M328" s="231"/>
      <c r="N328" s="231"/>
      <c r="O328" s="235"/>
      <c r="P328" s="232"/>
      <c r="Q328" s="230"/>
      <c r="R328" s="230"/>
      <c r="S328" s="236"/>
      <c r="T328" s="231"/>
      <c r="U328" s="231"/>
      <c r="V328" s="233"/>
    </row>
    <row r="329" spans="1:22">
      <c r="A329" s="216" t="s">
        <v>1673</v>
      </c>
      <c r="B329" s="18" t="s">
        <v>1622</v>
      </c>
      <c r="C329" s="231" t="str">
        <f>IF(ISBLANK(Raw_Data!C329),"unknown",PROPER(TRIM(CLEAN(Raw_Data!C329))))</f>
        <v>Venkat Reddy</v>
      </c>
      <c r="D329" s="230"/>
      <c r="E329" s="231"/>
      <c r="F329" s="231"/>
      <c r="G329" s="231"/>
      <c r="H329" s="230"/>
      <c r="I329" s="230"/>
      <c r="J329" s="230"/>
      <c r="K329" s="231"/>
      <c r="L329" s="231"/>
      <c r="M329" s="231"/>
      <c r="N329" s="231"/>
      <c r="O329" s="230"/>
      <c r="P329" s="232"/>
      <c r="Q329" s="230"/>
      <c r="R329" s="230"/>
      <c r="S329" s="232"/>
      <c r="T329" s="231"/>
      <c r="U329" s="231"/>
      <c r="V329" s="233"/>
    </row>
    <row r="330" spans="1:22">
      <c r="A330" s="215" t="s">
        <v>1676</v>
      </c>
      <c r="B330" s="14" t="s">
        <v>1677</v>
      </c>
      <c r="C330" s="231" t="str">
        <f>IF(ISBLANK(Raw_Data!C330),"unknown",PROPER(TRIM(CLEAN(Raw_Data!C330))))</f>
        <v>Padma Lakshmi</v>
      </c>
      <c r="D330" s="230"/>
      <c r="E330" s="231"/>
      <c r="F330" s="231"/>
      <c r="G330" s="229"/>
      <c r="H330" s="230"/>
      <c r="I330" s="230"/>
      <c r="J330" s="230"/>
      <c r="K330" s="231"/>
      <c r="L330" s="231"/>
      <c r="M330" s="231"/>
      <c r="N330" s="231"/>
      <c r="O330" s="230"/>
      <c r="P330" s="232"/>
      <c r="Q330" s="230"/>
      <c r="R330" s="230"/>
      <c r="S330" s="232"/>
      <c r="T330" s="231"/>
      <c r="U330" s="229"/>
      <c r="V330" s="234"/>
    </row>
    <row r="331" spans="1:22">
      <c r="A331" s="216" t="s">
        <v>1681</v>
      </c>
      <c r="B331" s="18" t="s">
        <v>1682</v>
      </c>
      <c r="C331" s="231" t="str">
        <f>IF(ISBLANK(Raw_Data!C331),"unknown",PROPER(TRIM(CLEAN(Raw_Data!C331))))</f>
        <v>Preethi S</v>
      </c>
      <c r="D331" s="230"/>
      <c r="E331" s="231"/>
      <c r="F331" s="231"/>
      <c r="G331" s="231"/>
      <c r="H331" s="230"/>
      <c r="I331" s="230"/>
      <c r="J331" s="230"/>
      <c r="K331" s="231"/>
      <c r="L331" s="231"/>
      <c r="M331" s="231"/>
      <c r="N331" s="231"/>
      <c r="O331" s="235"/>
      <c r="P331" s="232"/>
      <c r="Q331" s="230"/>
      <c r="R331" s="230"/>
      <c r="S331" s="236"/>
      <c r="T331" s="231"/>
      <c r="U331" s="229"/>
      <c r="V331" s="234"/>
    </row>
    <row r="332" spans="1:22">
      <c r="A332" s="215" t="s">
        <v>1685</v>
      </c>
      <c r="B332" s="14" t="s">
        <v>1686</v>
      </c>
      <c r="C332" s="229" t="str">
        <f>IF(ISBLANK(Raw_Data!C332),"unknown",PROPER(TRIM(CLEAN(Raw_Data!C332))))</f>
        <v>Kavitha N</v>
      </c>
      <c r="D332" s="230"/>
      <c r="E332" s="231"/>
      <c r="F332" s="231"/>
      <c r="G332" s="229"/>
      <c r="H332" s="230"/>
      <c r="I332" s="230"/>
      <c r="J332" s="230"/>
      <c r="K332" s="231"/>
      <c r="L332" s="231"/>
      <c r="M332" s="231"/>
      <c r="N332" s="231"/>
      <c r="O332" s="230"/>
      <c r="P332" s="232"/>
      <c r="Q332" s="230"/>
      <c r="R332" s="230"/>
      <c r="S332" s="232"/>
      <c r="T332" s="231"/>
      <c r="U332" s="231"/>
      <c r="V332" s="233"/>
    </row>
    <row r="333" spans="1:22">
      <c r="A333" s="216" t="s">
        <v>1689</v>
      </c>
      <c r="B333" s="18" t="s">
        <v>787</v>
      </c>
      <c r="C333" s="231" t="str">
        <f>IF(ISBLANK(Raw_Data!C333),"unknown",PROPER(TRIM(CLEAN(Raw_Data!C333))))</f>
        <v>Kiran Kumar</v>
      </c>
      <c r="D333" s="230"/>
      <c r="E333" s="231"/>
      <c r="F333" s="231"/>
      <c r="G333" s="229"/>
      <c r="H333" s="230"/>
      <c r="I333" s="230"/>
      <c r="J333" s="230"/>
      <c r="K333" s="231"/>
      <c r="L333" s="231"/>
      <c r="M333" s="231"/>
      <c r="N333" s="231"/>
      <c r="O333" s="230"/>
      <c r="P333" s="232"/>
      <c r="Q333" s="230"/>
      <c r="R333" s="230"/>
      <c r="S333" s="232"/>
      <c r="T333" s="231"/>
      <c r="U333" s="229"/>
      <c r="V333" s="233"/>
    </row>
    <row r="334" spans="1:22">
      <c r="A334" s="215" t="s">
        <v>1692</v>
      </c>
      <c r="B334" s="14" t="s">
        <v>1693</v>
      </c>
      <c r="C334" s="231" t="str">
        <f>IF(ISBLANK(Raw_Data!C334),"unknown",PROPER(TRIM(CLEAN(Raw_Data!C334))))</f>
        <v>Dinesh K</v>
      </c>
      <c r="D334" s="230"/>
      <c r="E334" s="231"/>
      <c r="F334" s="231"/>
      <c r="G334" s="231"/>
      <c r="H334" s="230"/>
      <c r="I334" s="230"/>
      <c r="J334" s="230"/>
      <c r="K334" s="231"/>
      <c r="L334" s="231"/>
      <c r="M334" s="231"/>
      <c r="N334" s="231"/>
      <c r="O334" s="230"/>
      <c r="P334" s="232"/>
      <c r="Q334" s="230"/>
      <c r="R334" s="230"/>
      <c r="S334" s="232"/>
      <c r="T334" s="231"/>
      <c r="U334" s="229"/>
      <c r="V334" s="234"/>
    </row>
    <row r="335" spans="1:22">
      <c r="A335" s="216" t="s">
        <v>1696</v>
      </c>
      <c r="B335" s="18" t="s">
        <v>1697</v>
      </c>
      <c r="C335" s="229" t="str">
        <f>IF(ISBLANK(Raw_Data!C335),"unknown",PROPER(TRIM(CLEAN(Raw_Data!C335))))</f>
        <v>Venkat Reddy</v>
      </c>
      <c r="D335" s="230"/>
      <c r="E335" s="231"/>
      <c r="F335" s="231"/>
      <c r="G335" s="229"/>
      <c r="H335" s="230"/>
      <c r="I335" s="230"/>
      <c r="J335" s="230"/>
      <c r="K335" s="231"/>
      <c r="L335" s="231"/>
      <c r="M335" s="231"/>
      <c r="N335" s="231"/>
      <c r="O335" s="230"/>
      <c r="P335" s="232"/>
      <c r="Q335" s="230"/>
      <c r="R335" s="230"/>
      <c r="S335" s="232"/>
      <c r="T335" s="231"/>
      <c r="U335" s="231"/>
      <c r="V335" s="234"/>
    </row>
    <row r="336" spans="1:22">
      <c r="A336" s="215" t="s">
        <v>1700</v>
      </c>
      <c r="B336" s="14" t="s">
        <v>1633</v>
      </c>
      <c r="C336" s="229" t="str">
        <f>IF(ISBLANK(Raw_Data!C336),"unknown",PROPER(TRIM(CLEAN(Raw_Data!C336))))</f>
        <v>Sita Devi</v>
      </c>
      <c r="D336" s="230"/>
      <c r="E336" s="231"/>
      <c r="F336" s="231"/>
      <c r="G336" s="229"/>
      <c r="H336" s="230"/>
      <c r="I336" s="230"/>
      <c r="J336" s="230"/>
      <c r="K336" s="231"/>
      <c r="L336" s="231"/>
      <c r="M336" s="231"/>
      <c r="N336" s="231"/>
      <c r="O336" s="230"/>
      <c r="P336" s="232"/>
      <c r="Q336" s="230"/>
      <c r="R336" s="230"/>
      <c r="S336" s="232"/>
      <c r="T336" s="231"/>
      <c r="U336" s="229"/>
      <c r="V336" s="234"/>
    </row>
    <row r="337" spans="1:22">
      <c r="A337" s="216" t="s">
        <v>1703</v>
      </c>
      <c r="B337" s="18" t="s">
        <v>1704</v>
      </c>
      <c r="C337" s="229" t="str">
        <f>IF(ISBLANK(Raw_Data!C337),"unknown",PROPER(TRIM(CLEAN(Raw_Data!C337))))</f>
        <v>Kavitha N</v>
      </c>
      <c r="D337" s="230"/>
      <c r="E337" s="231"/>
      <c r="F337" s="231"/>
      <c r="G337" s="231"/>
      <c r="H337" s="230"/>
      <c r="I337" s="230"/>
      <c r="J337" s="230"/>
      <c r="K337" s="231"/>
      <c r="L337" s="231"/>
      <c r="M337" s="231"/>
      <c r="N337" s="231"/>
      <c r="O337" s="230"/>
      <c r="P337" s="232"/>
      <c r="Q337" s="230"/>
      <c r="R337" s="230"/>
      <c r="S337" s="232"/>
      <c r="T337" s="231"/>
      <c r="U337" s="229"/>
      <c r="V337" s="234"/>
    </row>
    <row r="338" spans="1:22">
      <c r="A338" s="215" t="s">
        <v>1708</v>
      </c>
      <c r="B338" s="14" t="s">
        <v>1709</v>
      </c>
      <c r="C338" s="231" t="str">
        <f>IF(ISBLANK(Raw_Data!C338),"unknown",PROPER(TRIM(CLEAN(Raw_Data!C338))))</f>
        <v>Rashmi Verma</v>
      </c>
      <c r="D338" s="230"/>
      <c r="E338" s="231"/>
      <c r="F338" s="231"/>
      <c r="G338" s="229"/>
      <c r="H338" s="230"/>
      <c r="I338" s="230"/>
      <c r="J338" s="230"/>
      <c r="K338" s="231"/>
      <c r="L338" s="231"/>
      <c r="M338" s="231"/>
      <c r="N338" s="231"/>
      <c r="O338" s="230"/>
      <c r="P338" s="232"/>
      <c r="Q338" s="230"/>
      <c r="R338" s="230"/>
      <c r="S338" s="232"/>
      <c r="T338" s="231"/>
      <c r="U338" s="229"/>
      <c r="V338" s="233"/>
    </row>
    <row r="339" spans="1:22">
      <c r="A339" s="216" t="s">
        <v>1713</v>
      </c>
      <c r="B339" s="18" t="s">
        <v>1714</v>
      </c>
      <c r="C339" s="229" t="str">
        <f>IF(ISBLANK(Raw_Data!C339),"unknown",PROPER(TRIM(CLEAN(Raw_Data!C339))))</f>
        <v>Deepika Rao</v>
      </c>
      <c r="D339" s="230"/>
      <c r="E339" s="231"/>
      <c r="F339" s="231"/>
      <c r="G339" s="231"/>
      <c r="H339" s="230"/>
      <c r="I339" s="235"/>
      <c r="J339" s="230"/>
      <c r="K339" s="231"/>
      <c r="L339" s="231"/>
      <c r="M339" s="231"/>
      <c r="N339" s="231"/>
      <c r="O339" s="230"/>
      <c r="P339" s="232"/>
      <c r="Q339" s="230"/>
      <c r="R339" s="230"/>
      <c r="S339" s="232"/>
      <c r="T339" s="231"/>
      <c r="U339" s="229"/>
      <c r="V339" s="233"/>
    </row>
    <row r="340" spans="1:22">
      <c r="A340" s="215" t="s">
        <v>1717</v>
      </c>
      <c r="B340" s="14" t="s">
        <v>604</v>
      </c>
      <c r="C340" s="229" t="str">
        <f>IF(ISBLANK(Raw_Data!C340),"unknown",PROPER(TRIM(CLEAN(Raw_Data!C340))))</f>
        <v>Kiran Kumar</v>
      </c>
      <c r="D340" s="230"/>
      <c r="E340" s="231"/>
      <c r="F340" s="231"/>
      <c r="G340" s="231"/>
      <c r="H340" s="230"/>
      <c r="I340" s="235"/>
      <c r="J340" s="230"/>
      <c r="K340" s="231"/>
      <c r="L340" s="231"/>
      <c r="M340" s="231"/>
      <c r="N340" s="231"/>
      <c r="O340" s="230"/>
      <c r="P340" s="232"/>
      <c r="Q340" s="230"/>
      <c r="R340" s="230"/>
      <c r="S340" s="232"/>
      <c r="T340" s="231"/>
      <c r="U340" s="231"/>
      <c r="V340" s="234"/>
    </row>
    <row r="341" spans="1:22">
      <c r="A341" s="216" t="s">
        <v>1720</v>
      </c>
      <c r="B341" s="18" t="s">
        <v>1721</v>
      </c>
      <c r="C341" s="231" t="str">
        <f>IF(ISBLANK(Raw_Data!C341),"unknown",PROPER(TRIM(CLEAN(Raw_Data!C341))))</f>
        <v>Mohan Lal</v>
      </c>
      <c r="D341" s="230"/>
      <c r="E341" s="231"/>
      <c r="F341" s="231"/>
      <c r="G341" s="231"/>
      <c r="H341" s="230"/>
      <c r="I341" s="230"/>
      <c r="J341" s="230"/>
      <c r="K341" s="231"/>
      <c r="L341" s="231"/>
      <c r="M341" s="231"/>
      <c r="N341" s="231"/>
      <c r="O341" s="230"/>
      <c r="P341" s="232"/>
      <c r="Q341" s="230"/>
      <c r="R341" s="230"/>
      <c r="S341" s="232"/>
      <c r="T341" s="231"/>
      <c r="U341" s="229"/>
      <c r="V341" s="233"/>
    </row>
    <row r="342" spans="1:22">
      <c r="A342" s="215" t="s">
        <v>1724</v>
      </c>
      <c r="B342" s="14" t="s">
        <v>1725</v>
      </c>
      <c r="C342" s="229" t="str">
        <f>IF(ISBLANK(Raw_Data!C342),"unknown",PROPER(TRIM(CLEAN(Raw_Data!C342))))</f>
        <v>Arjun Mehta</v>
      </c>
      <c r="D342" s="230"/>
      <c r="E342" s="231"/>
      <c r="F342" s="231"/>
      <c r="G342" s="231"/>
      <c r="H342" s="230"/>
      <c r="I342" s="230"/>
      <c r="J342" s="230"/>
      <c r="K342" s="231"/>
      <c r="L342" s="231"/>
      <c r="M342" s="231"/>
      <c r="N342" s="231"/>
      <c r="O342" s="230"/>
      <c r="P342" s="232"/>
      <c r="Q342" s="230"/>
      <c r="R342" s="230"/>
      <c r="S342" s="232"/>
      <c r="T342" s="231"/>
      <c r="U342" s="229"/>
      <c r="V342" s="234"/>
    </row>
    <row r="343" spans="1:22">
      <c r="A343" s="216" t="s">
        <v>1728</v>
      </c>
      <c r="B343" s="18" t="s">
        <v>1729</v>
      </c>
      <c r="C343" s="231" t="str">
        <f>IF(ISBLANK(Raw_Data!C343),"unknown",PROPER(TRIM(CLEAN(Raw_Data!C343))))</f>
        <v>Sanjay Shah</v>
      </c>
      <c r="D343" s="230"/>
      <c r="E343" s="231"/>
      <c r="F343" s="231"/>
      <c r="G343" s="231"/>
      <c r="H343" s="230"/>
      <c r="I343" s="230"/>
      <c r="J343" s="230"/>
      <c r="K343" s="231"/>
      <c r="L343" s="231"/>
      <c r="M343" s="231"/>
      <c r="N343" s="231"/>
      <c r="O343" s="230"/>
      <c r="P343" s="232"/>
      <c r="Q343" s="230"/>
      <c r="R343" s="230"/>
      <c r="S343" s="232"/>
      <c r="T343" s="231"/>
      <c r="U343" s="231"/>
      <c r="V343" s="234"/>
    </row>
    <row r="344" spans="1:22">
      <c r="A344" s="215" t="s">
        <v>1732</v>
      </c>
      <c r="B344" s="14" t="s">
        <v>1733</v>
      </c>
      <c r="C344" s="231" t="str">
        <f>IF(ISBLANK(Raw_Data!C344),"unknown",PROPER(TRIM(CLEAN(Raw_Data!C344))))</f>
        <v>Divya Nair</v>
      </c>
      <c r="D344" s="230"/>
      <c r="E344" s="231"/>
      <c r="F344" s="231"/>
      <c r="G344" s="229"/>
      <c r="H344" s="230"/>
      <c r="I344" s="230"/>
      <c r="J344" s="230"/>
      <c r="K344" s="231"/>
      <c r="L344" s="231"/>
      <c r="M344" s="231"/>
      <c r="N344" s="231"/>
      <c r="O344" s="230"/>
      <c r="P344" s="232"/>
      <c r="Q344" s="230"/>
      <c r="R344" s="230"/>
      <c r="S344" s="232"/>
      <c r="T344" s="231"/>
      <c r="U344" s="229"/>
      <c r="V344" s="234"/>
    </row>
    <row r="345" spans="1:22">
      <c r="A345" s="216" t="s">
        <v>1736</v>
      </c>
      <c r="B345" s="18" t="s">
        <v>1737</v>
      </c>
      <c r="C345" s="231" t="str">
        <f>IF(ISBLANK(Raw_Data!C345),"unknown",PROPER(TRIM(CLEAN(Raw_Data!C345))))</f>
        <v>Mohan Lal</v>
      </c>
      <c r="D345" s="230"/>
      <c r="E345" s="231"/>
      <c r="F345" s="231"/>
      <c r="G345" s="229"/>
      <c r="H345" s="230"/>
      <c r="I345" s="230"/>
      <c r="J345" s="230"/>
      <c r="K345" s="231"/>
      <c r="L345" s="231"/>
      <c r="M345" s="231"/>
      <c r="N345" s="231"/>
      <c r="O345" s="230"/>
      <c r="P345" s="232"/>
      <c r="Q345" s="230"/>
      <c r="R345" s="230"/>
      <c r="S345" s="232"/>
      <c r="T345" s="231"/>
      <c r="U345" s="229"/>
      <c r="V345" s="233"/>
    </row>
    <row r="346" spans="1:22">
      <c r="A346" s="215" t="s">
        <v>1740</v>
      </c>
      <c r="B346" s="14" t="s">
        <v>1741</v>
      </c>
      <c r="C346" s="231" t="str">
        <f>IF(ISBLANK(Raw_Data!C346),"unknown",PROPER(TRIM(CLEAN(Raw_Data!C346))))</f>
        <v>Arjun Mehta</v>
      </c>
      <c r="D346" s="230"/>
      <c r="E346" s="231"/>
      <c r="F346" s="231"/>
      <c r="G346" s="231"/>
      <c r="H346" s="230"/>
      <c r="I346" s="230"/>
      <c r="J346" s="230"/>
      <c r="K346" s="231"/>
      <c r="L346" s="231"/>
      <c r="M346" s="231"/>
      <c r="N346" s="231"/>
      <c r="O346" s="230"/>
      <c r="P346" s="232"/>
      <c r="Q346" s="230"/>
      <c r="R346" s="230"/>
      <c r="S346" s="232"/>
      <c r="T346" s="231"/>
      <c r="U346" s="229"/>
      <c r="V346" s="233"/>
    </row>
    <row r="347" spans="1:22">
      <c r="A347" s="216" t="s">
        <v>1744</v>
      </c>
      <c r="B347" s="18" t="s">
        <v>1745</v>
      </c>
      <c r="C347" s="229" t="str">
        <f>IF(ISBLANK(Raw_Data!C347),"unknown",PROPER(TRIM(CLEAN(Raw_Data!C347))))</f>
        <v>Dinesh K</v>
      </c>
      <c r="D347" s="230"/>
      <c r="E347" s="231"/>
      <c r="F347" s="231"/>
      <c r="G347" s="229"/>
      <c r="H347" s="230"/>
      <c r="I347" s="230"/>
      <c r="J347" s="230"/>
      <c r="K347" s="231"/>
      <c r="L347" s="231"/>
      <c r="M347" s="231"/>
      <c r="N347" s="231"/>
      <c r="O347" s="230"/>
      <c r="P347" s="232"/>
      <c r="Q347" s="230"/>
      <c r="R347" s="230"/>
      <c r="S347" s="232"/>
      <c r="T347" s="231"/>
      <c r="U347" s="231"/>
      <c r="V347" s="233"/>
    </row>
    <row r="348" spans="1:22">
      <c r="A348" s="215" t="s">
        <v>1748</v>
      </c>
      <c r="B348" s="14" t="s">
        <v>336</v>
      </c>
      <c r="C348" s="229" t="str">
        <f>IF(ISBLANK(Raw_Data!C348),"unknown",PROPER(TRIM(CLEAN(Raw_Data!C348))))</f>
        <v>Aarav Shah</v>
      </c>
      <c r="D348" s="230"/>
      <c r="E348" s="231"/>
      <c r="F348" s="231"/>
      <c r="G348" s="231"/>
      <c r="H348" s="230"/>
      <c r="I348" s="230"/>
      <c r="J348" s="230"/>
      <c r="K348" s="231"/>
      <c r="L348" s="231"/>
      <c r="M348" s="231"/>
      <c r="N348" s="231"/>
      <c r="O348" s="235"/>
      <c r="P348" s="232"/>
      <c r="Q348" s="230"/>
      <c r="R348" s="230"/>
      <c r="S348" s="235"/>
      <c r="T348" s="231"/>
      <c r="U348" s="231"/>
      <c r="V348" s="234"/>
    </row>
    <row r="349" spans="1:22">
      <c r="A349" s="216" t="s">
        <v>1751</v>
      </c>
      <c r="B349" s="18" t="s">
        <v>1752</v>
      </c>
      <c r="C349" s="229" t="str">
        <f>IF(ISBLANK(Raw_Data!C349),"unknown",PROPER(TRIM(CLEAN(Raw_Data!C349))))</f>
        <v>Divya Nair</v>
      </c>
      <c r="D349" s="230"/>
      <c r="E349" s="231"/>
      <c r="F349" s="231"/>
      <c r="G349" s="231"/>
      <c r="H349" s="230"/>
      <c r="I349" s="230"/>
      <c r="J349" s="230"/>
      <c r="K349" s="231"/>
      <c r="L349" s="231"/>
      <c r="M349" s="231"/>
      <c r="N349" s="231"/>
      <c r="O349" s="230"/>
      <c r="P349" s="232"/>
      <c r="Q349" s="230"/>
      <c r="R349" s="230"/>
      <c r="S349" s="232"/>
      <c r="T349" s="231"/>
      <c r="U349" s="229"/>
      <c r="V349" s="233"/>
    </row>
    <row r="350" spans="1:22">
      <c r="A350" s="215" t="s">
        <v>1755</v>
      </c>
      <c r="B350" s="14" t="s">
        <v>1135</v>
      </c>
      <c r="C350" s="231" t="str">
        <f>IF(ISBLANK(Raw_Data!C350),"unknown",PROPER(TRIM(CLEAN(Raw_Data!C350))))</f>
        <v>Anita Verma</v>
      </c>
      <c r="D350" s="230"/>
      <c r="E350" s="231"/>
      <c r="F350" s="231"/>
      <c r="G350" s="231"/>
      <c r="H350" s="230"/>
      <c r="I350" s="230"/>
      <c r="J350" s="230"/>
      <c r="K350" s="231"/>
      <c r="L350" s="231"/>
      <c r="M350" s="231"/>
      <c r="N350" s="231"/>
      <c r="O350" s="230"/>
      <c r="P350" s="232"/>
      <c r="Q350" s="230"/>
      <c r="R350" s="230"/>
      <c r="S350" s="232"/>
      <c r="T350" s="231"/>
      <c r="U350" s="229"/>
      <c r="V350" s="234"/>
    </row>
    <row r="351" spans="1:22">
      <c r="A351" s="216" t="s">
        <v>1758</v>
      </c>
      <c r="B351" s="18" t="s">
        <v>146</v>
      </c>
      <c r="C351" s="231" t="str">
        <f>IF(ISBLANK(Raw_Data!C351),"unknown",PROPER(TRIM(CLEAN(Raw_Data!C351))))</f>
        <v>Vijay Patel</v>
      </c>
      <c r="D351" s="230"/>
      <c r="E351" s="231"/>
      <c r="F351" s="231"/>
      <c r="G351" s="229"/>
      <c r="H351" s="230"/>
      <c r="I351" s="230"/>
      <c r="J351" s="230"/>
      <c r="K351" s="231"/>
      <c r="L351" s="231"/>
      <c r="M351" s="231"/>
      <c r="N351" s="231"/>
      <c r="O351" s="230"/>
      <c r="P351" s="232"/>
      <c r="Q351" s="230"/>
      <c r="R351" s="230"/>
      <c r="S351" s="232"/>
      <c r="T351" s="231"/>
      <c r="U351" s="229"/>
      <c r="V351" s="234"/>
    </row>
    <row r="352" spans="1:22">
      <c r="A352" s="215" t="s">
        <v>1761</v>
      </c>
      <c r="B352" s="14" t="s">
        <v>852</v>
      </c>
      <c r="C352" s="229" t="str">
        <f>IF(ISBLANK(Raw_Data!C352),"unknown",PROPER(TRIM(CLEAN(Raw_Data!C352))))</f>
        <v>Deepika Rao</v>
      </c>
      <c r="D352" s="230"/>
      <c r="E352" s="231"/>
      <c r="F352" s="231"/>
      <c r="G352" s="231"/>
      <c r="H352" s="230"/>
      <c r="I352" s="230"/>
      <c r="J352" s="230"/>
      <c r="K352" s="231"/>
      <c r="L352" s="231"/>
      <c r="M352" s="231"/>
      <c r="N352" s="231"/>
      <c r="O352" s="230"/>
      <c r="P352" s="232"/>
      <c r="Q352" s="230"/>
      <c r="R352" s="230"/>
      <c r="S352" s="232"/>
      <c r="T352" s="231"/>
      <c r="U352" s="229"/>
      <c r="V352" s="234"/>
    </row>
    <row r="353" spans="1:22">
      <c r="A353" s="216" t="s">
        <v>1764</v>
      </c>
      <c r="B353" s="18" t="s">
        <v>1765</v>
      </c>
      <c r="C353" s="231" t="str">
        <f>IF(ISBLANK(Raw_Data!C353),"unknown",PROPER(TRIM(CLEAN(Raw_Data!C353))))</f>
        <v>Lakshmi Devi</v>
      </c>
      <c r="D353" s="230"/>
      <c r="E353" s="231"/>
      <c r="F353" s="231"/>
      <c r="G353" s="229"/>
      <c r="H353" s="230"/>
      <c r="I353" s="230"/>
      <c r="J353" s="230"/>
      <c r="K353" s="231"/>
      <c r="L353" s="231"/>
      <c r="M353" s="231"/>
      <c r="N353" s="231"/>
      <c r="O353" s="230"/>
      <c r="P353" s="232"/>
      <c r="Q353" s="230"/>
      <c r="R353" s="230"/>
      <c r="S353" s="232"/>
      <c r="T353" s="231"/>
      <c r="U353" s="229"/>
      <c r="V353" s="234"/>
    </row>
    <row r="354" spans="1:22">
      <c r="A354" s="215" t="s">
        <v>1768</v>
      </c>
      <c r="B354" s="14" t="s">
        <v>540</v>
      </c>
      <c r="C354" s="229" t="str">
        <f>IF(ISBLANK(Raw_Data!C354),"unknown",PROPER(TRIM(CLEAN(Raw_Data!C354))))</f>
        <v>Saranya M</v>
      </c>
      <c r="D354" s="230"/>
      <c r="E354" s="231"/>
      <c r="F354" s="231"/>
      <c r="G354" s="231"/>
      <c r="H354" s="230"/>
      <c r="I354" s="235"/>
      <c r="J354" s="230"/>
      <c r="K354" s="231"/>
      <c r="L354" s="231"/>
      <c r="M354" s="231"/>
      <c r="N354" s="231"/>
      <c r="O354" s="230"/>
      <c r="P354" s="232"/>
      <c r="Q354" s="230"/>
      <c r="R354" s="230"/>
      <c r="S354" s="232"/>
      <c r="T354" s="231"/>
      <c r="U354" s="229"/>
      <c r="V354" s="234"/>
    </row>
    <row r="355" spans="1:22">
      <c r="A355" s="216" t="s">
        <v>1771</v>
      </c>
      <c r="B355" s="18" t="s">
        <v>1772</v>
      </c>
      <c r="C355" s="229" t="str">
        <f>IF(ISBLANK(Raw_Data!C355),"unknown",PROPER(TRIM(CLEAN(Raw_Data!C355))))</f>
        <v>Rekha Pandey</v>
      </c>
      <c r="D355" s="230"/>
      <c r="E355" s="231"/>
      <c r="F355" s="231"/>
      <c r="G355" s="229"/>
      <c r="H355" s="230"/>
      <c r="I355" s="230"/>
      <c r="J355" s="230"/>
      <c r="K355" s="231"/>
      <c r="L355" s="231"/>
      <c r="M355" s="231"/>
      <c r="N355" s="231"/>
      <c r="O355" s="230"/>
      <c r="P355" s="232"/>
      <c r="Q355" s="230"/>
      <c r="R355" s="230"/>
      <c r="S355" s="232"/>
      <c r="T355" s="231"/>
      <c r="U355" s="229"/>
      <c r="V355" s="233"/>
    </row>
    <row r="356" spans="1:22">
      <c r="A356" s="215" t="s">
        <v>1775</v>
      </c>
      <c r="B356" s="14" t="s">
        <v>457</v>
      </c>
      <c r="C356" s="231" t="str">
        <f>IF(ISBLANK(Raw_Data!C356),"unknown",PROPER(TRIM(CLEAN(Raw_Data!C356))))</f>
        <v>Manish Tiwari</v>
      </c>
      <c r="D356" s="230"/>
      <c r="E356" s="231"/>
      <c r="F356" s="231"/>
      <c r="G356" s="231"/>
      <c r="H356" s="230"/>
      <c r="I356" s="230"/>
      <c r="J356" s="230"/>
      <c r="K356" s="231"/>
      <c r="L356" s="231"/>
      <c r="M356" s="231"/>
      <c r="N356" s="231"/>
      <c r="O356" s="230"/>
      <c r="P356" s="232"/>
      <c r="Q356" s="230"/>
      <c r="R356" s="230"/>
      <c r="S356" s="232"/>
      <c r="T356" s="231"/>
      <c r="U356" s="231"/>
      <c r="V356" s="234"/>
    </row>
    <row r="357" spans="1:22">
      <c r="A357" s="216" t="s">
        <v>1778</v>
      </c>
      <c r="B357" s="18" t="s">
        <v>1558</v>
      </c>
      <c r="C357" s="229" t="str">
        <f>IF(ISBLANK(Raw_Data!C357),"unknown",PROPER(TRIM(CLEAN(Raw_Data!C357))))</f>
        <v>Sita Devi</v>
      </c>
      <c r="D357" s="230"/>
      <c r="E357" s="231"/>
      <c r="F357" s="231"/>
      <c r="G357" s="231"/>
      <c r="H357" s="230"/>
      <c r="I357" s="230"/>
      <c r="J357" s="230"/>
      <c r="K357" s="231"/>
      <c r="L357" s="231"/>
      <c r="M357" s="231"/>
      <c r="N357" s="231"/>
      <c r="O357" s="230"/>
      <c r="P357" s="232"/>
      <c r="Q357" s="230"/>
      <c r="R357" s="230"/>
      <c r="S357" s="232"/>
      <c r="T357" s="231"/>
      <c r="U357" s="229"/>
      <c r="V357" s="233"/>
    </row>
    <row r="358" spans="1:22">
      <c r="A358" s="215" t="s">
        <v>1781</v>
      </c>
      <c r="B358" s="14" t="s">
        <v>884</v>
      </c>
      <c r="C358" s="229" t="str">
        <f>IF(ISBLANK(Raw_Data!C358),"unknown",PROPER(TRIM(CLEAN(Raw_Data!C358))))</f>
        <v>Preethi S</v>
      </c>
      <c r="D358" s="230"/>
      <c r="E358" s="231"/>
      <c r="F358" s="231"/>
      <c r="G358" s="231"/>
      <c r="H358" s="230"/>
      <c r="I358" s="230"/>
      <c r="J358" s="230"/>
      <c r="K358" s="231"/>
      <c r="L358" s="231"/>
      <c r="M358" s="231"/>
      <c r="N358" s="231"/>
      <c r="O358" s="230"/>
      <c r="P358" s="232"/>
      <c r="Q358" s="230"/>
      <c r="R358" s="230"/>
      <c r="S358" s="232"/>
      <c r="T358" s="231"/>
      <c r="U358" s="231"/>
      <c r="V358" s="233"/>
    </row>
    <row r="359" spans="1:22">
      <c r="A359" s="216" t="s">
        <v>1784</v>
      </c>
      <c r="B359" s="18" t="s">
        <v>1595</v>
      </c>
      <c r="C359" s="229" t="str">
        <f>IF(ISBLANK(Raw_Data!C359),"unknown",PROPER(TRIM(CLEAN(Raw_Data!C359))))</f>
        <v>Arun Sharma</v>
      </c>
      <c r="D359" s="230"/>
      <c r="E359" s="231"/>
      <c r="F359" s="229"/>
      <c r="G359" s="231"/>
      <c r="H359" s="230"/>
      <c r="I359" s="230"/>
      <c r="J359" s="230"/>
      <c r="K359" s="231"/>
      <c r="L359" s="231"/>
      <c r="M359" s="231"/>
      <c r="N359" s="231"/>
      <c r="O359" s="230"/>
      <c r="P359" s="235"/>
      <c r="Q359" s="230"/>
      <c r="R359" s="230"/>
      <c r="S359" s="235"/>
      <c r="T359" s="231"/>
      <c r="U359" s="231"/>
      <c r="V359" s="234"/>
    </row>
    <row r="360" spans="1:22">
      <c r="A360" s="215" t="s">
        <v>1786</v>
      </c>
      <c r="B360" s="14" t="s">
        <v>1787</v>
      </c>
      <c r="C360" s="231" t="str">
        <f>IF(ISBLANK(Raw_Data!C360),"unknown",PROPER(TRIM(CLEAN(Raw_Data!C360))))</f>
        <v>Dinesh K</v>
      </c>
      <c r="D360" s="230"/>
      <c r="E360" s="231"/>
      <c r="F360" s="229"/>
      <c r="G360" s="231"/>
      <c r="H360" s="230"/>
      <c r="I360" s="230"/>
      <c r="J360" s="230"/>
      <c r="K360" s="231"/>
      <c r="L360" s="231"/>
      <c r="M360" s="231"/>
      <c r="N360" s="231"/>
      <c r="O360" s="230"/>
      <c r="P360" s="232"/>
      <c r="Q360" s="230"/>
      <c r="R360" s="230"/>
      <c r="S360" s="232"/>
      <c r="T360" s="231"/>
      <c r="U360" s="229"/>
      <c r="V360" s="234"/>
    </row>
    <row r="361" spans="1:22">
      <c r="A361" s="216" t="s">
        <v>1790</v>
      </c>
      <c r="B361" s="18" t="s">
        <v>1791</v>
      </c>
      <c r="C361" s="229" t="str">
        <f>IF(ISBLANK(Raw_Data!C361),"unknown",PROPER(TRIM(CLEAN(Raw_Data!C361))))</f>
        <v>Prasad P</v>
      </c>
      <c r="D361" s="230"/>
      <c r="E361" s="231"/>
      <c r="F361" s="231"/>
      <c r="G361" s="231"/>
      <c r="H361" s="230"/>
      <c r="I361" s="230"/>
      <c r="J361" s="230"/>
      <c r="K361" s="231"/>
      <c r="L361" s="231"/>
      <c r="M361" s="231"/>
      <c r="N361" s="231"/>
      <c r="O361" s="230"/>
      <c r="P361" s="232"/>
      <c r="Q361" s="230"/>
      <c r="R361" s="230"/>
      <c r="S361" s="232"/>
      <c r="T361" s="231"/>
      <c r="U361" s="231"/>
      <c r="V361" s="234"/>
    </row>
    <row r="362" spans="1:22">
      <c r="A362" s="215" t="s">
        <v>1794</v>
      </c>
      <c r="B362" s="14" t="s">
        <v>1795</v>
      </c>
      <c r="C362" s="229" t="str">
        <f>IF(ISBLANK(Raw_Data!C362),"unknown",PROPER(TRIM(CLEAN(Raw_Data!C362))))</f>
        <v>Suresh Babu</v>
      </c>
      <c r="D362" s="230"/>
      <c r="E362" s="231"/>
      <c r="F362" s="231"/>
      <c r="G362" s="229"/>
      <c r="H362" s="230"/>
      <c r="I362" s="230"/>
      <c r="J362" s="230"/>
      <c r="K362" s="231"/>
      <c r="L362" s="231"/>
      <c r="M362" s="231"/>
      <c r="N362" s="231"/>
      <c r="O362" s="230"/>
      <c r="P362" s="235"/>
      <c r="Q362" s="230"/>
      <c r="R362" s="230"/>
      <c r="S362" s="232"/>
      <c r="T362" s="231"/>
      <c r="U362" s="229"/>
      <c r="V362" s="233"/>
    </row>
    <row r="363" spans="1:22">
      <c r="A363" s="216" t="s">
        <v>1799</v>
      </c>
      <c r="B363" s="18" t="s">
        <v>1800</v>
      </c>
      <c r="C363" s="229" t="str">
        <f>IF(ISBLANK(Raw_Data!C363),"unknown",PROPER(TRIM(CLEAN(Raw_Data!C363))))</f>
        <v>Meera Nair</v>
      </c>
      <c r="D363" s="230"/>
      <c r="E363" s="231"/>
      <c r="F363" s="231"/>
      <c r="G363" s="231"/>
      <c r="H363" s="230"/>
      <c r="I363" s="230"/>
      <c r="J363" s="230"/>
      <c r="K363" s="231"/>
      <c r="L363" s="231"/>
      <c r="M363" s="231"/>
      <c r="N363" s="231"/>
      <c r="O363" s="230"/>
      <c r="P363" s="232"/>
      <c r="Q363" s="230"/>
      <c r="R363" s="230"/>
      <c r="S363" s="232"/>
      <c r="T363" s="231"/>
      <c r="U363" s="229"/>
      <c r="V363" s="233"/>
    </row>
    <row r="364" spans="1:22">
      <c r="A364" s="215" t="s">
        <v>1803</v>
      </c>
      <c r="B364" s="14" t="s">
        <v>1804</v>
      </c>
      <c r="C364" s="229" t="str">
        <f>IF(ISBLANK(Raw_Data!C364),"unknown",PROPER(TRIM(CLEAN(Raw_Data!C364))))</f>
        <v>Rahul Gupta</v>
      </c>
      <c r="D364" s="230"/>
      <c r="E364" s="231"/>
      <c r="F364" s="231"/>
      <c r="G364" s="231"/>
      <c r="H364" s="230"/>
      <c r="I364" s="230"/>
      <c r="J364" s="230"/>
      <c r="K364" s="231"/>
      <c r="L364" s="231"/>
      <c r="M364" s="231"/>
      <c r="N364" s="231"/>
      <c r="O364" s="230"/>
      <c r="P364" s="232"/>
      <c r="Q364" s="230"/>
      <c r="R364" s="230"/>
      <c r="S364" s="232"/>
      <c r="T364" s="231"/>
      <c r="U364" s="231"/>
      <c r="V364" s="234"/>
    </row>
    <row r="365" spans="1:22">
      <c r="A365" s="216" t="s">
        <v>1807</v>
      </c>
      <c r="B365" s="18" t="s">
        <v>1808</v>
      </c>
      <c r="C365" s="231" t="str">
        <f>IF(ISBLANK(Raw_Data!C365),"unknown",PROPER(TRIM(CLEAN(Raw_Data!C365))))</f>
        <v>Vijay Patel</v>
      </c>
      <c r="D365" s="230"/>
      <c r="E365" s="231"/>
      <c r="F365" s="229"/>
      <c r="G365" s="231"/>
      <c r="H365" s="230"/>
      <c r="I365" s="230"/>
      <c r="J365" s="230"/>
      <c r="K365" s="231"/>
      <c r="L365" s="231"/>
      <c r="M365" s="231"/>
      <c r="N365" s="231"/>
      <c r="O365" s="235"/>
      <c r="P365" s="232"/>
      <c r="Q365" s="230"/>
      <c r="R365" s="230"/>
      <c r="S365" s="236"/>
      <c r="T365" s="231"/>
      <c r="U365" s="231"/>
      <c r="V365" s="234"/>
    </row>
    <row r="366" spans="1:22">
      <c r="A366" s="215" t="s">
        <v>1810</v>
      </c>
      <c r="B366" s="14" t="s">
        <v>385</v>
      </c>
      <c r="C366" s="229" t="str">
        <f>IF(ISBLANK(Raw_Data!C366),"unknown",PROPER(TRIM(CLEAN(Raw_Data!C366))))</f>
        <v>Rohit Yadav</v>
      </c>
      <c r="D366" s="230"/>
      <c r="E366" s="231"/>
      <c r="F366" s="231"/>
      <c r="G366" s="229"/>
      <c r="H366" s="230"/>
      <c r="I366" s="230"/>
      <c r="J366" s="230"/>
      <c r="K366" s="231"/>
      <c r="L366" s="231"/>
      <c r="M366" s="231"/>
      <c r="N366" s="231"/>
      <c r="O366" s="230"/>
      <c r="P366" s="232"/>
      <c r="Q366" s="230"/>
      <c r="R366" s="230"/>
      <c r="S366" s="232"/>
      <c r="T366" s="231"/>
      <c r="U366" s="231"/>
      <c r="V366" s="234"/>
    </row>
    <row r="367" spans="1:22">
      <c r="A367" s="216" t="s">
        <v>1813</v>
      </c>
      <c r="B367" s="18" t="s">
        <v>1814</v>
      </c>
      <c r="C367" s="231" t="str">
        <f>IF(ISBLANK(Raw_Data!C367),"unknown",PROPER(TRIM(CLEAN(Raw_Data!C367))))</f>
        <v>Pooja Iyer</v>
      </c>
      <c r="D367" s="230"/>
      <c r="E367" s="231"/>
      <c r="F367" s="231"/>
      <c r="G367" s="231"/>
      <c r="H367" s="230"/>
      <c r="I367" s="230"/>
      <c r="J367" s="230"/>
      <c r="K367" s="231"/>
      <c r="L367" s="231"/>
      <c r="M367" s="231"/>
      <c r="N367" s="231"/>
      <c r="O367" s="230"/>
      <c r="P367" s="232"/>
      <c r="Q367" s="230"/>
      <c r="R367" s="230"/>
      <c r="S367" s="235"/>
      <c r="T367" s="231"/>
      <c r="U367" s="229"/>
      <c r="V367" s="233"/>
    </row>
    <row r="368" spans="1:22">
      <c r="A368" s="215" t="s">
        <v>1817</v>
      </c>
      <c r="B368" s="14" t="s">
        <v>889</v>
      </c>
      <c r="C368" s="229" t="str">
        <f>IF(ISBLANK(Raw_Data!C368),"unknown",PROPER(TRIM(CLEAN(Raw_Data!C368))))</f>
        <v>unknown</v>
      </c>
      <c r="D368" s="230"/>
      <c r="E368" s="231"/>
      <c r="F368" s="229"/>
      <c r="G368" s="231"/>
      <c r="H368" s="230"/>
      <c r="I368" s="230"/>
      <c r="J368" s="230"/>
      <c r="K368" s="231"/>
      <c r="L368" s="231"/>
      <c r="M368" s="231"/>
      <c r="N368" s="231"/>
      <c r="O368" s="230"/>
      <c r="P368" s="232"/>
      <c r="Q368" s="230"/>
      <c r="R368" s="230"/>
      <c r="S368" s="232"/>
      <c r="T368" s="231"/>
      <c r="U368" s="229"/>
      <c r="V368" s="234"/>
    </row>
    <row r="369" spans="1:22">
      <c r="A369" s="216" t="s">
        <v>1818</v>
      </c>
      <c r="B369" s="18" t="s">
        <v>679</v>
      </c>
      <c r="C369" s="229" t="str">
        <f>IF(ISBLANK(Raw_Data!C369),"unknown",PROPER(TRIM(CLEAN(Raw_Data!C369))))</f>
        <v>Sita Devi</v>
      </c>
      <c r="D369" s="230"/>
      <c r="E369" s="231"/>
      <c r="F369" s="231"/>
      <c r="G369" s="229"/>
      <c r="H369" s="230"/>
      <c r="I369" s="230"/>
      <c r="J369" s="230"/>
      <c r="K369" s="231"/>
      <c r="L369" s="231"/>
      <c r="M369" s="231"/>
      <c r="N369" s="231"/>
      <c r="O369" s="230"/>
      <c r="P369" s="232"/>
      <c r="Q369" s="230"/>
      <c r="R369" s="230"/>
      <c r="S369" s="232"/>
      <c r="T369" s="231"/>
      <c r="U369" s="229"/>
      <c r="V369" s="233"/>
    </row>
    <row r="370" spans="1:22">
      <c r="A370" s="215" t="s">
        <v>1821</v>
      </c>
      <c r="B370" s="14" t="s">
        <v>1822</v>
      </c>
      <c r="C370" s="229" t="str">
        <f>IF(ISBLANK(Raw_Data!C370),"unknown",PROPER(TRIM(CLEAN(Raw_Data!C370))))</f>
        <v>Kavya Rao</v>
      </c>
      <c r="D370" s="230"/>
      <c r="E370" s="231"/>
      <c r="F370" s="231"/>
      <c r="G370" s="231"/>
      <c r="H370" s="230"/>
      <c r="I370" s="230"/>
      <c r="J370" s="230"/>
      <c r="K370" s="231"/>
      <c r="L370" s="231"/>
      <c r="M370" s="231"/>
      <c r="N370" s="231"/>
      <c r="O370" s="230"/>
      <c r="P370" s="232"/>
      <c r="Q370" s="230"/>
      <c r="R370" s="230"/>
      <c r="S370" s="232"/>
      <c r="T370" s="231"/>
      <c r="U370" s="231"/>
      <c r="V370" s="233"/>
    </row>
    <row r="371" spans="1:22">
      <c r="A371" s="216" t="s">
        <v>1825</v>
      </c>
      <c r="B371" s="18" t="s">
        <v>1036</v>
      </c>
      <c r="C371" s="231" t="str">
        <f>IF(ISBLANK(Raw_Data!C371),"unknown",PROPER(TRIM(CLEAN(Raw_Data!C371))))</f>
        <v>Vijay Patel</v>
      </c>
      <c r="D371" s="230"/>
      <c r="E371" s="231"/>
      <c r="F371" s="231"/>
      <c r="G371" s="231"/>
      <c r="H371" s="230"/>
      <c r="I371" s="230"/>
      <c r="J371" s="230"/>
      <c r="K371" s="231"/>
      <c r="L371" s="231"/>
      <c r="M371" s="231"/>
      <c r="N371" s="231"/>
      <c r="O371" s="230"/>
      <c r="P371" s="232"/>
      <c r="Q371" s="230"/>
      <c r="R371" s="230"/>
      <c r="S371" s="232"/>
      <c r="T371" s="231"/>
      <c r="U371" s="229"/>
      <c r="V371" s="233"/>
    </row>
    <row r="372" spans="1:22">
      <c r="A372" s="215" t="s">
        <v>1828</v>
      </c>
      <c r="B372" s="14" t="s">
        <v>1829</v>
      </c>
      <c r="C372" s="229" t="str">
        <f>IF(ISBLANK(Raw_Data!C372),"unknown",PROPER(TRIM(CLEAN(Raw_Data!C372))))</f>
        <v>Swati Gupta</v>
      </c>
      <c r="D372" s="230"/>
      <c r="E372" s="231"/>
      <c r="F372" s="231"/>
      <c r="G372" s="231"/>
      <c r="H372" s="230"/>
      <c r="I372" s="230"/>
      <c r="J372" s="230"/>
      <c r="K372" s="231"/>
      <c r="L372" s="231"/>
      <c r="M372" s="231"/>
      <c r="N372" s="231"/>
      <c r="O372" s="230"/>
      <c r="P372" s="232"/>
      <c r="Q372" s="230"/>
      <c r="R372" s="230"/>
      <c r="S372" s="232"/>
      <c r="T372" s="231"/>
      <c r="U372" s="229"/>
      <c r="V372" s="233"/>
    </row>
    <row r="373" spans="1:22">
      <c r="A373" s="216" t="s">
        <v>1832</v>
      </c>
      <c r="B373" s="18" t="s">
        <v>1833</v>
      </c>
      <c r="C373" s="231" t="str">
        <f>IF(ISBLANK(Raw_Data!C373),"unknown",PROPER(TRIM(CLEAN(Raw_Data!C373))))</f>
        <v>Rahul Gupta</v>
      </c>
      <c r="D373" s="230"/>
      <c r="E373" s="231"/>
      <c r="F373" s="231"/>
      <c r="G373" s="231"/>
      <c r="H373" s="230"/>
      <c r="I373" s="230"/>
      <c r="J373" s="230"/>
      <c r="K373" s="231"/>
      <c r="L373" s="231"/>
      <c r="M373" s="231"/>
      <c r="N373" s="231"/>
      <c r="O373" s="230"/>
      <c r="P373" s="232"/>
      <c r="Q373" s="230"/>
      <c r="R373" s="230"/>
      <c r="S373" s="232"/>
      <c r="T373" s="231"/>
      <c r="U373" s="229"/>
      <c r="V373" s="233"/>
    </row>
    <row r="374" spans="1:22">
      <c r="A374" s="215" t="s">
        <v>1836</v>
      </c>
      <c r="B374" s="14" t="s">
        <v>1837</v>
      </c>
      <c r="C374" s="231" t="str">
        <f>IF(ISBLANK(Raw_Data!C374),"unknown",PROPER(TRIM(CLEAN(Raw_Data!C374))))</f>
        <v>Dinesh K</v>
      </c>
      <c r="D374" s="230"/>
      <c r="E374" s="231"/>
      <c r="F374" s="231"/>
      <c r="G374" s="231"/>
      <c r="H374" s="230"/>
      <c r="I374" s="230"/>
      <c r="J374" s="230"/>
      <c r="K374" s="231"/>
      <c r="L374" s="231"/>
      <c r="M374" s="231"/>
      <c r="N374" s="231"/>
      <c r="O374" s="230"/>
      <c r="P374" s="232"/>
      <c r="Q374" s="230"/>
      <c r="R374" s="230"/>
      <c r="S374" s="232"/>
      <c r="T374" s="231"/>
      <c r="U374" s="231"/>
      <c r="V374" s="234"/>
    </row>
    <row r="375" spans="1:22">
      <c r="A375" s="216" t="s">
        <v>1841</v>
      </c>
      <c r="B375" s="18" t="s">
        <v>990</v>
      </c>
      <c r="C375" s="229" t="str">
        <f>IF(ISBLANK(Raw_Data!C375),"unknown",PROPER(TRIM(CLEAN(Raw_Data!C375))))</f>
        <v>Deepika Rao</v>
      </c>
      <c r="D375" s="230"/>
      <c r="E375" s="231"/>
      <c r="F375" s="231"/>
      <c r="G375" s="231"/>
      <c r="H375" s="230"/>
      <c r="I375" s="230"/>
      <c r="J375" s="230"/>
      <c r="K375" s="231"/>
      <c r="L375" s="231"/>
      <c r="M375" s="231"/>
      <c r="N375" s="231"/>
      <c r="O375" s="230"/>
      <c r="P375" s="232"/>
      <c r="Q375" s="230"/>
      <c r="R375" s="230"/>
      <c r="S375" s="235"/>
      <c r="T375" s="231"/>
      <c r="U375" s="231"/>
      <c r="V375" s="234"/>
    </row>
    <row r="376" spans="1:22">
      <c r="A376" s="215" t="s">
        <v>1844</v>
      </c>
      <c r="B376" s="14" t="s">
        <v>1145</v>
      </c>
      <c r="C376" s="229" t="str">
        <f>IF(ISBLANK(Raw_Data!C376),"unknown",PROPER(TRIM(CLEAN(Raw_Data!C376))))</f>
        <v>Saranya M</v>
      </c>
      <c r="D376" s="230"/>
      <c r="E376" s="231"/>
      <c r="F376" s="231"/>
      <c r="G376" s="231"/>
      <c r="H376" s="230"/>
      <c r="I376" s="230"/>
      <c r="J376" s="230"/>
      <c r="K376" s="231"/>
      <c r="L376" s="231"/>
      <c r="M376" s="231"/>
      <c r="N376" s="231"/>
      <c r="O376" s="230"/>
      <c r="P376" s="232"/>
      <c r="Q376" s="235"/>
      <c r="R376" s="230"/>
      <c r="S376" s="232"/>
      <c r="T376" s="231"/>
      <c r="U376" s="231"/>
      <c r="V376" s="233"/>
    </row>
    <row r="377" spans="1:22">
      <c r="A377" s="216" t="s">
        <v>1847</v>
      </c>
      <c r="B377" s="18" t="s">
        <v>1787</v>
      </c>
      <c r="C377" s="231" t="str">
        <f>IF(ISBLANK(Raw_Data!C377),"unknown",PROPER(TRIM(CLEAN(Raw_Data!C377))))</f>
        <v>Dinesh K</v>
      </c>
      <c r="D377" s="230"/>
      <c r="E377" s="231"/>
      <c r="F377" s="231"/>
      <c r="G377" s="231"/>
      <c r="H377" s="230"/>
      <c r="I377" s="230"/>
      <c r="J377" s="230"/>
      <c r="K377" s="231"/>
      <c r="L377" s="231"/>
      <c r="M377" s="231"/>
      <c r="N377" s="231"/>
      <c r="O377" s="230"/>
      <c r="P377" s="232"/>
      <c r="Q377" s="230"/>
      <c r="R377" s="230"/>
      <c r="S377" s="232"/>
      <c r="T377" s="231"/>
      <c r="U377" s="231"/>
      <c r="V377" s="234"/>
    </row>
    <row r="378" spans="1:22">
      <c r="A378" s="215" t="s">
        <v>1850</v>
      </c>
      <c r="B378" s="14" t="s">
        <v>727</v>
      </c>
      <c r="C378" s="229" t="str">
        <f>IF(ISBLANK(Raw_Data!C378),"unknown",PROPER(TRIM(CLEAN(Raw_Data!C378))))</f>
        <v>Sanjay Shah</v>
      </c>
      <c r="D378" s="230"/>
      <c r="E378" s="231"/>
      <c r="F378" s="231"/>
      <c r="G378" s="229"/>
      <c r="H378" s="230"/>
      <c r="I378" s="230"/>
      <c r="J378" s="230"/>
      <c r="K378" s="231"/>
      <c r="L378" s="231"/>
      <c r="M378" s="231"/>
      <c r="N378" s="231"/>
      <c r="O378" s="230"/>
      <c r="P378" s="232"/>
      <c r="Q378" s="230"/>
      <c r="R378" s="230"/>
      <c r="S378" s="232"/>
      <c r="T378" s="231"/>
      <c r="U378" s="231"/>
      <c r="V378" s="234"/>
    </row>
    <row r="379" spans="1:22">
      <c r="A379" s="216" t="s">
        <v>1854</v>
      </c>
      <c r="B379" s="18" t="s">
        <v>1129</v>
      </c>
      <c r="C379" s="229" t="str">
        <f>IF(ISBLANK(Raw_Data!C379),"unknown",PROPER(TRIM(CLEAN(Raw_Data!C379))))</f>
        <v>Dinesh K</v>
      </c>
      <c r="D379" s="230"/>
      <c r="E379" s="231"/>
      <c r="F379" s="231"/>
      <c r="G379" s="231"/>
      <c r="H379" s="230"/>
      <c r="I379" s="235"/>
      <c r="J379" s="230"/>
      <c r="K379" s="231"/>
      <c r="L379" s="229"/>
      <c r="M379" s="231"/>
      <c r="N379" s="231"/>
      <c r="O379" s="230"/>
      <c r="P379" s="232"/>
      <c r="Q379" s="230"/>
      <c r="R379" s="230"/>
      <c r="S379" s="232"/>
      <c r="T379" s="231"/>
      <c r="U379" s="229"/>
      <c r="V379" s="234"/>
    </row>
    <row r="380" spans="1:22">
      <c r="A380" s="215" t="s">
        <v>1857</v>
      </c>
      <c r="B380" s="14" t="s">
        <v>1858</v>
      </c>
      <c r="C380" s="229" t="str">
        <f>IF(ISBLANK(Raw_Data!C380),"unknown",PROPER(TRIM(CLEAN(Raw_Data!C380))))</f>
        <v>Ravi Kumar</v>
      </c>
      <c r="D380" s="230"/>
      <c r="E380" s="231"/>
      <c r="F380" s="231"/>
      <c r="G380" s="231"/>
      <c r="H380" s="230"/>
      <c r="I380" s="230"/>
      <c r="J380" s="230"/>
      <c r="K380" s="231"/>
      <c r="L380" s="231"/>
      <c r="M380" s="231"/>
      <c r="N380" s="231"/>
      <c r="O380" s="230"/>
      <c r="P380" s="232"/>
      <c r="Q380" s="230"/>
      <c r="R380" s="230"/>
      <c r="S380" s="232"/>
      <c r="T380" s="231"/>
      <c r="U380" s="229"/>
      <c r="V380" s="233"/>
    </row>
    <row r="381" spans="1:22">
      <c r="A381" s="216" t="s">
        <v>1861</v>
      </c>
      <c r="B381" s="18" t="s">
        <v>701</v>
      </c>
      <c r="C381" s="229" t="str">
        <f>IF(ISBLANK(Raw_Data!C381),"unknown",PROPER(TRIM(CLEAN(Raw_Data!C381))))</f>
        <v>Swati Gupta</v>
      </c>
      <c r="D381" s="230"/>
      <c r="E381" s="231"/>
      <c r="F381" s="231"/>
      <c r="G381" s="231"/>
      <c r="H381" s="230"/>
      <c r="I381" s="230"/>
      <c r="J381" s="230"/>
      <c r="K381" s="231"/>
      <c r="L381" s="231"/>
      <c r="M381" s="231"/>
      <c r="N381" s="231"/>
      <c r="O381" s="230"/>
      <c r="P381" s="232"/>
      <c r="Q381" s="230"/>
      <c r="R381" s="230"/>
      <c r="S381" s="232"/>
      <c r="T381" s="231"/>
      <c r="U381" s="229"/>
      <c r="V381" s="233"/>
    </row>
    <row r="382" spans="1:22">
      <c r="A382" s="215" t="s">
        <v>1864</v>
      </c>
      <c r="B382" s="14" t="s">
        <v>1515</v>
      </c>
      <c r="C382" s="229" t="str">
        <f>IF(ISBLANK(Raw_Data!C382),"unknown",PROPER(TRIM(CLEAN(Raw_Data!C382))))</f>
        <v>Sita Devi</v>
      </c>
      <c r="D382" s="230"/>
      <c r="E382" s="231"/>
      <c r="F382" s="231"/>
      <c r="G382" s="231"/>
      <c r="H382" s="230"/>
      <c r="I382" s="230"/>
      <c r="J382" s="230"/>
      <c r="K382" s="231"/>
      <c r="L382" s="231"/>
      <c r="M382" s="231"/>
      <c r="N382" s="231"/>
      <c r="O382" s="230"/>
      <c r="P382" s="232"/>
      <c r="Q382" s="230"/>
      <c r="R382" s="230"/>
      <c r="S382" s="232"/>
      <c r="T382" s="231"/>
      <c r="U382" s="229"/>
      <c r="V382" s="233"/>
    </row>
    <row r="383" spans="1:22">
      <c r="A383" s="216" t="s">
        <v>1867</v>
      </c>
      <c r="B383" s="18" t="s">
        <v>1868</v>
      </c>
      <c r="C383" s="229" t="str">
        <f>IF(ISBLANK(Raw_Data!C383),"unknown",PROPER(TRIM(CLEAN(Raw_Data!C383))))</f>
        <v>Manish Tiwari</v>
      </c>
      <c r="D383" s="230"/>
      <c r="E383" s="231"/>
      <c r="F383" s="231"/>
      <c r="G383" s="229"/>
      <c r="H383" s="230"/>
      <c r="I383" s="230"/>
      <c r="J383" s="230"/>
      <c r="K383" s="231"/>
      <c r="L383" s="231"/>
      <c r="M383" s="231"/>
      <c r="N383" s="231"/>
      <c r="O383" s="230"/>
      <c r="P383" s="232"/>
      <c r="Q383" s="230"/>
      <c r="R383" s="230"/>
      <c r="S383" s="232"/>
      <c r="T383" s="231"/>
      <c r="U383" s="231"/>
      <c r="V383" s="233"/>
    </row>
    <row r="384" spans="1:22">
      <c r="A384" s="215" t="s">
        <v>1871</v>
      </c>
      <c r="B384" s="14" t="s">
        <v>852</v>
      </c>
      <c r="C384" s="229" t="str">
        <f>IF(ISBLANK(Raw_Data!C384),"unknown",PROPER(TRIM(CLEAN(Raw_Data!C384))))</f>
        <v>Sanjay Shah</v>
      </c>
      <c r="D384" s="230"/>
      <c r="E384" s="231"/>
      <c r="F384" s="231"/>
      <c r="G384" s="231"/>
      <c r="H384" s="230"/>
      <c r="I384" s="230"/>
      <c r="J384" s="230"/>
      <c r="K384" s="231"/>
      <c r="L384" s="231"/>
      <c r="M384" s="231"/>
      <c r="N384" s="231"/>
      <c r="O384" s="230"/>
      <c r="P384" s="232"/>
      <c r="Q384" s="230"/>
      <c r="R384" s="230"/>
      <c r="S384" s="232"/>
      <c r="T384" s="231"/>
      <c r="U384" s="229"/>
      <c r="V384" s="234"/>
    </row>
    <row r="385" spans="1:22">
      <c r="A385" s="216" t="s">
        <v>1874</v>
      </c>
      <c r="B385" s="18" t="s">
        <v>1875</v>
      </c>
      <c r="C385" s="231" t="str">
        <f>IF(ISBLANK(Raw_Data!C385),"unknown",PROPER(TRIM(CLEAN(Raw_Data!C385))))</f>
        <v>Saranya M</v>
      </c>
      <c r="D385" s="230"/>
      <c r="E385" s="231"/>
      <c r="F385" s="231"/>
      <c r="G385" s="231"/>
      <c r="H385" s="230"/>
      <c r="I385" s="230"/>
      <c r="J385" s="230"/>
      <c r="K385" s="231"/>
      <c r="L385" s="231"/>
      <c r="M385" s="231"/>
      <c r="N385" s="231"/>
      <c r="O385" s="230"/>
      <c r="P385" s="232"/>
      <c r="Q385" s="230"/>
      <c r="R385" s="230"/>
      <c r="S385" s="232"/>
      <c r="T385" s="231"/>
      <c r="U385" s="231"/>
      <c r="V385" s="234"/>
    </row>
    <row r="386" spans="1:22">
      <c r="A386" s="215" t="s">
        <v>1878</v>
      </c>
      <c r="B386" s="14" t="s">
        <v>1879</v>
      </c>
      <c r="C386" s="229" t="str">
        <f>IF(ISBLANK(Raw_Data!C386),"unknown",PROPER(TRIM(CLEAN(Raw_Data!C386))))</f>
        <v>Manish Tiwari</v>
      </c>
      <c r="D386" s="230"/>
      <c r="E386" s="231"/>
      <c r="F386" s="231"/>
      <c r="G386" s="231"/>
      <c r="H386" s="230"/>
      <c r="I386" s="230"/>
      <c r="J386" s="230"/>
      <c r="K386" s="231"/>
      <c r="L386" s="231"/>
      <c r="M386" s="231"/>
      <c r="N386" s="231"/>
      <c r="O386" s="230"/>
      <c r="P386" s="232"/>
      <c r="Q386" s="230"/>
      <c r="R386" s="230"/>
      <c r="S386" s="232"/>
      <c r="T386" s="231"/>
      <c r="U386" s="231"/>
      <c r="V386" s="233"/>
    </row>
    <row r="387" spans="1:22">
      <c r="A387" s="216" t="s">
        <v>1882</v>
      </c>
      <c r="B387" s="18" t="s">
        <v>1883</v>
      </c>
      <c r="C387" s="229" t="str">
        <f>IF(ISBLANK(Raw_Data!C387),"unknown",PROPER(TRIM(CLEAN(Raw_Data!C387))))</f>
        <v>Meera Nair</v>
      </c>
      <c r="D387" s="230"/>
      <c r="E387" s="231"/>
      <c r="F387" s="231"/>
      <c r="G387" s="231"/>
      <c r="H387" s="230"/>
      <c r="I387" s="230"/>
      <c r="J387" s="230"/>
      <c r="K387" s="231"/>
      <c r="L387" s="231"/>
      <c r="M387" s="231"/>
      <c r="N387" s="231"/>
      <c r="O387" s="230"/>
      <c r="P387" s="232"/>
      <c r="Q387" s="235"/>
      <c r="R387" s="230"/>
      <c r="S387" s="232"/>
      <c r="T387" s="231"/>
      <c r="U387" s="231"/>
      <c r="V387" s="234"/>
    </row>
    <row r="388" spans="1:22">
      <c r="A388" s="215" t="s">
        <v>1887</v>
      </c>
      <c r="B388" s="14" t="s">
        <v>1888</v>
      </c>
      <c r="C388" s="231" t="str">
        <f>IF(ISBLANK(Raw_Data!C388),"unknown",PROPER(TRIM(CLEAN(Raw_Data!C388))))</f>
        <v>Ravi Shankar</v>
      </c>
      <c r="D388" s="230"/>
      <c r="E388" s="231"/>
      <c r="F388" s="231"/>
      <c r="G388" s="231"/>
      <c r="H388" s="230"/>
      <c r="I388" s="230"/>
      <c r="J388" s="230"/>
      <c r="K388" s="231"/>
      <c r="L388" s="231"/>
      <c r="M388" s="231"/>
      <c r="N388" s="231"/>
      <c r="O388" s="230"/>
      <c r="P388" s="232"/>
      <c r="Q388" s="230"/>
      <c r="R388" s="230"/>
      <c r="S388" s="232"/>
      <c r="T388" s="231"/>
      <c r="U388" s="231"/>
      <c r="V388" s="234"/>
    </row>
    <row r="389" spans="1:22">
      <c r="A389" s="216" t="s">
        <v>1891</v>
      </c>
      <c r="B389" s="18" t="s">
        <v>1892</v>
      </c>
      <c r="C389" s="229" t="str">
        <f>IF(ISBLANK(Raw_Data!C389),"unknown",PROPER(TRIM(CLEAN(Raw_Data!C389))))</f>
        <v>Suresh Babu</v>
      </c>
      <c r="D389" s="230"/>
      <c r="E389" s="231"/>
      <c r="F389" s="231"/>
      <c r="G389" s="231"/>
      <c r="H389" s="230"/>
      <c r="I389" s="230"/>
      <c r="J389" s="230"/>
      <c r="K389" s="231"/>
      <c r="L389" s="231"/>
      <c r="M389" s="231"/>
      <c r="N389" s="231"/>
      <c r="O389" s="230"/>
      <c r="P389" s="232"/>
      <c r="Q389" s="230"/>
      <c r="R389" s="230"/>
      <c r="S389" s="232"/>
      <c r="T389" s="231"/>
      <c r="U389" s="229"/>
      <c r="V389" s="233"/>
    </row>
    <row r="390" spans="1:22">
      <c r="A390" s="215" t="s">
        <v>1895</v>
      </c>
      <c r="B390" s="14" t="s">
        <v>1896</v>
      </c>
      <c r="C390" s="231" t="str">
        <f>IF(ISBLANK(Raw_Data!C390),"unknown",PROPER(TRIM(CLEAN(Raw_Data!C390))))</f>
        <v>Amit Singh</v>
      </c>
      <c r="D390" s="230"/>
      <c r="E390" s="231"/>
      <c r="F390" s="231"/>
      <c r="G390" s="231"/>
      <c r="H390" s="230"/>
      <c r="I390" s="230"/>
      <c r="J390" s="230"/>
      <c r="K390" s="231"/>
      <c r="L390" s="231"/>
      <c r="M390" s="231"/>
      <c r="N390" s="231"/>
      <c r="O390" s="230"/>
      <c r="P390" s="232"/>
      <c r="Q390" s="230"/>
      <c r="R390" s="230"/>
      <c r="S390" s="232"/>
      <c r="T390" s="231"/>
      <c r="U390" s="231"/>
      <c r="V390" s="233"/>
    </row>
    <row r="391" spans="1:22">
      <c r="A391" s="216" t="s">
        <v>1900</v>
      </c>
      <c r="B391" s="18" t="s">
        <v>1315</v>
      </c>
      <c r="C391" s="229" t="str">
        <f>IF(ISBLANK(Raw_Data!C391),"unknown",PROPER(TRIM(CLEAN(Raw_Data!C391))))</f>
        <v>Venkat Reddy</v>
      </c>
      <c r="D391" s="230"/>
      <c r="E391" s="231"/>
      <c r="F391" s="231"/>
      <c r="G391" s="231"/>
      <c r="H391" s="230"/>
      <c r="I391" s="230"/>
      <c r="J391" s="230"/>
      <c r="K391" s="231"/>
      <c r="L391" s="231"/>
      <c r="M391" s="231"/>
      <c r="N391" s="231"/>
      <c r="O391" s="230"/>
      <c r="P391" s="232"/>
      <c r="Q391" s="230"/>
      <c r="R391" s="230"/>
      <c r="S391" s="232"/>
      <c r="T391" s="231"/>
      <c r="U391" s="231"/>
      <c r="V391" s="233"/>
    </row>
    <row r="392" spans="1:22">
      <c r="A392" s="215" t="s">
        <v>1903</v>
      </c>
      <c r="B392" s="14" t="s">
        <v>1904</v>
      </c>
      <c r="C392" s="231" t="str">
        <f>IF(ISBLANK(Raw_Data!C392),"unknown",PROPER(TRIM(CLEAN(Raw_Data!C392))))</f>
        <v>Padma Lakshmi</v>
      </c>
      <c r="D392" s="230"/>
      <c r="E392" s="231"/>
      <c r="F392" s="231"/>
      <c r="G392" s="231"/>
      <c r="H392" s="230"/>
      <c r="I392" s="230"/>
      <c r="J392" s="230"/>
      <c r="K392" s="231"/>
      <c r="L392" s="231"/>
      <c r="M392" s="231"/>
      <c r="N392" s="231"/>
      <c r="O392" s="230"/>
      <c r="P392" s="232"/>
      <c r="Q392" s="230"/>
      <c r="R392" s="230"/>
      <c r="S392" s="232"/>
      <c r="T392" s="231"/>
      <c r="U392" s="231"/>
      <c r="V392" s="234"/>
    </row>
    <row r="393" spans="1:22">
      <c r="A393" s="216" t="s">
        <v>1907</v>
      </c>
      <c r="B393" s="18" t="s">
        <v>1908</v>
      </c>
      <c r="C393" s="229" t="str">
        <f>IF(ISBLANK(Raw_Data!C393),"unknown",PROPER(TRIM(CLEAN(Raw_Data!C393))))</f>
        <v>Meera Nair</v>
      </c>
      <c r="D393" s="230"/>
      <c r="E393" s="231"/>
      <c r="F393" s="231"/>
      <c r="G393" s="231"/>
      <c r="H393" s="230"/>
      <c r="I393" s="235"/>
      <c r="J393" s="230"/>
      <c r="K393" s="231"/>
      <c r="L393" s="231"/>
      <c r="M393" s="231"/>
      <c r="N393" s="231"/>
      <c r="O393" s="230"/>
      <c r="P393" s="232"/>
      <c r="Q393" s="230"/>
      <c r="R393" s="230"/>
      <c r="S393" s="232"/>
      <c r="T393" s="231"/>
      <c r="U393" s="231"/>
      <c r="V393" s="234"/>
    </row>
    <row r="394" spans="1:22">
      <c r="A394" s="215" t="s">
        <v>1911</v>
      </c>
      <c r="B394" s="14" t="s">
        <v>1912</v>
      </c>
      <c r="C394" s="231" t="str">
        <f>IF(ISBLANK(Raw_Data!C394),"unknown",PROPER(TRIM(CLEAN(Raw_Data!C394))))</f>
        <v>Lakshmi Devi</v>
      </c>
      <c r="D394" s="230"/>
      <c r="E394" s="231"/>
      <c r="F394" s="231"/>
      <c r="G394" s="231"/>
      <c r="H394" s="230"/>
      <c r="I394" s="230"/>
      <c r="J394" s="230"/>
      <c r="K394" s="231"/>
      <c r="L394" s="231"/>
      <c r="M394" s="231"/>
      <c r="N394" s="231"/>
      <c r="O394" s="230"/>
      <c r="P394" s="232"/>
      <c r="Q394" s="230"/>
      <c r="R394" s="230"/>
      <c r="S394" s="232"/>
      <c r="T394" s="231"/>
      <c r="U394" s="229"/>
      <c r="V394" s="233"/>
    </row>
    <row r="395" spans="1:22">
      <c r="A395" s="216" t="s">
        <v>1915</v>
      </c>
      <c r="B395" s="18" t="s">
        <v>1916</v>
      </c>
      <c r="C395" s="229" t="str">
        <f>IF(ISBLANK(Raw_Data!C395),"unknown",PROPER(TRIM(CLEAN(Raw_Data!C395))))</f>
        <v>Swati Gupta</v>
      </c>
      <c r="D395" s="230"/>
      <c r="E395" s="231"/>
      <c r="F395" s="231"/>
      <c r="G395" s="229"/>
      <c r="H395" s="230"/>
      <c r="I395" s="230"/>
      <c r="J395" s="230"/>
      <c r="K395" s="231"/>
      <c r="L395" s="231"/>
      <c r="M395" s="231"/>
      <c r="N395" s="231"/>
      <c r="O395" s="230"/>
      <c r="P395" s="232"/>
      <c r="Q395" s="235"/>
      <c r="R395" s="230"/>
      <c r="S395" s="232"/>
      <c r="T395" s="231"/>
      <c r="U395" s="229"/>
      <c r="V395" s="233"/>
    </row>
    <row r="396" spans="1:22">
      <c r="A396" s="215" t="s">
        <v>1920</v>
      </c>
      <c r="B396" s="14" t="s">
        <v>1921</v>
      </c>
      <c r="C396" s="231" t="str">
        <f>IF(ISBLANK(Raw_Data!C396),"unknown",PROPER(TRIM(CLEAN(Raw_Data!C396))))</f>
        <v>Deepa Krishnan</v>
      </c>
      <c r="D396" s="230"/>
      <c r="E396" s="231"/>
      <c r="F396" s="231"/>
      <c r="G396" s="231"/>
      <c r="H396" s="230"/>
      <c r="I396" s="230"/>
      <c r="J396" s="230"/>
      <c r="K396" s="231"/>
      <c r="L396" s="231"/>
      <c r="M396" s="231"/>
      <c r="N396" s="231"/>
      <c r="O396" s="230"/>
      <c r="P396" s="232"/>
      <c r="Q396" s="230"/>
      <c r="R396" s="230"/>
      <c r="S396" s="232"/>
      <c r="T396" s="231"/>
      <c r="U396" s="229"/>
      <c r="V396" s="234"/>
    </row>
    <row r="397" spans="1:22">
      <c r="A397" s="216" t="s">
        <v>1924</v>
      </c>
      <c r="B397" s="18" t="s">
        <v>1176</v>
      </c>
      <c r="C397" s="231" t="str">
        <f>IF(ISBLANK(Raw_Data!C397),"unknown",PROPER(TRIM(CLEAN(Raw_Data!C397))))</f>
        <v>Preethi S</v>
      </c>
      <c r="D397" s="230"/>
      <c r="E397" s="231"/>
      <c r="F397" s="231"/>
      <c r="G397" s="229"/>
      <c r="H397" s="230"/>
      <c r="I397" s="230"/>
      <c r="J397" s="230"/>
      <c r="K397" s="231"/>
      <c r="L397" s="231"/>
      <c r="M397" s="231"/>
      <c r="N397" s="231"/>
      <c r="O397" s="230"/>
      <c r="P397" s="232"/>
      <c r="Q397" s="230"/>
      <c r="R397" s="230"/>
      <c r="S397" s="232"/>
      <c r="T397" s="231"/>
      <c r="U397" s="231"/>
      <c r="V397" s="234"/>
    </row>
    <row r="398" spans="1:22">
      <c r="A398" s="215" t="s">
        <v>1927</v>
      </c>
      <c r="B398" s="14" t="s">
        <v>1928</v>
      </c>
      <c r="C398" s="229" t="str">
        <f>IF(ISBLANK(Raw_Data!C398),"unknown",PROPER(TRIM(CLEAN(Raw_Data!C398))))</f>
        <v>Arun Sharma</v>
      </c>
      <c r="D398" s="230"/>
      <c r="E398" s="231"/>
      <c r="F398" s="231"/>
      <c r="G398" s="231"/>
      <c r="H398" s="230"/>
      <c r="I398" s="230"/>
      <c r="J398" s="230"/>
      <c r="K398" s="231"/>
      <c r="L398" s="231"/>
      <c r="M398" s="231"/>
      <c r="N398" s="231"/>
      <c r="O398" s="230"/>
      <c r="P398" s="232"/>
      <c r="Q398" s="230"/>
      <c r="R398" s="230"/>
      <c r="S398" s="232"/>
      <c r="T398" s="231"/>
      <c r="U398" s="231"/>
      <c r="V398" s="234"/>
    </row>
    <row r="399" spans="1:22">
      <c r="A399" s="216" t="s">
        <v>1931</v>
      </c>
      <c r="B399" s="18" t="s">
        <v>1932</v>
      </c>
      <c r="C399" s="231" t="str">
        <f>IF(ISBLANK(Raw_Data!C399),"unknown",PROPER(TRIM(CLEAN(Raw_Data!C399))))</f>
        <v>Manoj Kumar</v>
      </c>
      <c r="D399" s="230"/>
      <c r="E399" s="231"/>
      <c r="F399" s="231"/>
      <c r="G399" s="231"/>
      <c r="H399" s="230"/>
      <c r="I399" s="230"/>
      <c r="J399" s="230"/>
      <c r="K399" s="231"/>
      <c r="L399" s="231"/>
      <c r="M399" s="231"/>
      <c r="N399" s="231"/>
      <c r="O399" s="230"/>
      <c r="P399" s="232"/>
      <c r="Q399" s="230"/>
      <c r="R399" s="230"/>
      <c r="S399" s="232"/>
      <c r="T399" s="231"/>
      <c r="U399" s="229"/>
      <c r="V399" s="233"/>
    </row>
    <row r="400" spans="1:22">
      <c r="A400" s="215" t="s">
        <v>1935</v>
      </c>
      <c r="B400" s="14" t="s">
        <v>1936</v>
      </c>
      <c r="C400" s="229" t="str">
        <f>IF(ISBLANK(Raw_Data!C400),"unknown",PROPER(TRIM(CLEAN(Raw_Data!C400))))</f>
        <v>Swati Gupta</v>
      </c>
      <c r="D400" s="230"/>
      <c r="E400" s="231"/>
      <c r="F400" s="231"/>
      <c r="G400" s="229"/>
      <c r="H400" s="230"/>
      <c r="I400" s="230"/>
      <c r="J400" s="230"/>
      <c r="K400" s="231"/>
      <c r="L400" s="231"/>
      <c r="M400" s="231"/>
      <c r="N400" s="231"/>
      <c r="O400" s="235"/>
      <c r="P400" s="232"/>
      <c r="Q400" s="230"/>
      <c r="R400" s="230"/>
      <c r="S400" s="236"/>
      <c r="T400" s="231"/>
      <c r="U400" s="229"/>
      <c r="V400" s="234"/>
    </row>
    <row r="401" spans="1:22">
      <c r="A401" s="216" t="s">
        <v>1939</v>
      </c>
      <c r="B401" s="18" t="s">
        <v>1733</v>
      </c>
      <c r="C401" s="229" t="str">
        <f>IF(ISBLANK(Raw_Data!C401),"unknown",PROPER(TRIM(CLEAN(Raw_Data!C401))))</f>
        <v>Aarav Shah</v>
      </c>
      <c r="D401" s="230"/>
      <c r="E401" s="231"/>
      <c r="F401" s="231"/>
      <c r="G401" s="231"/>
      <c r="H401" s="230"/>
      <c r="I401" s="230"/>
      <c r="J401" s="230"/>
      <c r="K401" s="231"/>
      <c r="L401" s="231"/>
      <c r="M401" s="231"/>
      <c r="N401" s="231"/>
      <c r="O401" s="230"/>
      <c r="P401" s="232"/>
      <c r="Q401" s="230"/>
      <c r="R401" s="230"/>
      <c r="S401" s="232"/>
      <c r="T401" s="231"/>
      <c r="U401" s="231"/>
      <c r="V401" s="233"/>
    </row>
    <row r="402" spans="1:22">
      <c r="A402" s="215" t="s">
        <v>1943</v>
      </c>
      <c r="B402" s="14" t="s">
        <v>1944</v>
      </c>
      <c r="C402" s="229" t="str">
        <f>IF(ISBLANK(Raw_Data!C402),"unknown",PROPER(TRIM(CLEAN(Raw_Data!C402))))</f>
        <v>Sanjay Shah</v>
      </c>
      <c r="D402" s="230"/>
      <c r="E402" s="231"/>
      <c r="F402" s="231"/>
      <c r="G402" s="229"/>
      <c r="H402" s="230"/>
      <c r="I402" s="230"/>
      <c r="J402" s="230"/>
      <c r="K402" s="231"/>
      <c r="L402" s="231"/>
      <c r="M402" s="231"/>
      <c r="N402" s="231"/>
      <c r="O402" s="230"/>
      <c r="P402" s="232"/>
      <c r="Q402" s="230"/>
      <c r="R402" s="230"/>
      <c r="S402" s="232"/>
      <c r="T402" s="231"/>
      <c r="U402" s="231"/>
      <c r="V402" s="233"/>
    </row>
    <row r="403" spans="1:22">
      <c r="A403" s="216" t="s">
        <v>1947</v>
      </c>
      <c r="B403" s="18" t="s">
        <v>1948</v>
      </c>
      <c r="C403" s="229" t="str">
        <f>IF(ISBLANK(Raw_Data!C403),"unknown",PROPER(TRIM(CLEAN(Raw_Data!C403))))</f>
        <v>unknown</v>
      </c>
      <c r="D403" s="230"/>
      <c r="E403" s="231"/>
      <c r="F403" s="231"/>
      <c r="G403" s="231"/>
      <c r="H403" s="230"/>
      <c r="I403" s="230"/>
      <c r="J403" s="230"/>
      <c r="K403" s="231"/>
      <c r="L403" s="231"/>
      <c r="M403" s="231"/>
      <c r="N403" s="231"/>
      <c r="O403" s="230"/>
      <c r="P403" s="232"/>
      <c r="Q403" s="230"/>
      <c r="R403" s="230"/>
      <c r="S403" s="232"/>
      <c r="T403" s="231"/>
      <c r="U403" s="229"/>
      <c r="V403" s="234"/>
    </row>
    <row r="404" spans="1:22">
      <c r="A404" s="215" t="s">
        <v>1951</v>
      </c>
      <c r="B404" s="14" t="s">
        <v>1952</v>
      </c>
      <c r="C404" s="229" t="str">
        <f>IF(ISBLANK(Raw_Data!C404),"unknown",PROPER(TRIM(CLEAN(Raw_Data!C404))))</f>
        <v>Nisha Patel</v>
      </c>
      <c r="D404" s="230"/>
      <c r="E404" s="231"/>
      <c r="F404" s="231"/>
      <c r="G404" s="231"/>
      <c r="H404" s="230"/>
      <c r="I404" s="235"/>
      <c r="J404" s="230"/>
      <c r="K404" s="231"/>
      <c r="L404" s="231"/>
      <c r="M404" s="231"/>
      <c r="N404" s="231"/>
      <c r="O404" s="230"/>
      <c r="P404" s="232"/>
      <c r="Q404" s="230"/>
      <c r="R404" s="230"/>
      <c r="S404" s="232"/>
      <c r="T404" s="231"/>
      <c r="U404" s="229"/>
      <c r="V404" s="234"/>
    </row>
    <row r="405" spans="1:22">
      <c r="A405" s="216" t="s">
        <v>1955</v>
      </c>
      <c r="B405" s="18" t="s">
        <v>1956</v>
      </c>
      <c r="C405" s="231" t="str">
        <f>IF(ISBLANK(Raw_Data!C405),"unknown",PROPER(TRIM(CLEAN(Raw_Data!C405))))</f>
        <v>Meera Nair</v>
      </c>
      <c r="D405" s="230"/>
      <c r="E405" s="231"/>
      <c r="F405" s="231"/>
      <c r="G405" s="231"/>
      <c r="H405" s="230"/>
      <c r="I405" s="230"/>
      <c r="J405" s="230"/>
      <c r="K405" s="231"/>
      <c r="L405" s="231"/>
      <c r="M405" s="231"/>
      <c r="N405" s="231"/>
      <c r="O405" s="230"/>
      <c r="P405" s="232"/>
      <c r="Q405" s="230"/>
      <c r="R405" s="230"/>
      <c r="S405" s="232"/>
      <c r="T405" s="231"/>
      <c r="U405" s="231"/>
      <c r="V405" s="233"/>
    </row>
    <row r="406" spans="1:22">
      <c r="A406" s="215" t="s">
        <v>1959</v>
      </c>
      <c r="B406" s="14" t="s">
        <v>1960</v>
      </c>
      <c r="C406" s="231" t="str">
        <f>IF(ISBLANK(Raw_Data!C406),"unknown",PROPER(TRIM(CLEAN(Raw_Data!C406))))</f>
        <v>Kiran Kumar</v>
      </c>
      <c r="D406" s="230"/>
      <c r="E406" s="231"/>
      <c r="F406" s="231"/>
      <c r="G406" s="231"/>
      <c r="H406" s="230"/>
      <c r="I406" s="230"/>
      <c r="J406" s="230"/>
      <c r="K406" s="231"/>
      <c r="L406" s="231"/>
      <c r="M406" s="231"/>
      <c r="N406" s="231"/>
      <c r="O406" s="230"/>
      <c r="P406" s="232"/>
      <c r="Q406" s="230"/>
      <c r="R406" s="230"/>
      <c r="S406" s="232"/>
      <c r="T406" s="231"/>
      <c r="U406" s="231"/>
      <c r="V406" s="233"/>
    </row>
    <row r="407" spans="1:22">
      <c r="A407" s="216" t="s">
        <v>1963</v>
      </c>
      <c r="B407" s="18" t="s">
        <v>393</v>
      </c>
      <c r="C407" s="231" t="str">
        <f>IF(ISBLANK(Raw_Data!C407),"unknown",PROPER(TRIM(CLEAN(Raw_Data!C407))))</f>
        <v>Dinesh K</v>
      </c>
      <c r="D407" s="230"/>
      <c r="E407" s="231"/>
      <c r="F407" s="231"/>
      <c r="G407" s="231"/>
      <c r="H407" s="230"/>
      <c r="I407" s="230"/>
      <c r="J407" s="230"/>
      <c r="K407" s="231"/>
      <c r="L407" s="231"/>
      <c r="M407" s="231"/>
      <c r="N407" s="231"/>
      <c r="O407" s="235"/>
      <c r="P407" s="232"/>
      <c r="Q407" s="230"/>
      <c r="R407" s="230"/>
      <c r="S407" s="236"/>
      <c r="T407" s="231"/>
      <c r="U407" s="231"/>
      <c r="V407" s="233"/>
    </row>
    <row r="408" spans="1:22">
      <c r="A408" s="215" t="s">
        <v>1966</v>
      </c>
      <c r="B408" s="14" t="s">
        <v>667</v>
      </c>
      <c r="C408" s="229" t="str">
        <f>IF(ISBLANK(Raw_Data!C408),"unknown",PROPER(TRIM(CLEAN(Raw_Data!C408))))</f>
        <v>Geetha Rao</v>
      </c>
      <c r="D408" s="230"/>
      <c r="E408" s="231"/>
      <c r="F408" s="231"/>
      <c r="G408" s="229"/>
      <c r="H408" s="230"/>
      <c r="I408" s="230"/>
      <c r="J408" s="230"/>
      <c r="K408" s="231"/>
      <c r="L408" s="231"/>
      <c r="M408" s="231"/>
      <c r="N408" s="231"/>
      <c r="O408" s="230"/>
      <c r="P408" s="232"/>
      <c r="Q408" s="230"/>
      <c r="R408" s="230"/>
      <c r="S408" s="235"/>
      <c r="T408" s="231"/>
      <c r="U408" s="231"/>
      <c r="V408" s="234"/>
    </row>
    <row r="409" spans="1:22">
      <c r="A409" s="216" t="s">
        <v>1969</v>
      </c>
      <c r="B409" s="18" t="s">
        <v>1464</v>
      </c>
      <c r="C409" s="229" t="str">
        <f>IF(ISBLANK(Raw_Data!C409),"unknown",PROPER(TRIM(CLEAN(Raw_Data!C409))))</f>
        <v>Sneha Reddy</v>
      </c>
      <c r="D409" s="230"/>
      <c r="E409" s="231"/>
      <c r="F409" s="231"/>
      <c r="G409" s="231"/>
      <c r="H409" s="230"/>
      <c r="I409" s="230"/>
      <c r="J409" s="230"/>
      <c r="K409" s="231"/>
      <c r="L409" s="231"/>
      <c r="M409" s="231"/>
      <c r="N409" s="231"/>
      <c r="O409" s="230"/>
      <c r="P409" s="232"/>
      <c r="Q409" s="230"/>
      <c r="R409" s="230"/>
      <c r="S409" s="232"/>
      <c r="T409" s="231"/>
      <c r="U409" s="231"/>
      <c r="V409" s="234"/>
    </row>
    <row r="410" spans="1:22">
      <c r="A410" s="215" t="s">
        <v>1972</v>
      </c>
      <c r="B410" s="14" t="s">
        <v>1276</v>
      </c>
      <c r="C410" s="229" t="str">
        <f>IF(ISBLANK(Raw_Data!C410),"unknown",PROPER(TRIM(CLEAN(Raw_Data!C410))))</f>
        <v>Lakshmi Devi</v>
      </c>
      <c r="D410" s="230"/>
      <c r="E410" s="231"/>
      <c r="F410" s="231"/>
      <c r="G410" s="231"/>
      <c r="H410" s="230"/>
      <c r="I410" s="230"/>
      <c r="J410" s="230"/>
      <c r="K410" s="231"/>
      <c r="L410" s="231"/>
      <c r="M410" s="231"/>
      <c r="N410" s="231"/>
      <c r="O410" s="230"/>
      <c r="P410" s="235"/>
      <c r="Q410" s="230"/>
      <c r="R410" s="230"/>
      <c r="S410" s="232"/>
      <c r="T410" s="231"/>
      <c r="U410" s="231"/>
      <c r="V410" s="233"/>
    </row>
    <row r="411" spans="1:22">
      <c r="A411" s="216" t="s">
        <v>1975</v>
      </c>
      <c r="B411" s="18" t="s">
        <v>1976</v>
      </c>
      <c r="C411" s="231" t="str">
        <f>IF(ISBLANK(Raw_Data!C411),"unknown",PROPER(TRIM(CLEAN(Raw_Data!C411))))</f>
        <v>Arun Sharma</v>
      </c>
      <c r="D411" s="230"/>
      <c r="E411" s="231"/>
      <c r="F411" s="231"/>
      <c r="G411" s="231"/>
      <c r="H411" s="230"/>
      <c r="I411" s="230"/>
      <c r="J411" s="230"/>
      <c r="K411" s="231"/>
      <c r="L411" s="231"/>
      <c r="M411" s="231"/>
      <c r="N411" s="231"/>
      <c r="O411" s="230"/>
      <c r="P411" s="232"/>
      <c r="Q411" s="230"/>
      <c r="R411" s="230"/>
      <c r="S411" s="232"/>
      <c r="T411" s="231"/>
      <c r="U411" s="231"/>
      <c r="V411" s="234"/>
    </row>
    <row r="412" spans="1:22">
      <c r="A412" s="215" t="s">
        <v>1980</v>
      </c>
      <c r="B412" s="14" t="s">
        <v>1981</v>
      </c>
      <c r="C412" s="231" t="str">
        <f>IF(ISBLANK(Raw_Data!C412),"unknown",PROPER(TRIM(CLEAN(Raw_Data!C412))))</f>
        <v>Prasad P</v>
      </c>
      <c r="D412" s="230"/>
      <c r="E412" s="231"/>
      <c r="F412" s="231"/>
      <c r="G412" s="231"/>
      <c r="H412" s="230"/>
      <c r="I412" s="230"/>
      <c r="J412" s="230"/>
      <c r="K412" s="231"/>
      <c r="L412" s="231"/>
      <c r="M412" s="231"/>
      <c r="N412" s="231"/>
      <c r="O412" s="230"/>
      <c r="P412" s="232"/>
      <c r="Q412" s="230"/>
      <c r="R412" s="230"/>
      <c r="S412" s="232"/>
      <c r="T412" s="231"/>
      <c r="U412" s="231"/>
      <c r="V412" s="233"/>
    </row>
    <row r="413" spans="1:22">
      <c r="A413" s="216" t="s">
        <v>1984</v>
      </c>
      <c r="B413" s="18" t="s">
        <v>1985</v>
      </c>
      <c r="C413" s="231" t="str">
        <f>IF(ISBLANK(Raw_Data!C413),"unknown",PROPER(TRIM(CLEAN(Raw_Data!C413))))</f>
        <v>Rekha Pandey</v>
      </c>
      <c r="D413" s="230"/>
      <c r="E413" s="231"/>
      <c r="F413" s="231"/>
      <c r="G413" s="231"/>
      <c r="H413" s="230"/>
      <c r="I413" s="230"/>
      <c r="J413" s="230"/>
      <c r="K413" s="231"/>
      <c r="L413" s="231"/>
      <c r="M413" s="231"/>
      <c r="N413" s="231"/>
      <c r="O413" s="230"/>
      <c r="P413" s="232"/>
      <c r="Q413" s="230"/>
      <c r="R413" s="230"/>
      <c r="S413" s="232"/>
      <c r="T413" s="231"/>
      <c r="U413" s="231"/>
      <c r="V413" s="234"/>
    </row>
    <row r="414" spans="1:22">
      <c r="A414" s="215" t="s">
        <v>1988</v>
      </c>
      <c r="B414" s="14" t="s">
        <v>452</v>
      </c>
      <c r="C414" s="231" t="str">
        <f>IF(ISBLANK(Raw_Data!C414),"unknown",PROPER(TRIM(CLEAN(Raw_Data!C414))))</f>
        <v>Vijay Patel</v>
      </c>
      <c r="D414" s="230"/>
      <c r="E414" s="231"/>
      <c r="F414" s="231"/>
      <c r="G414" s="231"/>
      <c r="H414" s="230"/>
      <c r="I414" s="230"/>
      <c r="J414" s="230"/>
      <c r="K414" s="231"/>
      <c r="L414" s="231"/>
      <c r="M414" s="231"/>
      <c r="N414" s="231"/>
      <c r="O414" s="235"/>
      <c r="P414" s="232"/>
      <c r="Q414" s="230"/>
      <c r="R414" s="230"/>
      <c r="S414" s="236"/>
      <c r="T414" s="231"/>
      <c r="U414" s="229"/>
      <c r="V414" s="234"/>
    </row>
    <row r="415" spans="1:22">
      <c r="A415" s="216" t="s">
        <v>1991</v>
      </c>
      <c r="B415" s="18" t="s">
        <v>1992</v>
      </c>
      <c r="C415" s="229" t="str">
        <f>IF(ISBLANK(Raw_Data!C415),"unknown",PROPER(TRIM(CLEAN(Raw_Data!C415))))</f>
        <v>Rekha Pandey</v>
      </c>
      <c r="D415" s="230"/>
      <c r="E415" s="231"/>
      <c r="F415" s="231"/>
      <c r="G415" s="231"/>
      <c r="H415" s="230"/>
      <c r="I415" s="230"/>
      <c r="J415" s="230"/>
      <c r="K415" s="231"/>
      <c r="L415" s="231"/>
      <c r="M415" s="231"/>
      <c r="N415" s="231"/>
      <c r="O415" s="230"/>
      <c r="P415" s="232"/>
      <c r="Q415" s="230"/>
      <c r="R415" s="230"/>
      <c r="S415" s="232"/>
      <c r="T415" s="231"/>
      <c r="U415" s="229"/>
      <c r="V415" s="233"/>
    </row>
    <row r="416" spans="1:22">
      <c r="A416" s="215" t="s">
        <v>1996</v>
      </c>
      <c r="B416" s="14" t="s">
        <v>1997</v>
      </c>
      <c r="C416" s="231" t="str">
        <f>IF(ISBLANK(Raw_Data!C416),"unknown",PROPER(TRIM(CLEAN(Raw_Data!C416))))</f>
        <v>Suresh Kumar</v>
      </c>
      <c r="D416" s="230"/>
      <c r="E416" s="231"/>
      <c r="F416" s="229"/>
      <c r="G416" s="231"/>
      <c r="H416" s="230"/>
      <c r="I416" s="230"/>
      <c r="J416" s="230"/>
      <c r="K416" s="231"/>
      <c r="L416" s="231"/>
      <c r="M416" s="231"/>
      <c r="N416" s="231"/>
      <c r="O416" s="230"/>
      <c r="P416" s="232"/>
      <c r="Q416" s="230"/>
      <c r="R416" s="230"/>
      <c r="S416" s="232"/>
      <c r="T416" s="231"/>
      <c r="U416" s="231"/>
      <c r="V416" s="233"/>
    </row>
    <row r="417" spans="1:22">
      <c r="A417" s="216" t="s">
        <v>1999</v>
      </c>
      <c r="B417" s="18" t="s">
        <v>2000</v>
      </c>
      <c r="C417" s="229" t="str">
        <f>IF(ISBLANK(Raw_Data!C417),"unknown",PROPER(TRIM(CLEAN(Raw_Data!C417))))</f>
        <v>Preethi S</v>
      </c>
      <c r="D417" s="230"/>
      <c r="E417" s="231"/>
      <c r="F417" s="231"/>
      <c r="G417" s="229"/>
      <c r="H417" s="230"/>
      <c r="I417" s="230"/>
      <c r="J417" s="230"/>
      <c r="K417" s="231"/>
      <c r="L417" s="231"/>
      <c r="M417" s="231"/>
      <c r="N417" s="231"/>
      <c r="O417" s="230"/>
      <c r="P417" s="232"/>
      <c r="Q417" s="230"/>
      <c r="R417" s="230"/>
      <c r="S417" s="232"/>
      <c r="T417" s="231"/>
      <c r="U417" s="231"/>
      <c r="V417" s="233"/>
    </row>
    <row r="418" spans="1:22">
      <c r="A418" s="215" t="s">
        <v>2003</v>
      </c>
      <c r="B418" s="14" t="s">
        <v>2004</v>
      </c>
      <c r="C418" s="229" t="str">
        <f>IF(ISBLANK(Raw_Data!C418),"unknown",PROPER(TRIM(CLEAN(Raw_Data!C418))))</f>
        <v>Sita Devi</v>
      </c>
      <c r="D418" s="230"/>
      <c r="E418" s="231"/>
      <c r="F418" s="229"/>
      <c r="G418" s="231"/>
      <c r="H418" s="230"/>
      <c r="I418" s="230"/>
      <c r="J418" s="230"/>
      <c r="K418" s="231"/>
      <c r="L418" s="231"/>
      <c r="M418" s="231"/>
      <c r="N418" s="231"/>
      <c r="O418" s="230"/>
      <c r="P418" s="232"/>
      <c r="Q418" s="230"/>
      <c r="R418" s="230"/>
      <c r="S418" s="232"/>
      <c r="T418" s="231"/>
      <c r="U418" s="229"/>
      <c r="V418" s="234"/>
    </row>
    <row r="419" spans="1:22">
      <c r="A419" s="216" t="s">
        <v>2006</v>
      </c>
      <c r="B419" s="18" t="s">
        <v>2007</v>
      </c>
      <c r="C419" s="229" t="str">
        <f>IF(ISBLANK(Raw_Data!C419),"unknown",PROPER(TRIM(CLEAN(Raw_Data!C419))))</f>
        <v>Geetha Rao</v>
      </c>
      <c r="D419" s="230"/>
      <c r="E419" s="231"/>
      <c r="F419" s="231"/>
      <c r="G419" s="231"/>
      <c r="H419" s="230"/>
      <c r="I419" s="230"/>
      <c r="J419" s="230"/>
      <c r="K419" s="231"/>
      <c r="L419" s="231"/>
      <c r="M419" s="231"/>
      <c r="N419" s="231"/>
      <c r="O419" s="230"/>
      <c r="P419" s="232"/>
      <c r="Q419" s="230"/>
      <c r="R419" s="230"/>
      <c r="S419" s="232"/>
      <c r="T419" s="231"/>
      <c r="U419" s="229"/>
      <c r="V419" s="234"/>
    </row>
    <row r="420" spans="1:22">
      <c r="A420" s="215" t="s">
        <v>2010</v>
      </c>
      <c r="B420" s="14" t="s">
        <v>2011</v>
      </c>
      <c r="C420" s="231" t="str">
        <f>IF(ISBLANK(Raw_Data!C420),"unknown",PROPER(TRIM(CLEAN(Raw_Data!C420))))</f>
        <v>Kiran Kumar</v>
      </c>
      <c r="D420" s="230"/>
      <c r="E420" s="231"/>
      <c r="F420" s="231"/>
      <c r="G420" s="231"/>
      <c r="H420" s="230"/>
      <c r="I420" s="230"/>
      <c r="J420" s="230"/>
      <c r="K420" s="231"/>
      <c r="L420" s="231"/>
      <c r="M420" s="231"/>
      <c r="N420" s="231"/>
      <c r="O420" s="230"/>
      <c r="P420" s="232"/>
      <c r="Q420" s="230"/>
      <c r="R420" s="230"/>
      <c r="S420" s="232"/>
      <c r="T420" s="231"/>
      <c r="U420" s="229"/>
      <c r="V420" s="234"/>
    </row>
    <row r="421" spans="1:22">
      <c r="A421" s="216" t="s">
        <v>2014</v>
      </c>
      <c r="B421" s="18" t="s">
        <v>2015</v>
      </c>
      <c r="C421" s="231" t="str">
        <f>IF(ISBLANK(Raw_Data!C421),"unknown",PROPER(TRIM(CLEAN(Raw_Data!C421))))</f>
        <v>Deepika Rao</v>
      </c>
      <c r="D421" s="230"/>
      <c r="E421" s="231"/>
      <c r="F421" s="231"/>
      <c r="G421" s="231"/>
      <c r="H421" s="230"/>
      <c r="I421" s="230"/>
      <c r="J421" s="230"/>
      <c r="K421" s="231"/>
      <c r="L421" s="231"/>
      <c r="M421" s="231"/>
      <c r="N421" s="231"/>
      <c r="O421" s="230"/>
      <c r="P421" s="232"/>
      <c r="Q421" s="230"/>
      <c r="R421" s="230"/>
      <c r="S421" s="232"/>
      <c r="T421" s="231"/>
      <c r="U421" s="229"/>
      <c r="V421" s="234"/>
    </row>
    <row r="422" spans="1:22">
      <c r="A422" s="215" t="s">
        <v>2018</v>
      </c>
      <c r="B422" s="14" t="s">
        <v>2019</v>
      </c>
      <c r="C422" s="229" t="str">
        <f>IF(ISBLANK(Raw_Data!C422),"unknown",PROPER(TRIM(CLEAN(Raw_Data!C422))))</f>
        <v>Nisha Patel</v>
      </c>
      <c r="D422" s="230"/>
      <c r="E422" s="231"/>
      <c r="F422" s="231"/>
      <c r="G422" s="231"/>
      <c r="H422" s="230"/>
      <c r="I422" s="230"/>
      <c r="J422" s="230"/>
      <c r="K422" s="231"/>
      <c r="L422" s="231"/>
      <c r="M422" s="231"/>
      <c r="N422" s="231"/>
      <c r="O422" s="230"/>
      <c r="P422" s="232"/>
      <c r="Q422" s="230"/>
      <c r="R422" s="230"/>
      <c r="S422" s="232"/>
      <c r="T422" s="231"/>
      <c r="U422" s="231"/>
      <c r="V422" s="234"/>
    </row>
    <row r="423" spans="1:22">
      <c r="A423" s="216" t="s">
        <v>2022</v>
      </c>
      <c r="B423" s="18" t="s">
        <v>1829</v>
      </c>
      <c r="C423" s="231" t="str">
        <f>IF(ISBLANK(Raw_Data!C423),"unknown",PROPER(TRIM(CLEAN(Raw_Data!C423))))</f>
        <v>Manish Tiwari</v>
      </c>
      <c r="D423" s="230"/>
      <c r="E423" s="231"/>
      <c r="F423" s="231"/>
      <c r="G423" s="231"/>
      <c r="H423" s="230"/>
      <c r="I423" s="230"/>
      <c r="J423" s="230"/>
      <c r="K423" s="231"/>
      <c r="L423" s="231"/>
      <c r="M423" s="231"/>
      <c r="N423" s="231"/>
      <c r="O423" s="230"/>
      <c r="P423" s="232"/>
      <c r="Q423" s="230"/>
      <c r="R423" s="230"/>
      <c r="S423" s="232"/>
      <c r="T423" s="231"/>
      <c r="U423" s="229"/>
      <c r="V423" s="233"/>
    </row>
    <row r="424" spans="1:22">
      <c r="A424" s="215" t="s">
        <v>2026</v>
      </c>
      <c r="B424" s="14" t="s">
        <v>2027</v>
      </c>
      <c r="C424" s="229" t="str">
        <f>IF(ISBLANK(Raw_Data!C424),"unknown",PROPER(TRIM(CLEAN(Raw_Data!C424))))</f>
        <v>Padma Lakshmi</v>
      </c>
      <c r="D424" s="230"/>
      <c r="E424" s="231"/>
      <c r="F424" s="231"/>
      <c r="G424" s="231"/>
      <c r="H424" s="230"/>
      <c r="I424" s="230"/>
      <c r="J424" s="230"/>
      <c r="K424" s="231"/>
      <c r="L424" s="231"/>
      <c r="M424" s="231"/>
      <c r="N424" s="231"/>
      <c r="O424" s="230"/>
      <c r="P424" s="232"/>
      <c r="Q424" s="230"/>
      <c r="R424" s="230"/>
      <c r="S424" s="232"/>
      <c r="T424" s="231"/>
      <c r="U424" s="231"/>
      <c r="V424" s="234"/>
    </row>
    <row r="425" spans="1:22">
      <c r="A425" s="216" t="s">
        <v>2030</v>
      </c>
      <c r="B425" s="18" t="s">
        <v>2031</v>
      </c>
      <c r="C425" s="229" t="str">
        <f>IF(ISBLANK(Raw_Data!C425),"unknown",PROPER(TRIM(CLEAN(Raw_Data!C425))))</f>
        <v>Venkat Reddy</v>
      </c>
      <c r="D425" s="230"/>
      <c r="E425" s="231"/>
      <c r="F425" s="231"/>
      <c r="G425" s="231"/>
      <c r="H425" s="230"/>
      <c r="I425" s="230"/>
      <c r="J425" s="230"/>
      <c r="K425" s="231"/>
      <c r="L425" s="231"/>
      <c r="M425" s="231"/>
      <c r="N425" s="231"/>
      <c r="O425" s="230"/>
      <c r="P425" s="232"/>
      <c r="Q425" s="230"/>
      <c r="R425" s="230"/>
      <c r="S425" s="232"/>
      <c r="T425" s="231"/>
      <c r="U425" s="231"/>
      <c r="V425" s="233"/>
    </row>
    <row r="426" spans="1:22">
      <c r="A426" s="215" t="s">
        <v>2034</v>
      </c>
      <c r="B426" s="14" t="s">
        <v>300</v>
      </c>
      <c r="C426" s="229" t="str">
        <f>IF(ISBLANK(Raw_Data!C426),"unknown",PROPER(TRIM(CLEAN(Raw_Data!C426))))</f>
        <v>Vijay Patel</v>
      </c>
      <c r="D426" s="230"/>
      <c r="E426" s="231"/>
      <c r="F426" s="231"/>
      <c r="G426" s="231"/>
      <c r="H426" s="230"/>
      <c r="I426" s="230"/>
      <c r="J426" s="230"/>
      <c r="K426" s="231"/>
      <c r="L426" s="231"/>
      <c r="M426" s="231"/>
      <c r="N426" s="231"/>
      <c r="O426" s="230"/>
      <c r="P426" s="232"/>
      <c r="Q426" s="230"/>
      <c r="R426" s="230"/>
      <c r="S426" s="232"/>
      <c r="T426" s="231"/>
      <c r="U426" s="231"/>
      <c r="V426" s="233"/>
    </row>
    <row r="427" spans="1:22">
      <c r="A427" s="216" t="s">
        <v>2037</v>
      </c>
      <c r="B427" s="18" t="s">
        <v>2038</v>
      </c>
      <c r="C427" s="231" t="str">
        <f>IF(ISBLANK(Raw_Data!C427),"unknown",PROPER(TRIM(CLEAN(Raw_Data!C427))))</f>
        <v>Prasad P</v>
      </c>
      <c r="D427" s="230"/>
      <c r="E427" s="231"/>
      <c r="F427" s="231"/>
      <c r="G427" s="231"/>
      <c r="H427" s="230"/>
      <c r="I427" s="230"/>
      <c r="J427" s="230"/>
      <c r="K427" s="231"/>
      <c r="L427" s="231"/>
      <c r="M427" s="231"/>
      <c r="N427" s="231"/>
      <c r="O427" s="230"/>
      <c r="P427" s="235"/>
      <c r="Q427" s="230"/>
      <c r="R427" s="230"/>
      <c r="S427" s="232"/>
      <c r="T427" s="231"/>
      <c r="U427" s="229"/>
      <c r="V427" s="234"/>
    </row>
    <row r="428" spans="1:22">
      <c r="A428" s="215" t="s">
        <v>2041</v>
      </c>
      <c r="B428" s="14" t="s">
        <v>2042</v>
      </c>
      <c r="C428" s="231" t="str">
        <f>IF(ISBLANK(Raw_Data!C428),"unknown",PROPER(TRIM(CLEAN(Raw_Data!C428))))</f>
        <v>Padma Lakshmi</v>
      </c>
      <c r="D428" s="230"/>
      <c r="E428" s="231"/>
      <c r="F428" s="231"/>
      <c r="G428" s="229"/>
      <c r="H428" s="230"/>
      <c r="I428" s="230"/>
      <c r="J428" s="230"/>
      <c r="K428" s="231"/>
      <c r="L428" s="231"/>
      <c r="M428" s="231"/>
      <c r="N428" s="231"/>
      <c r="O428" s="230"/>
      <c r="P428" s="232"/>
      <c r="Q428" s="230"/>
      <c r="R428" s="230"/>
      <c r="S428" s="232"/>
      <c r="T428" s="231"/>
      <c r="U428" s="231"/>
      <c r="V428" s="234"/>
    </row>
    <row r="429" spans="1:22">
      <c r="A429" s="216" t="s">
        <v>2046</v>
      </c>
      <c r="B429" s="18" t="s">
        <v>2047</v>
      </c>
      <c r="C429" s="229" t="str">
        <f>IF(ISBLANK(Raw_Data!C429),"unknown",PROPER(TRIM(CLEAN(Raw_Data!C429))))</f>
        <v>Sita Devi</v>
      </c>
      <c r="D429" s="230"/>
      <c r="E429" s="231"/>
      <c r="F429" s="231"/>
      <c r="G429" s="231"/>
      <c r="H429" s="230"/>
      <c r="I429" s="230"/>
      <c r="J429" s="230"/>
      <c r="K429" s="231"/>
      <c r="L429" s="231"/>
      <c r="M429" s="231"/>
      <c r="N429" s="231"/>
      <c r="O429" s="230"/>
      <c r="P429" s="232"/>
      <c r="Q429" s="230"/>
      <c r="R429" s="230"/>
      <c r="S429" s="232"/>
      <c r="T429" s="231"/>
      <c r="U429" s="229"/>
      <c r="V429" s="234"/>
    </row>
    <row r="430" spans="1:22">
      <c r="A430" s="215" t="s">
        <v>2050</v>
      </c>
      <c r="B430" s="14" t="s">
        <v>969</v>
      </c>
      <c r="C430" s="229" t="str">
        <f>IF(ISBLANK(Raw_Data!C430),"unknown",PROPER(TRIM(CLEAN(Raw_Data!C430))))</f>
        <v>Amit Singh</v>
      </c>
      <c r="D430" s="230"/>
      <c r="E430" s="231"/>
      <c r="F430" s="231"/>
      <c r="G430" s="231"/>
      <c r="H430" s="230"/>
      <c r="I430" s="230"/>
      <c r="J430" s="230"/>
      <c r="K430" s="231"/>
      <c r="L430" s="231"/>
      <c r="M430" s="231"/>
      <c r="N430" s="231"/>
      <c r="O430" s="230"/>
      <c r="P430" s="232"/>
      <c r="Q430" s="230"/>
      <c r="R430" s="230"/>
      <c r="S430" s="232"/>
      <c r="T430" s="231"/>
      <c r="U430" s="229"/>
      <c r="V430" s="234"/>
    </row>
    <row r="431" spans="1:22">
      <c r="A431" s="216" t="s">
        <v>2053</v>
      </c>
      <c r="B431" s="18" t="s">
        <v>2054</v>
      </c>
      <c r="C431" s="229" t="str">
        <f>IF(ISBLANK(Raw_Data!C431),"unknown",PROPER(TRIM(CLEAN(Raw_Data!C431))))</f>
        <v>Venkat Reddy</v>
      </c>
      <c r="D431" s="230"/>
      <c r="E431" s="231"/>
      <c r="F431" s="231"/>
      <c r="G431" s="231"/>
      <c r="H431" s="230"/>
      <c r="I431" s="230"/>
      <c r="J431" s="230"/>
      <c r="K431" s="231"/>
      <c r="L431" s="231"/>
      <c r="M431" s="231"/>
      <c r="N431" s="231"/>
      <c r="O431" s="230"/>
      <c r="P431" s="232"/>
      <c r="Q431" s="230"/>
      <c r="R431" s="230"/>
      <c r="S431" s="232"/>
      <c r="T431" s="231"/>
      <c r="U431" s="231"/>
      <c r="V431" s="234"/>
    </row>
    <row r="432" spans="1:22">
      <c r="A432" s="215" t="s">
        <v>2057</v>
      </c>
      <c r="B432" s="14" t="s">
        <v>578</v>
      </c>
      <c r="C432" s="229" t="str">
        <f>IF(ISBLANK(Raw_Data!C432),"unknown",PROPER(TRIM(CLEAN(Raw_Data!C432))))</f>
        <v>Meera Nair</v>
      </c>
      <c r="D432" s="230"/>
      <c r="E432" s="231"/>
      <c r="F432" s="231"/>
      <c r="G432" s="231"/>
      <c r="H432" s="230"/>
      <c r="I432" s="230"/>
      <c r="J432" s="230"/>
      <c r="K432" s="231"/>
      <c r="L432" s="231"/>
      <c r="M432" s="231"/>
      <c r="N432" s="231"/>
      <c r="O432" s="230"/>
      <c r="P432" s="232"/>
      <c r="Q432" s="230"/>
      <c r="R432" s="230"/>
      <c r="S432" s="232"/>
      <c r="T432" s="231"/>
      <c r="U432" s="231"/>
      <c r="V432" s="233"/>
    </row>
    <row r="433" spans="1:22">
      <c r="A433" s="216" t="s">
        <v>2060</v>
      </c>
      <c r="B433" s="18" t="s">
        <v>2061</v>
      </c>
      <c r="C433" s="229" t="str">
        <f>IF(ISBLANK(Raw_Data!C433),"unknown",PROPER(TRIM(CLEAN(Raw_Data!C433))))</f>
        <v>Anita Verma</v>
      </c>
      <c r="D433" s="230"/>
      <c r="E433" s="231"/>
      <c r="F433" s="231"/>
      <c r="G433" s="229"/>
      <c r="H433" s="230"/>
      <c r="I433" s="230"/>
      <c r="J433" s="230"/>
      <c r="K433" s="231"/>
      <c r="L433" s="231"/>
      <c r="M433" s="231"/>
      <c r="N433" s="231"/>
      <c r="O433" s="230"/>
      <c r="P433" s="232"/>
      <c r="Q433" s="230"/>
      <c r="R433" s="230"/>
      <c r="S433" s="232"/>
      <c r="T433" s="231"/>
      <c r="U433" s="229"/>
      <c r="V433" s="234"/>
    </row>
    <row r="434" spans="1:22">
      <c r="A434" s="215" t="s">
        <v>2065</v>
      </c>
      <c r="B434" s="14" t="s">
        <v>1650</v>
      </c>
      <c r="C434" s="231" t="str">
        <f>IF(ISBLANK(Raw_Data!C434),"unknown",PROPER(TRIM(CLEAN(Raw_Data!C434))))</f>
        <v>Anita Verma</v>
      </c>
      <c r="D434" s="230"/>
      <c r="E434" s="231"/>
      <c r="F434" s="231"/>
      <c r="G434" s="231"/>
      <c r="H434" s="230"/>
      <c r="I434" s="230"/>
      <c r="J434" s="230"/>
      <c r="K434" s="231"/>
      <c r="L434" s="231"/>
      <c r="M434" s="231"/>
      <c r="N434" s="231"/>
      <c r="O434" s="230"/>
      <c r="P434" s="232"/>
      <c r="Q434" s="230"/>
      <c r="R434" s="230"/>
      <c r="S434" s="232"/>
      <c r="T434" s="231"/>
      <c r="U434" s="231"/>
      <c r="V434" s="233"/>
    </row>
    <row r="435" spans="1:22">
      <c r="A435" s="216" t="s">
        <v>2068</v>
      </c>
      <c r="B435" s="18" t="s">
        <v>2069</v>
      </c>
      <c r="C435" s="229" t="str">
        <f>IF(ISBLANK(Raw_Data!C435),"unknown",PROPER(TRIM(CLEAN(Raw_Data!C435))))</f>
        <v>Priya Sharma</v>
      </c>
      <c r="D435" s="230"/>
      <c r="E435" s="231"/>
      <c r="F435" s="231"/>
      <c r="G435" s="231"/>
      <c r="H435" s="230"/>
      <c r="I435" s="235"/>
      <c r="J435" s="230"/>
      <c r="K435" s="231"/>
      <c r="L435" s="231"/>
      <c r="M435" s="231"/>
      <c r="N435" s="231"/>
      <c r="O435" s="230"/>
      <c r="P435" s="232"/>
      <c r="Q435" s="230"/>
      <c r="R435" s="230"/>
      <c r="S435" s="232"/>
      <c r="T435" s="231"/>
      <c r="U435" s="229"/>
      <c r="V435" s="233"/>
    </row>
    <row r="436" spans="1:22">
      <c r="A436" s="215" t="s">
        <v>2071</v>
      </c>
      <c r="B436" s="14" t="s">
        <v>1324</v>
      </c>
      <c r="C436" s="231" t="str">
        <f>IF(ISBLANK(Raw_Data!C436),"unknown",PROPER(TRIM(CLEAN(Raw_Data!C436))))</f>
        <v>Ravi Kumar</v>
      </c>
      <c r="D436" s="230"/>
      <c r="E436" s="231"/>
      <c r="F436" s="231"/>
      <c r="G436" s="231"/>
      <c r="H436" s="230"/>
      <c r="I436" s="230"/>
      <c r="J436" s="230"/>
      <c r="K436" s="231"/>
      <c r="L436" s="231"/>
      <c r="M436" s="231"/>
      <c r="N436" s="231"/>
      <c r="O436" s="230"/>
      <c r="P436" s="232"/>
      <c r="Q436" s="230"/>
      <c r="R436" s="230"/>
      <c r="S436" s="232"/>
      <c r="T436" s="231"/>
      <c r="U436" s="229"/>
      <c r="V436" s="234"/>
    </row>
    <row r="437" spans="1:22">
      <c r="A437" s="216" t="s">
        <v>2074</v>
      </c>
      <c r="B437" s="18" t="s">
        <v>1868</v>
      </c>
      <c r="C437" s="229" t="str">
        <f>IF(ISBLANK(Raw_Data!C437),"unknown",PROPER(TRIM(CLEAN(Raw_Data!C437))))</f>
        <v>Aarav Shah</v>
      </c>
      <c r="D437" s="230"/>
      <c r="E437" s="231"/>
      <c r="F437" s="231"/>
      <c r="G437" s="231"/>
      <c r="H437" s="230"/>
      <c r="I437" s="230"/>
      <c r="J437" s="230"/>
      <c r="K437" s="231"/>
      <c r="L437" s="231"/>
      <c r="M437" s="231"/>
      <c r="N437" s="231"/>
      <c r="O437" s="230"/>
      <c r="P437" s="232"/>
      <c r="Q437" s="230"/>
      <c r="R437" s="230"/>
      <c r="S437" s="235"/>
      <c r="T437" s="231"/>
      <c r="U437" s="231"/>
      <c r="V437" s="234"/>
    </row>
    <row r="438" spans="1:22">
      <c r="A438" s="215" t="s">
        <v>2077</v>
      </c>
      <c r="B438" s="14" t="s">
        <v>2078</v>
      </c>
      <c r="C438" s="229" t="str">
        <f>IF(ISBLANK(Raw_Data!C438),"unknown",PROPER(TRIM(CLEAN(Raw_Data!C438))))</f>
        <v>Kiran Kumar</v>
      </c>
      <c r="D438" s="230"/>
      <c r="E438" s="231"/>
      <c r="F438" s="231"/>
      <c r="G438" s="231"/>
      <c r="H438" s="230"/>
      <c r="I438" s="230"/>
      <c r="J438" s="230"/>
      <c r="K438" s="231"/>
      <c r="L438" s="231"/>
      <c r="M438" s="231"/>
      <c r="N438" s="231"/>
      <c r="O438" s="230"/>
      <c r="P438" s="232"/>
      <c r="Q438" s="230"/>
      <c r="R438" s="230"/>
      <c r="S438" s="232"/>
      <c r="T438" s="231"/>
      <c r="U438" s="231"/>
      <c r="V438" s="234"/>
    </row>
    <row r="439" spans="1:22">
      <c r="A439" s="216" t="s">
        <v>2082</v>
      </c>
      <c r="B439" s="18" t="s">
        <v>2083</v>
      </c>
      <c r="C439" s="231" t="str">
        <f>IF(ISBLANK(Raw_Data!C439),"unknown",PROPER(TRIM(CLEAN(Raw_Data!C439))))</f>
        <v>Dinesh K</v>
      </c>
      <c r="D439" s="230"/>
      <c r="E439" s="231"/>
      <c r="F439" s="231"/>
      <c r="G439" s="231"/>
      <c r="H439" s="230"/>
      <c r="I439" s="230"/>
      <c r="J439" s="230"/>
      <c r="K439" s="231"/>
      <c r="L439" s="231"/>
      <c r="M439" s="231"/>
      <c r="N439" s="231"/>
      <c r="O439" s="230"/>
      <c r="P439" s="232"/>
      <c r="Q439" s="230"/>
      <c r="R439" s="230"/>
      <c r="S439" s="232"/>
      <c r="T439" s="231"/>
      <c r="U439" s="229"/>
      <c r="V439" s="233"/>
    </row>
    <row r="440" spans="1:22">
      <c r="A440" s="215" t="s">
        <v>2086</v>
      </c>
      <c r="B440" s="14" t="s">
        <v>2087</v>
      </c>
      <c r="C440" s="231" t="str">
        <f>IF(ISBLANK(Raw_Data!C440),"unknown",PROPER(TRIM(CLEAN(Raw_Data!C440))))</f>
        <v>Rohit Yadav</v>
      </c>
      <c r="D440" s="230"/>
      <c r="E440" s="231"/>
      <c r="F440" s="231"/>
      <c r="G440" s="231"/>
      <c r="H440" s="230"/>
      <c r="I440" s="230"/>
      <c r="J440" s="230"/>
      <c r="K440" s="231"/>
      <c r="L440" s="231"/>
      <c r="M440" s="231"/>
      <c r="N440" s="231"/>
      <c r="O440" s="230"/>
      <c r="P440" s="232"/>
      <c r="Q440" s="230"/>
      <c r="R440" s="230"/>
      <c r="S440" s="232"/>
      <c r="T440" s="231"/>
      <c r="U440" s="229"/>
      <c r="V440" s="233"/>
    </row>
    <row r="441" spans="1:22">
      <c r="A441" s="216" t="s">
        <v>2090</v>
      </c>
      <c r="B441" s="18" t="s">
        <v>1102</v>
      </c>
      <c r="C441" s="229" t="str">
        <f>IF(ISBLANK(Raw_Data!C441),"unknown",PROPER(TRIM(CLEAN(Raw_Data!C441))))</f>
        <v>Vijay Patel</v>
      </c>
      <c r="D441" s="230"/>
      <c r="E441" s="231"/>
      <c r="F441" s="231"/>
      <c r="G441" s="231"/>
      <c r="H441" s="230"/>
      <c r="I441" s="235"/>
      <c r="J441" s="230"/>
      <c r="K441" s="231"/>
      <c r="L441" s="231"/>
      <c r="M441" s="231"/>
      <c r="N441" s="231"/>
      <c r="O441" s="230"/>
      <c r="P441" s="235"/>
      <c r="Q441" s="230"/>
      <c r="R441" s="230"/>
      <c r="S441" s="232"/>
      <c r="T441" s="231"/>
      <c r="U441" s="231"/>
      <c r="V441" s="234"/>
    </row>
    <row r="442" spans="1:22">
      <c r="A442" s="215" t="s">
        <v>2094</v>
      </c>
      <c r="B442" s="14" t="s">
        <v>1172</v>
      </c>
      <c r="C442" s="229" t="str">
        <f>IF(ISBLANK(Raw_Data!C442),"unknown",PROPER(TRIM(CLEAN(Raw_Data!C442))))</f>
        <v>Arun Sharma</v>
      </c>
      <c r="D442" s="230"/>
      <c r="E442" s="231"/>
      <c r="F442" s="231"/>
      <c r="G442" s="231"/>
      <c r="H442" s="230"/>
      <c r="I442" s="230"/>
      <c r="J442" s="230"/>
      <c r="K442" s="231"/>
      <c r="L442" s="231"/>
      <c r="M442" s="231"/>
      <c r="N442" s="231"/>
      <c r="O442" s="230"/>
      <c r="P442" s="232"/>
      <c r="Q442" s="230"/>
      <c r="R442" s="230"/>
      <c r="S442" s="232"/>
      <c r="T442" s="231"/>
      <c r="U442" s="231"/>
      <c r="V442" s="234"/>
    </row>
    <row r="443" spans="1:22">
      <c r="A443" s="216" t="s">
        <v>2097</v>
      </c>
      <c r="B443" s="18" t="s">
        <v>2098</v>
      </c>
      <c r="C443" s="229" t="str">
        <f>IF(ISBLANK(Raw_Data!C443),"unknown",PROPER(TRIM(CLEAN(Raw_Data!C443))))</f>
        <v>Rahul Gupta</v>
      </c>
      <c r="D443" s="230"/>
      <c r="E443" s="231"/>
      <c r="F443" s="231"/>
      <c r="G443" s="231"/>
      <c r="H443" s="230"/>
      <c r="I443" s="230"/>
      <c r="J443" s="230"/>
      <c r="K443" s="231"/>
      <c r="L443" s="231"/>
      <c r="M443" s="231"/>
      <c r="N443" s="231"/>
      <c r="O443" s="230"/>
      <c r="P443" s="232"/>
      <c r="Q443" s="230"/>
      <c r="R443" s="230"/>
      <c r="S443" s="232"/>
      <c r="T443" s="231"/>
      <c r="U443" s="229"/>
      <c r="V443" s="233"/>
    </row>
    <row r="444" spans="1:22">
      <c r="A444" s="215" t="s">
        <v>2100</v>
      </c>
      <c r="B444" s="14" t="s">
        <v>2101</v>
      </c>
      <c r="C444" s="231" t="str">
        <f>IF(ISBLANK(Raw_Data!C444),"unknown",PROPER(TRIM(CLEAN(Raw_Data!C444))))</f>
        <v>Suresh Babu</v>
      </c>
      <c r="D444" s="230"/>
      <c r="E444" s="231"/>
      <c r="F444" s="231"/>
      <c r="G444" s="231"/>
      <c r="H444" s="230"/>
      <c r="I444" s="230"/>
      <c r="J444" s="230"/>
      <c r="K444" s="231"/>
      <c r="L444" s="231"/>
      <c r="M444" s="231"/>
      <c r="N444" s="231"/>
      <c r="O444" s="230"/>
      <c r="P444" s="232"/>
      <c r="Q444" s="230"/>
      <c r="R444" s="230"/>
      <c r="S444" s="232"/>
      <c r="T444" s="231"/>
      <c r="U444" s="231"/>
      <c r="V444" s="233"/>
    </row>
    <row r="445" spans="1:22">
      <c r="A445" s="216" t="s">
        <v>2104</v>
      </c>
      <c r="B445" s="18" t="s">
        <v>2105</v>
      </c>
      <c r="C445" s="229" t="str">
        <f>IF(ISBLANK(Raw_Data!C445),"unknown",PROPER(TRIM(CLEAN(Raw_Data!C445))))</f>
        <v>Arjun Mehta</v>
      </c>
      <c r="D445" s="230"/>
      <c r="E445" s="231"/>
      <c r="F445" s="231"/>
      <c r="G445" s="231"/>
      <c r="H445" s="230"/>
      <c r="I445" s="230"/>
      <c r="J445" s="230"/>
      <c r="K445" s="231"/>
      <c r="L445" s="231"/>
      <c r="M445" s="231"/>
      <c r="N445" s="231"/>
      <c r="O445" s="230"/>
      <c r="P445" s="232"/>
      <c r="Q445" s="230"/>
      <c r="R445" s="230"/>
      <c r="S445" s="232"/>
      <c r="T445" s="231"/>
      <c r="U445" s="231"/>
      <c r="V445" s="234"/>
    </row>
    <row r="446" spans="1:22">
      <c r="A446" s="215" t="s">
        <v>2108</v>
      </c>
      <c r="B446" s="14" t="s">
        <v>2109</v>
      </c>
      <c r="C446" s="229" t="str">
        <f>IF(ISBLANK(Raw_Data!C446),"unknown",PROPER(TRIM(CLEAN(Raw_Data!C446))))</f>
        <v>Swati Gupta</v>
      </c>
      <c r="D446" s="230"/>
      <c r="E446" s="231"/>
      <c r="F446" s="231"/>
      <c r="G446" s="229"/>
      <c r="H446" s="230"/>
      <c r="I446" s="230"/>
      <c r="J446" s="230"/>
      <c r="K446" s="231"/>
      <c r="L446" s="231"/>
      <c r="M446" s="231"/>
      <c r="N446" s="231"/>
      <c r="O446" s="230"/>
      <c r="P446" s="232"/>
      <c r="Q446" s="230"/>
      <c r="R446" s="230"/>
      <c r="S446" s="232"/>
      <c r="T446" s="231"/>
      <c r="U446" s="229"/>
      <c r="V446" s="233"/>
    </row>
    <row r="447" spans="1:22">
      <c r="A447" s="216" t="s">
        <v>2112</v>
      </c>
      <c r="B447" s="18" t="s">
        <v>2113</v>
      </c>
      <c r="C447" s="229" t="str">
        <f>IF(ISBLANK(Raw_Data!C447),"unknown",PROPER(TRIM(CLEAN(Raw_Data!C447))))</f>
        <v>Meera Nair</v>
      </c>
      <c r="D447" s="230"/>
      <c r="E447" s="231"/>
      <c r="F447" s="231"/>
      <c r="G447" s="229"/>
      <c r="H447" s="230"/>
      <c r="I447" s="230"/>
      <c r="J447" s="230"/>
      <c r="K447" s="231"/>
      <c r="L447" s="231"/>
      <c r="M447" s="231"/>
      <c r="N447" s="231"/>
      <c r="O447" s="230"/>
      <c r="P447" s="232"/>
      <c r="Q447" s="230"/>
      <c r="R447" s="230"/>
      <c r="S447" s="232"/>
      <c r="T447" s="231"/>
      <c r="U447" s="231"/>
      <c r="V447" s="234"/>
    </row>
    <row r="448" spans="1:22">
      <c r="A448" s="215" t="s">
        <v>2116</v>
      </c>
      <c r="B448" s="14" t="s">
        <v>2117</v>
      </c>
      <c r="C448" s="229" t="str">
        <f>IF(ISBLANK(Raw_Data!C448),"unknown",PROPER(TRIM(CLEAN(Raw_Data!C448))))</f>
        <v>Rohit Yadav</v>
      </c>
      <c r="D448" s="230"/>
      <c r="E448" s="231"/>
      <c r="F448" s="231"/>
      <c r="G448" s="229"/>
      <c r="H448" s="230"/>
      <c r="I448" s="230"/>
      <c r="J448" s="230"/>
      <c r="K448" s="231"/>
      <c r="L448" s="231"/>
      <c r="M448" s="231"/>
      <c r="N448" s="231"/>
      <c r="O448" s="230"/>
      <c r="P448" s="232"/>
      <c r="Q448" s="230"/>
      <c r="R448" s="230"/>
      <c r="S448" s="232"/>
      <c r="T448" s="231"/>
      <c r="U448" s="229"/>
      <c r="V448" s="234"/>
    </row>
    <row r="449" spans="1:22">
      <c r="A449" s="216" t="s">
        <v>2120</v>
      </c>
      <c r="B449" s="18" t="s">
        <v>2121</v>
      </c>
      <c r="C449" s="229" t="str">
        <f>IF(ISBLANK(Raw_Data!C449),"unknown",PROPER(TRIM(CLEAN(Raw_Data!C449))))</f>
        <v>Deepa Krishnan</v>
      </c>
      <c r="D449" s="230"/>
      <c r="E449" s="231"/>
      <c r="F449" s="231"/>
      <c r="G449" s="229"/>
      <c r="H449" s="230"/>
      <c r="I449" s="230"/>
      <c r="J449" s="230"/>
      <c r="K449" s="231"/>
      <c r="L449" s="231"/>
      <c r="M449" s="231"/>
      <c r="N449" s="231"/>
      <c r="O449" s="230"/>
      <c r="P449" s="232"/>
      <c r="Q449" s="230"/>
      <c r="R449" s="230"/>
      <c r="S449" s="232"/>
      <c r="T449" s="231"/>
      <c r="U449" s="231"/>
      <c r="V449" s="234"/>
    </row>
    <row r="450" spans="1:22">
      <c r="A450" s="215" t="s">
        <v>2124</v>
      </c>
      <c r="B450" s="14" t="s">
        <v>2125</v>
      </c>
      <c r="C450" s="229" t="str">
        <f>IF(ISBLANK(Raw_Data!C450),"unknown",PROPER(TRIM(CLEAN(Raw_Data!C450))))</f>
        <v>Manoj Kumar</v>
      </c>
      <c r="D450" s="230"/>
      <c r="E450" s="231"/>
      <c r="F450" s="231"/>
      <c r="G450" s="231"/>
      <c r="H450" s="230"/>
      <c r="I450" s="235"/>
      <c r="J450" s="230"/>
      <c r="K450" s="231"/>
      <c r="L450" s="231"/>
      <c r="M450" s="231"/>
      <c r="N450" s="231"/>
      <c r="O450" s="230"/>
      <c r="P450" s="232"/>
      <c r="Q450" s="230"/>
      <c r="R450" s="230"/>
      <c r="S450" s="232"/>
      <c r="T450" s="231"/>
      <c r="U450" s="229"/>
      <c r="V450" s="234"/>
    </row>
    <row r="451" spans="1:22">
      <c r="A451" s="216" t="s">
        <v>2128</v>
      </c>
      <c r="B451" s="18" t="s">
        <v>2129</v>
      </c>
      <c r="C451" s="231" t="str">
        <f>IF(ISBLANK(Raw_Data!C451),"unknown",PROPER(TRIM(CLEAN(Raw_Data!C451))))</f>
        <v>Priya Sharma</v>
      </c>
      <c r="D451" s="230"/>
      <c r="E451" s="231"/>
      <c r="F451" s="231"/>
      <c r="G451" s="231"/>
      <c r="H451" s="230"/>
      <c r="I451" s="230"/>
      <c r="J451" s="230"/>
      <c r="K451" s="231"/>
      <c r="L451" s="231"/>
      <c r="M451" s="231"/>
      <c r="N451" s="231"/>
      <c r="O451" s="230"/>
      <c r="P451" s="232"/>
      <c r="Q451" s="230"/>
      <c r="R451" s="230"/>
      <c r="S451" s="232"/>
      <c r="T451" s="231"/>
      <c r="U451" s="229"/>
      <c r="V451" s="234"/>
    </row>
    <row r="452" spans="1:22">
      <c r="A452" s="215" t="s">
        <v>2133</v>
      </c>
      <c r="B452" s="14" t="s">
        <v>2134</v>
      </c>
      <c r="C452" s="229" t="str">
        <f>IF(ISBLANK(Raw_Data!C452),"unknown",PROPER(TRIM(CLEAN(Raw_Data!C452))))</f>
        <v>unknown</v>
      </c>
      <c r="D452" s="230"/>
      <c r="E452" s="231"/>
      <c r="F452" s="231"/>
      <c r="G452" s="231"/>
      <c r="H452" s="230"/>
      <c r="I452" s="230"/>
      <c r="J452" s="230"/>
      <c r="K452" s="231"/>
      <c r="L452" s="231"/>
      <c r="M452" s="231"/>
      <c r="N452" s="231"/>
      <c r="O452" s="230"/>
      <c r="P452" s="232"/>
      <c r="Q452" s="230"/>
      <c r="R452" s="230"/>
      <c r="S452" s="232"/>
      <c r="T452" s="231"/>
      <c r="U452" s="229"/>
      <c r="V452" s="233"/>
    </row>
    <row r="453" spans="1:22">
      <c r="A453" s="216" t="s">
        <v>2137</v>
      </c>
      <c r="B453" s="18" t="s">
        <v>2019</v>
      </c>
      <c r="C453" s="229" t="str">
        <f>IF(ISBLANK(Raw_Data!C453),"unknown",PROPER(TRIM(CLEAN(Raw_Data!C453))))</f>
        <v>Deepa Krishnan</v>
      </c>
      <c r="D453" s="230"/>
      <c r="E453" s="231"/>
      <c r="F453" s="231"/>
      <c r="G453" s="229"/>
      <c r="H453" s="230"/>
      <c r="I453" s="230"/>
      <c r="J453" s="230"/>
      <c r="K453" s="231"/>
      <c r="L453" s="231"/>
      <c r="M453" s="231"/>
      <c r="N453" s="231"/>
      <c r="O453" s="230"/>
      <c r="P453" s="232"/>
      <c r="Q453" s="230"/>
      <c r="R453" s="230"/>
      <c r="S453" s="232"/>
      <c r="T453" s="231"/>
      <c r="U453" s="231"/>
      <c r="V453" s="234"/>
    </row>
    <row r="454" spans="1:22">
      <c r="A454" s="215" t="s">
        <v>2140</v>
      </c>
      <c r="B454" s="14" t="s">
        <v>1306</v>
      </c>
      <c r="C454" s="229" t="str">
        <f>IF(ISBLANK(Raw_Data!C454),"unknown",PROPER(TRIM(CLEAN(Raw_Data!C454))))</f>
        <v>Geetha Rao</v>
      </c>
      <c r="D454" s="230"/>
      <c r="E454" s="231"/>
      <c r="F454" s="231"/>
      <c r="G454" s="231"/>
      <c r="H454" s="230"/>
      <c r="I454" s="235"/>
      <c r="J454" s="230"/>
      <c r="K454" s="231"/>
      <c r="L454" s="231"/>
      <c r="M454" s="231"/>
      <c r="N454" s="231"/>
      <c r="O454" s="230"/>
      <c r="P454" s="235"/>
      <c r="Q454" s="230"/>
      <c r="R454" s="230"/>
      <c r="S454" s="232"/>
      <c r="T454" s="231"/>
      <c r="U454" s="231"/>
      <c r="V454" s="234"/>
    </row>
    <row r="455" spans="1:22">
      <c r="A455" s="216" t="s">
        <v>2142</v>
      </c>
      <c r="B455" s="18" t="s">
        <v>167</v>
      </c>
      <c r="C455" s="229" t="str">
        <f>IF(ISBLANK(Raw_Data!C455),"unknown",PROPER(TRIM(CLEAN(Raw_Data!C455))))</f>
        <v>Ravi Shankar</v>
      </c>
      <c r="D455" s="230"/>
      <c r="E455" s="231"/>
      <c r="F455" s="231"/>
      <c r="G455" s="231"/>
      <c r="H455" s="230"/>
      <c r="I455" s="230"/>
      <c r="J455" s="230"/>
      <c r="K455" s="231"/>
      <c r="L455" s="231"/>
      <c r="M455" s="231"/>
      <c r="N455" s="231"/>
      <c r="O455" s="230"/>
      <c r="P455" s="232"/>
      <c r="Q455" s="230"/>
      <c r="R455" s="230"/>
      <c r="S455" s="232"/>
      <c r="T455" s="231"/>
      <c r="U455" s="231"/>
      <c r="V455" s="234"/>
    </row>
    <row r="456" spans="1:22">
      <c r="A456" s="215" t="s">
        <v>2146</v>
      </c>
      <c r="B456" s="14" t="s">
        <v>2147</v>
      </c>
      <c r="C456" s="229" t="str">
        <f>IF(ISBLANK(Raw_Data!C456),"unknown",PROPER(TRIM(CLEAN(Raw_Data!C456))))</f>
        <v>Ravi Kumar</v>
      </c>
      <c r="D456" s="230"/>
      <c r="E456" s="231"/>
      <c r="F456" s="231"/>
      <c r="G456" s="231"/>
      <c r="H456" s="230"/>
      <c r="I456" s="230"/>
      <c r="J456" s="230"/>
      <c r="K456" s="231"/>
      <c r="L456" s="231"/>
      <c r="M456" s="231"/>
      <c r="N456" s="231"/>
      <c r="O456" s="230"/>
      <c r="P456" s="232"/>
      <c r="Q456" s="230"/>
      <c r="R456" s="230"/>
      <c r="S456" s="232"/>
      <c r="T456" s="231"/>
      <c r="U456" s="229"/>
      <c r="V456" s="233"/>
    </row>
    <row r="457" spans="1:22">
      <c r="A457" s="216" t="s">
        <v>2150</v>
      </c>
      <c r="B457" s="18" t="s">
        <v>764</v>
      </c>
      <c r="C457" s="229" t="str">
        <f>IF(ISBLANK(Raw_Data!C457),"unknown",PROPER(TRIM(CLEAN(Raw_Data!C457))))</f>
        <v>Deepika Rao</v>
      </c>
      <c r="D457" s="230"/>
      <c r="E457" s="231"/>
      <c r="F457" s="231"/>
      <c r="G457" s="231"/>
      <c r="H457" s="230"/>
      <c r="I457" s="230"/>
      <c r="J457" s="230"/>
      <c r="K457" s="231"/>
      <c r="L457" s="231"/>
      <c r="M457" s="231"/>
      <c r="N457" s="231"/>
      <c r="O457" s="230"/>
      <c r="P457" s="232"/>
      <c r="Q457" s="230"/>
      <c r="R457" s="230"/>
      <c r="S457" s="232"/>
      <c r="T457" s="231"/>
      <c r="U457" s="229"/>
      <c r="V457" s="233"/>
    </row>
    <row r="458" spans="1:22">
      <c r="A458" s="215" t="s">
        <v>2153</v>
      </c>
      <c r="B458" s="14" t="s">
        <v>2154</v>
      </c>
      <c r="C458" s="229" t="str">
        <f>IF(ISBLANK(Raw_Data!C458),"unknown",PROPER(TRIM(CLEAN(Raw_Data!C458))))</f>
        <v>unknown</v>
      </c>
      <c r="D458" s="230"/>
      <c r="E458" s="231"/>
      <c r="F458" s="231"/>
      <c r="G458" s="231"/>
      <c r="H458" s="230"/>
      <c r="I458" s="230"/>
      <c r="J458" s="230"/>
      <c r="K458" s="231"/>
      <c r="L458" s="231"/>
      <c r="M458" s="231"/>
      <c r="N458" s="231"/>
      <c r="O458" s="230"/>
      <c r="P458" s="232"/>
      <c r="Q458" s="230"/>
      <c r="R458" s="230"/>
      <c r="S458" s="232"/>
      <c r="T458" s="231"/>
      <c r="U458" s="231"/>
      <c r="V458" s="234"/>
    </row>
    <row r="459" spans="1:22">
      <c r="A459" s="216" t="s">
        <v>2157</v>
      </c>
      <c r="B459" s="18" t="s">
        <v>811</v>
      </c>
      <c r="C459" s="231" t="str">
        <f>IF(ISBLANK(Raw_Data!C459),"unknown",PROPER(TRIM(CLEAN(Raw_Data!C459))))</f>
        <v>Saranya M</v>
      </c>
      <c r="D459" s="230"/>
      <c r="E459" s="231"/>
      <c r="F459" s="231"/>
      <c r="G459" s="229"/>
      <c r="H459" s="230"/>
      <c r="I459" s="230"/>
      <c r="J459" s="230"/>
      <c r="K459" s="231"/>
      <c r="L459" s="231"/>
      <c r="M459" s="231"/>
      <c r="N459" s="231"/>
      <c r="O459" s="230"/>
      <c r="P459" s="232"/>
      <c r="Q459" s="230"/>
      <c r="R459" s="230"/>
      <c r="S459" s="232"/>
      <c r="T459" s="231"/>
      <c r="U459" s="229"/>
      <c r="V459" s="234"/>
    </row>
    <row r="460" spans="1:22">
      <c r="A460" s="215" t="s">
        <v>2160</v>
      </c>
      <c r="B460" s="14" t="s">
        <v>1056</v>
      </c>
      <c r="C460" s="229" t="str">
        <f>IF(ISBLANK(Raw_Data!C460),"unknown",PROPER(TRIM(CLEAN(Raw_Data!C460))))</f>
        <v>Venkat Reddy</v>
      </c>
      <c r="D460" s="230"/>
      <c r="E460" s="231"/>
      <c r="F460" s="231"/>
      <c r="G460" s="231"/>
      <c r="H460" s="230"/>
      <c r="I460" s="230"/>
      <c r="J460" s="230"/>
      <c r="K460" s="231"/>
      <c r="L460" s="231"/>
      <c r="M460" s="231"/>
      <c r="N460" s="231"/>
      <c r="O460" s="230"/>
      <c r="P460" s="235"/>
      <c r="Q460" s="230"/>
      <c r="R460" s="230"/>
      <c r="S460" s="232"/>
      <c r="T460" s="231"/>
      <c r="U460" s="229"/>
      <c r="V460" s="234"/>
    </row>
    <row r="461" spans="1:22">
      <c r="A461" s="216" t="s">
        <v>2164</v>
      </c>
      <c r="B461" s="18" t="s">
        <v>2165</v>
      </c>
      <c r="C461" s="229" t="str">
        <f>IF(ISBLANK(Raw_Data!C461),"unknown",PROPER(TRIM(CLEAN(Raw_Data!C461))))</f>
        <v>Aarav Shah</v>
      </c>
      <c r="D461" s="230"/>
      <c r="E461" s="231"/>
      <c r="F461" s="231"/>
      <c r="G461" s="231"/>
      <c r="H461" s="230"/>
      <c r="I461" s="230"/>
      <c r="J461" s="230"/>
      <c r="K461" s="231"/>
      <c r="L461" s="231"/>
      <c r="M461" s="231"/>
      <c r="N461" s="231"/>
      <c r="O461" s="230"/>
      <c r="P461" s="235"/>
      <c r="Q461" s="230"/>
      <c r="R461" s="230"/>
      <c r="S461" s="232"/>
      <c r="T461" s="231"/>
      <c r="U461" s="229"/>
      <c r="V461" s="234"/>
    </row>
    <row r="462" spans="1:22">
      <c r="A462" s="215" t="s">
        <v>2168</v>
      </c>
      <c r="B462" s="14" t="s">
        <v>2169</v>
      </c>
      <c r="C462" s="229" t="str">
        <f>IF(ISBLANK(Raw_Data!C462),"unknown",PROPER(TRIM(CLEAN(Raw_Data!C462))))</f>
        <v>Amit Singh</v>
      </c>
      <c r="D462" s="230"/>
      <c r="E462" s="231"/>
      <c r="F462" s="231"/>
      <c r="G462" s="231"/>
      <c r="H462" s="230"/>
      <c r="I462" s="230"/>
      <c r="J462" s="230"/>
      <c r="K462" s="231"/>
      <c r="L462" s="231"/>
      <c r="M462" s="231"/>
      <c r="N462" s="231"/>
      <c r="O462" s="230"/>
      <c r="P462" s="232"/>
      <c r="Q462" s="230"/>
      <c r="R462" s="230"/>
      <c r="S462" s="232"/>
      <c r="T462" s="231"/>
      <c r="U462" s="229"/>
      <c r="V462" s="234"/>
    </row>
    <row r="463" spans="1:22">
      <c r="A463" s="216" t="s">
        <v>2173</v>
      </c>
      <c r="B463" s="18" t="s">
        <v>2078</v>
      </c>
      <c r="C463" s="229" t="str">
        <f>IF(ISBLANK(Raw_Data!C463),"unknown",PROPER(TRIM(CLEAN(Raw_Data!C463))))</f>
        <v>Kiran Kumar</v>
      </c>
      <c r="D463" s="230"/>
      <c r="E463" s="231"/>
      <c r="F463" s="231"/>
      <c r="G463" s="231"/>
      <c r="H463" s="230"/>
      <c r="I463" s="230"/>
      <c r="J463" s="230"/>
      <c r="K463" s="231"/>
      <c r="L463" s="231"/>
      <c r="M463" s="231"/>
      <c r="N463" s="231"/>
      <c r="O463" s="230"/>
      <c r="P463" s="232"/>
      <c r="Q463" s="230"/>
      <c r="R463" s="230"/>
      <c r="S463" s="232"/>
      <c r="T463" s="231"/>
      <c r="U463" s="229"/>
      <c r="V463" s="233"/>
    </row>
    <row r="464" spans="1:22">
      <c r="A464" s="215" t="s">
        <v>2176</v>
      </c>
      <c r="B464" s="14" t="s">
        <v>1135</v>
      </c>
      <c r="C464" s="229" t="str">
        <f>IF(ISBLANK(Raw_Data!C464),"unknown",PROPER(TRIM(CLEAN(Raw_Data!C464))))</f>
        <v>Prasad P</v>
      </c>
      <c r="D464" s="230"/>
      <c r="E464" s="231"/>
      <c r="F464" s="231"/>
      <c r="G464" s="231"/>
      <c r="H464" s="230"/>
      <c r="I464" s="230"/>
      <c r="J464" s="230"/>
      <c r="K464" s="231"/>
      <c r="L464" s="231"/>
      <c r="M464" s="231"/>
      <c r="N464" s="231"/>
      <c r="O464" s="230"/>
      <c r="P464" s="232"/>
      <c r="Q464" s="230"/>
      <c r="R464" s="230"/>
      <c r="S464" s="232"/>
      <c r="T464" s="231"/>
      <c r="U464" s="229"/>
      <c r="V464" s="234"/>
    </row>
    <row r="465" spans="1:22">
      <c r="A465" s="216" t="s">
        <v>2179</v>
      </c>
      <c r="B465" s="18" t="s">
        <v>2180</v>
      </c>
      <c r="C465" s="229" t="str">
        <f>IF(ISBLANK(Raw_Data!C465),"unknown",PROPER(TRIM(CLEAN(Raw_Data!C465))))</f>
        <v>Neha Singh</v>
      </c>
      <c r="D465" s="230"/>
      <c r="E465" s="231"/>
      <c r="F465" s="231"/>
      <c r="G465" s="231"/>
      <c r="H465" s="230"/>
      <c r="I465" s="230"/>
      <c r="J465" s="230"/>
      <c r="K465" s="231"/>
      <c r="L465" s="231"/>
      <c r="M465" s="231"/>
      <c r="N465" s="231"/>
      <c r="O465" s="230"/>
      <c r="P465" s="232"/>
      <c r="Q465" s="230"/>
      <c r="R465" s="230"/>
      <c r="S465" s="232"/>
      <c r="T465" s="231"/>
      <c r="U465" s="229"/>
      <c r="V465" s="234"/>
    </row>
    <row r="466" spans="1:22">
      <c r="A466" s="215" t="s">
        <v>2183</v>
      </c>
      <c r="B466" s="14" t="s">
        <v>1814</v>
      </c>
      <c r="C466" s="231" t="str">
        <f>IF(ISBLANK(Raw_Data!C466),"unknown",PROPER(TRIM(CLEAN(Raw_Data!C466))))</f>
        <v>Aarav Shah</v>
      </c>
      <c r="D466" s="230"/>
      <c r="E466" s="231"/>
      <c r="F466" s="231"/>
      <c r="G466" s="229"/>
      <c r="H466" s="230"/>
      <c r="I466" s="230"/>
      <c r="J466" s="230"/>
      <c r="K466" s="231"/>
      <c r="L466" s="231"/>
      <c r="M466" s="231"/>
      <c r="N466" s="231"/>
      <c r="O466" s="230"/>
      <c r="P466" s="232"/>
      <c r="Q466" s="230"/>
      <c r="R466" s="230"/>
      <c r="S466" s="232"/>
      <c r="T466" s="231"/>
      <c r="U466" s="229"/>
      <c r="V466" s="234"/>
    </row>
    <row r="467" spans="1:22">
      <c r="A467" s="216" t="s">
        <v>2186</v>
      </c>
      <c r="B467" s="18" t="s">
        <v>2187</v>
      </c>
      <c r="C467" s="231" t="str">
        <f>IF(ISBLANK(Raw_Data!C467),"unknown",PROPER(TRIM(CLEAN(Raw_Data!C467))))</f>
        <v>Arjun Mehta</v>
      </c>
      <c r="D467" s="230"/>
      <c r="E467" s="231"/>
      <c r="F467" s="231"/>
      <c r="G467" s="231"/>
      <c r="H467" s="230"/>
      <c r="I467" s="230"/>
      <c r="J467" s="230"/>
      <c r="K467" s="231"/>
      <c r="L467" s="231"/>
      <c r="M467" s="231"/>
      <c r="N467" s="231"/>
      <c r="O467" s="230"/>
      <c r="P467" s="232"/>
      <c r="Q467" s="230"/>
      <c r="R467" s="230"/>
      <c r="S467" s="232"/>
      <c r="T467" s="231"/>
      <c r="U467" s="229"/>
      <c r="V467" s="233"/>
    </row>
    <row r="468" spans="1:22">
      <c r="A468" s="215" t="s">
        <v>2190</v>
      </c>
      <c r="B468" s="14" t="s">
        <v>1582</v>
      </c>
      <c r="C468" s="231" t="str">
        <f>IF(ISBLANK(Raw_Data!C468),"unknown",PROPER(TRIM(CLEAN(Raw_Data!C468))))</f>
        <v>Rashmi Verma</v>
      </c>
      <c r="D468" s="230"/>
      <c r="E468" s="231"/>
      <c r="F468" s="231"/>
      <c r="G468" s="231"/>
      <c r="H468" s="230"/>
      <c r="I468" s="230"/>
      <c r="J468" s="230"/>
      <c r="K468" s="231"/>
      <c r="L468" s="231"/>
      <c r="M468" s="231"/>
      <c r="N468" s="231"/>
      <c r="O468" s="230"/>
      <c r="P468" s="232"/>
      <c r="Q468" s="230"/>
      <c r="R468" s="230"/>
      <c r="S468" s="232"/>
      <c r="T468" s="231"/>
      <c r="U468" s="229"/>
      <c r="V468" s="233"/>
    </row>
    <row r="469" spans="1:22">
      <c r="A469" s="216" t="s">
        <v>2193</v>
      </c>
      <c r="B469" s="18" t="s">
        <v>2054</v>
      </c>
      <c r="C469" s="231" t="str">
        <f>IF(ISBLANK(Raw_Data!C469),"unknown",PROPER(TRIM(CLEAN(Raw_Data!C469))))</f>
        <v>Dinesh K</v>
      </c>
      <c r="D469" s="230"/>
      <c r="E469" s="231"/>
      <c r="F469" s="231"/>
      <c r="G469" s="231"/>
      <c r="H469" s="230"/>
      <c r="I469" s="230"/>
      <c r="J469" s="230"/>
      <c r="K469" s="231"/>
      <c r="L469" s="231"/>
      <c r="M469" s="231"/>
      <c r="N469" s="231"/>
      <c r="O469" s="230"/>
      <c r="P469" s="232"/>
      <c r="Q469" s="230"/>
      <c r="R469" s="230"/>
      <c r="S469" s="232"/>
      <c r="T469" s="231"/>
      <c r="U469" s="229"/>
      <c r="V469" s="234"/>
    </row>
    <row r="470" spans="1:22">
      <c r="A470" s="215" t="s">
        <v>2196</v>
      </c>
      <c r="B470" s="14" t="s">
        <v>1328</v>
      </c>
      <c r="C470" s="231" t="str">
        <f>IF(ISBLANK(Raw_Data!C470),"unknown",PROPER(TRIM(CLEAN(Raw_Data!C470))))</f>
        <v>Kavitha N</v>
      </c>
      <c r="D470" s="230"/>
      <c r="E470" s="231"/>
      <c r="F470" s="231"/>
      <c r="G470" s="229"/>
      <c r="H470" s="230"/>
      <c r="I470" s="230"/>
      <c r="J470" s="230"/>
      <c r="K470" s="231"/>
      <c r="L470" s="231"/>
      <c r="M470" s="231"/>
      <c r="N470" s="231"/>
      <c r="O470" s="230"/>
      <c r="P470" s="232"/>
      <c r="Q470" s="230"/>
      <c r="R470" s="230"/>
      <c r="S470" s="232"/>
      <c r="T470" s="231"/>
      <c r="U470" s="229"/>
      <c r="V470" s="233"/>
    </row>
    <row r="471" spans="1:22">
      <c r="A471" s="216" t="s">
        <v>2199</v>
      </c>
      <c r="B471" s="18" t="s">
        <v>2200</v>
      </c>
      <c r="C471" s="229" t="str">
        <f>IF(ISBLANK(Raw_Data!C471),"unknown",PROPER(TRIM(CLEAN(Raw_Data!C471))))</f>
        <v>Saranya M</v>
      </c>
      <c r="D471" s="230"/>
      <c r="E471" s="231"/>
      <c r="F471" s="231"/>
      <c r="G471" s="229"/>
      <c r="H471" s="230"/>
      <c r="I471" s="230"/>
      <c r="J471" s="230"/>
      <c r="K471" s="231"/>
      <c r="L471" s="231"/>
      <c r="M471" s="231"/>
      <c r="N471" s="231"/>
      <c r="O471" s="230"/>
      <c r="P471" s="232"/>
      <c r="Q471" s="230"/>
      <c r="R471" s="230"/>
      <c r="S471" s="232"/>
      <c r="T471" s="231"/>
      <c r="U471" s="229"/>
      <c r="V471" s="234"/>
    </row>
    <row r="472" spans="1:22">
      <c r="A472" s="215" t="s">
        <v>2203</v>
      </c>
      <c r="B472" s="14" t="s">
        <v>452</v>
      </c>
      <c r="C472" s="229" t="str">
        <f>IF(ISBLANK(Raw_Data!C472),"unknown",PROPER(TRIM(CLEAN(Raw_Data!C472))))</f>
        <v>Amit Singh</v>
      </c>
      <c r="D472" s="230"/>
      <c r="E472" s="231"/>
      <c r="F472" s="231"/>
      <c r="G472" s="231"/>
      <c r="H472" s="230"/>
      <c r="I472" s="230"/>
      <c r="J472" s="230"/>
      <c r="K472" s="231"/>
      <c r="L472" s="231"/>
      <c r="M472" s="231"/>
      <c r="N472" s="231"/>
      <c r="O472" s="230"/>
      <c r="P472" s="232"/>
      <c r="Q472" s="230"/>
      <c r="R472" s="230"/>
      <c r="S472" s="235"/>
      <c r="T472" s="231"/>
      <c r="U472" s="231"/>
      <c r="V472" s="234"/>
    </row>
    <row r="473" spans="1:22">
      <c r="A473" s="216" t="s">
        <v>2206</v>
      </c>
      <c r="B473" s="18" t="s">
        <v>1609</v>
      </c>
      <c r="C473" s="229" t="str">
        <f>IF(ISBLANK(Raw_Data!C473),"unknown",PROPER(TRIM(CLEAN(Raw_Data!C473))))</f>
        <v>Arjun Mehta</v>
      </c>
      <c r="D473" s="230"/>
      <c r="E473" s="231"/>
      <c r="F473" s="231"/>
      <c r="G473" s="229"/>
      <c r="H473" s="230"/>
      <c r="I473" s="230"/>
      <c r="J473" s="230"/>
      <c r="K473" s="231"/>
      <c r="L473" s="231"/>
      <c r="M473" s="231"/>
      <c r="N473" s="231"/>
      <c r="O473" s="230"/>
      <c r="P473" s="232"/>
      <c r="Q473" s="230"/>
      <c r="R473" s="230"/>
      <c r="S473" s="232"/>
      <c r="T473" s="231"/>
      <c r="U473" s="231"/>
      <c r="V473" s="233"/>
    </row>
    <row r="474" spans="1:22">
      <c r="A474" s="215" t="s">
        <v>2209</v>
      </c>
      <c r="B474" s="14" t="s">
        <v>290</v>
      </c>
      <c r="C474" s="231" t="str">
        <f>IF(ISBLANK(Raw_Data!C474),"unknown",PROPER(TRIM(CLEAN(Raw_Data!C474))))</f>
        <v>Rashmi Verma</v>
      </c>
      <c r="D474" s="230"/>
      <c r="E474" s="231"/>
      <c r="F474" s="231"/>
      <c r="G474" s="231"/>
      <c r="H474" s="230"/>
      <c r="I474" s="230"/>
      <c r="J474" s="230"/>
      <c r="K474" s="231"/>
      <c r="L474" s="231"/>
      <c r="M474" s="231"/>
      <c r="N474" s="231"/>
      <c r="O474" s="230"/>
      <c r="P474" s="232"/>
      <c r="Q474" s="230"/>
      <c r="R474" s="230"/>
      <c r="S474" s="232"/>
      <c r="T474" s="231"/>
      <c r="U474" s="231"/>
      <c r="V474" s="234"/>
    </row>
    <row r="475" spans="1:22">
      <c r="A475" s="216" t="s">
        <v>2212</v>
      </c>
      <c r="B475" s="18" t="s">
        <v>2213</v>
      </c>
      <c r="C475" s="229" t="str">
        <f>IF(ISBLANK(Raw_Data!C475),"unknown",PROPER(TRIM(CLEAN(Raw_Data!C475))))</f>
        <v>Aarav Shah</v>
      </c>
      <c r="D475" s="230"/>
      <c r="E475" s="231"/>
      <c r="F475" s="231"/>
      <c r="G475" s="231"/>
      <c r="H475" s="230"/>
      <c r="I475" s="230"/>
      <c r="J475" s="230"/>
      <c r="K475" s="231"/>
      <c r="L475" s="231"/>
      <c r="M475" s="231"/>
      <c r="N475" s="231"/>
      <c r="O475" s="230"/>
      <c r="P475" s="232"/>
      <c r="Q475" s="230"/>
      <c r="R475" s="230"/>
      <c r="S475" s="232"/>
      <c r="T475" s="231"/>
      <c r="U475" s="229"/>
      <c r="V475" s="234"/>
    </row>
    <row r="476" spans="1:22">
      <c r="A476" s="215" t="s">
        <v>2216</v>
      </c>
      <c r="B476" s="14" t="s">
        <v>2217</v>
      </c>
      <c r="C476" s="231" t="str">
        <f>IF(ISBLANK(Raw_Data!C476),"unknown",PROPER(TRIM(CLEAN(Raw_Data!C476))))</f>
        <v>Swati Gupta</v>
      </c>
      <c r="D476" s="230"/>
      <c r="E476" s="231"/>
      <c r="F476" s="231"/>
      <c r="G476" s="229"/>
      <c r="H476" s="230"/>
      <c r="I476" s="230"/>
      <c r="J476" s="230"/>
      <c r="K476" s="231"/>
      <c r="L476" s="231"/>
      <c r="M476" s="231"/>
      <c r="N476" s="231"/>
      <c r="O476" s="230"/>
      <c r="P476" s="232"/>
      <c r="Q476" s="230"/>
      <c r="R476" s="230"/>
      <c r="S476" s="232"/>
      <c r="T476" s="231"/>
      <c r="U476" s="229"/>
      <c r="V476" s="234"/>
    </row>
    <row r="477" spans="1:22">
      <c r="A477" s="216" t="s">
        <v>2220</v>
      </c>
      <c r="B477" s="18" t="s">
        <v>1226</v>
      </c>
      <c r="C477" s="229" t="str">
        <f>IF(ISBLANK(Raw_Data!C477),"unknown",PROPER(TRIM(CLEAN(Raw_Data!C477))))</f>
        <v>Manoj Kumar</v>
      </c>
      <c r="D477" s="230"/>
      <c r="E477" s="231"/>
      <c r="F477" s="229"/>
      <c r="G477" s="231"/>
      <c r="H477" s="230"/>
      <c r="I477" s="230"/>
      <c r="J477" s="230"/>
      <c r="K477" s="231"/>
      <c r="L477" s="229"/>
      <c r="M477" s="231"/>
      <c r="N477" s="231"/>
      <c r="O477" s="230"/>
      <c r="P477" s="232"/>
      <c r="Q477" s="230"/>
      <c r="R477" s="230"/>
      <c r="S477" s="232"/>
      <c r="T477" s="231"/>
      <c r="U477" s="231"/>
      <c r="V477" s="234"/>
    </row>
    <row r="478" spans="1:22">
      <c r="A478" s="215" t="s">
        <v>2222</v>
      </c>
      <c r="B478" s="14" t="s">
        <v>2223</v>
      </c>
      <c r="C478" s="229" t="str">
        <f>IF(ISBLANK(Raw_Data!C478),"unknown",PROPER(TRIM(CLEAN(Raw_Data!C478))))</f>
        <v>Nisha Patel</v>
      </c>
      <c r="D478" s="230"/>
      <c r="E478" s="231"/>
      <c r="F478" s="231"/>
      <c r="G478" s="231"/>
      <c r="H478" s="230"/>
      <c r="I478" s="230"/>
      <c r="J478" s="230"/>
      <c r="K478" s="231"/>
      <c r="L478" s="231"/>
      <c r="M478" s="231"/>
      <c r="N478" s="231"/>
      <c r="O478" s="230"/>
      <c r="P478" s="232"/>
      <c r="Q478" s="230"/>
      <c r="R478" s="230"/>
      <c r="S478" s="232"/>
      <c r="T478" s="231"/>
      <c r="U478" s="231"/>
      <c r="V478" s="234"/>
    </row>
    <row r="479" spans="1:22">
      <c r="A479" s="216" t="s">
        <v>2226</v>
      </c>
      <c r="B479" s="18" t="s">
        <v>2227</v>
      </c>
      <c r="C479" s="231" t="str">
        <f>IF(ISBLANK(Raw_Data!C479),"unknown",PROPER(TRIM(CLEAN(Raw_Data!C479))))</f>
        <v>Rahul Gupta</v>
      </c>
      <c r="D479" s="230"/>
      <c r="E479" s="231"/>
      <c r="F479" s="229"/>
      <c r="G479" s="231"/>
      <c r="H479" s="230"/>
      <c r="I479" s="230"/>
      <c r="J479" s="230"/>
      <c r="K479" s="231"/>
      <c r="L479" s="231"/>
      <c r="M479" s="231"/>
      <c r="N479" s="231"/>
      <c r="O479" s="230"/>
      <c r="P479" s="232"/>
      <c r="Q479" s="230"/>
      <c r="R479" s="230"/>
      <c r="S479" s="232"/>
      <c r="T479" s="231"/>
      <c r="U479" s="229"/>
      <c r="V479" s="234"/>
    </row>
    <row r="480" spans="1:22">
      <c r="A480" s="215" t="s">
        <v>2229</v>
      </c>
      <c r="B480" s="14" t="s">
        <v>1378</v>
      </c>
      <c r="C480" s="229" t="str">
        <f>IF(ISBLANK(Raw_Data!C480),"unknown",PROPER(TRIM(CLEAN(Raw_Data!C480))))</f>
        <v>Deepa Krishnan</v>
      </c>
      <c r="D480" s="230"/>
      <c r="E480" s="231"/>
      <c r="F480" s="231"/>
      <c r="G480" s="231"/>
      <c r="H480" s="230"/>
      <c r="I480" s="230"/>
      <c r="J480" s="230"/>
      <c r="K480" s="231"/>
      <c r="L480" s="231"/>
      <c r="M480" s="231"/>
      <c r="N480" s="231"/>
      <c r="O480" s="230"/>
      <c r="P480" s="232"/>
      <c r="Q480" s="230"/>
      <c r="R480" s="230"/>
      <c r="S480" s="235"/>
      <c r="T480" s="231"/>
      <c r="U480" s="231"/>
      <c r="V480" s="234"/>
    </row>
    <row r="481" spans="1:22">
      <c r="A481" s="216" t="s">
        <v>2232</v>
      </c>
      <c r="B481" s="18" t="s">
        <v>2233</v>
      </c>
      <c r="C481" s="229" t="str">
        <f>IF(ISBLANK(Raw_Data!C481),"unknown",PROPER(TRIM(CLEAN(Raw_Data!C481))))</f>
        <v>Arun Sharma</v>
      </c>
      <c r="D481" s="230"/>
      <c r="E481" s="231"/>
      <c r="F481" s="231"/>
      <c r="G481" s="229"/>
      <c r="H481" s="230"/>
      <c r="I481" s="230"/>
      <c r="J481" s="230"/>
      <c r="K481" s="231"/>
      <c r="L481" s="231"/>
      <c r="M481" s="231"/>
      <c r="N481" s="231"/>
      <c r="O481" s="230"/>
      <c r="P481" s="232"/>
      <c r="Q481" s="230"/>
      <c r="R481" s="230"/>
      <c r="S481" s="232"/>
      <c r="T481" s="231"/>
      <c r="U481" s="229"/>
      <c r="V481" s="23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C2626"/>
  </sheetPr>
  <dimension ref="A1:V998"/>
  <sheetViews>
    <sheetView zoomScale="81" zoomScaleNormal="81" workbookViewId="0">
      <pane ySplit="1" topLeftCell="A2" activePane="bottomLeft" state="frozen"/>
      <selection pane="bottomLeft" activeCell="C2" sqref="C2"/>
    </sheetView>
  </sheetViews>
  <sheetFormatPr defaultColWidth="14.44140625" defaultRowHeight="15" customHeight="1"/>
  <cols>
    <col min="1" max="1" width="12" customWidth="1"/>
    <col min="2" max="2" width="16" customWidth="1"/>
    <col min="3" max="3" width="22" customWidth="1"/>
    <col min="4" max="4" width="14.21875" customWidth="1"/>
    <col min="5" max="5" width="26" customWidth="1"/>
    <col min="6" max="6" width="14" customWidth="1"/>
    <col min="7" max="8" width="16" customWidth="1"/>
    <col min="9" max="9" width="10" customWidth="1"/>
    <col min="10" max="10" width="12.6640625" customWidth="1"/>
    <col min="11" max="11" width="24" customWidth="1"/>
    <col min="12" max="12" width="14" customWidth="1"/>
    <col min="13" max="13" width="15.33203125" customWidth="1"/>
    <col min="14" max="14" width="12" customWidth="1"/>
    <col min="15" max="15" width="10.33203125" customWidth="1"/>
    <col min="16" max="16" width="12" customWidth="1"/>
    <col min="17" max="17" width="13.44140625" customWidth="1"/>
    <col min="18" max="18" width="9.44140625" customWidth="1"/>
    <col min="19" max="19" width="15" customWidth="1"/>
    <col min="20" max="20" width="16.109375" customWidth="1"/>
    <col min="21" max="21" width="14.6640625" customWidth="1"/>
    <col min="22" max="22" width="13.5546875" customWidth="1"/>
    <col min="23" max="26" width="8.6640625" customWidth="1"/>
  </cols>
  <sheetData>
    <row r="1" spans="1:22" ht="19.5" customHeight="1">
      <c r="A1" s="220" t="s">
        <v>33</v>
      </c>
      <c r="B1" s="221" t="s">
        <v>34</v>
      </c>
      <c r="C1" s="221" t="s">
        <v>35</v>
      </c>
      <c r="D1" s="221" t="s">
        <v>36</v>
      </c>
      <c r="E1" s="221" t="s">
        <v>37</v>
      </c>
      <c r="F1" s="221" t="s">
        <v>38</v>
      </c>
      <c r="G1" s="221" t="s">
        <v>39</v>
      </c>
      <c r="H1" s="221" t="s">
        <v>40</v>
      </c>
      <c r="I1" s="221" t="s">
        <v>41</v>
      </c>
      <c r="J1" s="221" t="s">
        <v>42</v>
      </c>
      <c r="K1" s="221" t="s">
        <v>43</v>
      </c>
      <c r="L1" s="221" t="s">
        <v>44</v>
      </c>
      <c r="M1" s="221" t="s">
        <v>45</v>
      </c>
      <c r="N1" s="221" t="s">
        <v>46</v>
      </c>
      <c r="O1" s="221" t="s">
        <v>47</v>
      </c>
      <c r="P1" s="221" t="s">
        <v>48</v>
      </c>
      <c r="Q1" s="221" t="s">
        <v>49</v>
      </c>
      <c r="R1" s="221" t="s">
        <v>50</v>
      </c>
      <c r="S1" s="221" t="s">
        <v>51</v>
      </c>
      <c r="T1" s="221" t="s">
        <v>52</v>
      </c>
      <c r="U1" s="221" t="s">
        <v>53</v>
      </c>
      <c r="V1" s="222" t="s">
        <v>54</v>
      </c>
    </row>
    <row r="2" spans="1:22" ht="14.4">
      <c r="A2" s="215" t="s">
        <v>55</v>
      </c>
      <c r="B2" s="14" t="s">
        <v>56</v>
      </c>
      <c r="C2" s="15" t="s">
        <v>57</v>
      </c>
      <c r="D2" s="13" t="s">
        <v>58</v>
      </c>
      <c r="E2" s="14" t="s">
        <v>59</v>
      </c>
      <c r="F2" s="14" t="s">
        <v>60</v>
      </c>
      <c r="G2" s="14" t="s">
        <v>61</v>
      </c>
      <c r="H2" s="13" t="s">
        <v>62</v>
      </c>
      <c r="I2" s="13" t="s">
        <v>63</v>
      </c>
      <c r="J2" s="13" t="s">
        <v>64</v>
      </c>
      <c r="K2" s="14" t="s">
        <v>65</v>
      </c>
      <c r="L2" s="14" t="s">
        <v>66</v>
      </c>
      <c r="M2" s="14" t="s">
        <v>67</v>
      </c>
      <c r="N2" s="14" t="s">
        <v>68</v>
      </c>
      <c r="O2" s="13">
        <v>2</v>
      </c>
      <c r="P2" s="16">
        <v>450</v>
      </c>
      <c r="Q2" s="13">
        <v>0</v>
      </c>
      <c r="R2" s="13">
        <v>5</v>
      </c>
      <c r="S2" s="16">
        <v>945</v>
      </c>
      <c r="T2" s="14" t="s">
        <v>69</v>
      </c>
      <c r="U2" s="14" t="s">
        <v>70</v>
      </c>
      <c r="V2" s="217" t="s">
        <v>71</v>
      </c>
    </row>
    <row r="3" spans="1:22" ht="14.4">
      <c r="A3" s="216" t="s">
        <v>72</v>
      </c>
      <c r="B3" s="18" t="s">
        <v>73</v>
      </c>
      <c r="C3" s="18" t="s">
        <v>74</v>
      </c>
      <c r="D3" s="17" t="s">
        <v>75</v>
      </c>
      <c r="E3" s="18" t="s">
        <v>76</v>
      </c>
      <c r="F3" s="18" t="s">
        <v>77</v>
      </c>
      <c r="G3" s="18" t="s">
        <v>78</v>
      </c>
      <c r="H3" s="17" t="s">
        <v>79</v>
      </c>
      <c r="I3" s="17" t="s">
        <v>80</v>
      </c>
      <c r="J3" s="17" t="s">
        <v>81</v>
      </c>
      <c r="K3" s="18" t="s">
        <v>82</v>
      </c>
      <c r="L3" s="18" t="s">
        <v>83</v>
      </c>
      <c r="M3" s="18" t="s">
        <v>84</v>
      </c>
      <c r="N3" s="18" t="s">
        <v>85</v>
      </c>
      <c r="O3" s="17">
        <v>10</v>
      </c>
      <c r="P3" s="19">
        <v>25000</v>
      </c>
      <c r="Q3" s="17">
        <v>20</v>
      </c>
      <c r="R3" s="17">
        <v>3</v>
      </c>
      <c r="S3" s="19">
        <v>206000</v>
      </c>
      <c r="T3" s="18" t="s">
        <v>86</v>
      </c>
      <c r="U3" s="15" t="s">
        <v>87</v>
      </c>
      <c r="V3" s="218" t="s">
        <v>88</v>
      </c>
    </row>
    <row r="4" spans="1:22" ht="14.4">
      <c r="A4" s="215" t="s">
        <v>89</v>
      </c>
      <c r="B4" s="14" t="s">
        <v>90</v>
      </c>
      <c r="C4" s="15" t="s">
        <v>91</v>
      </c>
      <c r="D4" s="13" t="s">
        <v>92</v>
      </c>
      <c r="E4" s="14" t="s">
        <v>93</v>
      </c>
      <c r="F4" s="14" t="s">
        <v>94</v>
      </c>
      <c r="G4" s="14" t="s">
        <v>95</v>
      </c>
      <c r="H4" s="13" t="s">
        <v>96</v>
      </c>
      <c r="I4" s="13" t="s">
        <v>63</v>
      </c>
      <c r="J4" s="13" t="s">
        <v>97</v>
      </c>
      <c r="K4" s="14" t="s">
        <v>98</v>
      </c>
      <c r="L4" s="14" t="s">
        <v>99</v>
      </c>
      <c r="M4" s="14" t="s">
        <v>100</v>
      </c>
      <c r="N4" s="14" t="s">
        <v>101</v>
      </c>
      <c r="O4" s="13">
        <v>5</v>
      </c>
      <c r="P4" s="16">
        <v>28000</v>
      </c>
      <c r="Q4" s="13">
        <v>10</v>
      </c>
      <c r="R4" s="13">
        <v>18</v>
      </c>
      <c r="S4" s="16">
        <v>148680</v>
      </c>
      <c r="T4" s="14" t="s">
        <v>102</v>
      </c>
      <c r="U4" s="15" t="s">
        <v>103</v>
      </c>
      <c r="V4" s="218" t="s">
        <v>88</v>
      </c>
    </row>
    <row r="5" spans="1:22" ht="14.4">
      <c r="A5" s="216" t="s">
        <v>104</v>
      </c>
      <c r="B5" s="18" t="s">
        <v>105</v>
      </c>
      <c r="C5" s="18" t="s">
        <v>106</v>
      </c>
      <c r="D5" s="17" t="s">
        <v>107</v>
      </c>
      <c r="E5" s="18" t="s">
        <v>108</v>
      </c>
      <c r="F5" s="18" t="s">
        <v>109</v>
      </c>
      <c r="G5" s="18" t="s">
        <v>78</v>
      </c>
      <c r="H5" s="17" t="s">
        <v>79</v>
      </c>
      <c r="I5" s="17" t="s">
        <v>80</v>
      </c>
      <c r="J5" s="17" t="s">
        <v>110</v>
      </c>
      <c r="K5" s="18" t="s">
        <v>111</v>
      </c>
      <c r="L5" s="18" t="s">
        <v>112</v>
      </c>
      <c r="M5" s="18" t="s">
        <v>113</v>
      </c>
      <c r="N5" s="18" t="s">
        <v>114</v>
      </c>
      <c r="O5" s="17">
        <v>8</v>
      </c>
      <c r="P5" s="19">
        <v>3500</v>
      </c>
      <c r="Q5" s="17">
        <v>20</v>
      </c>
      <c r="R5" s="17">
        <v>18</v>
      </c>
      <c r="S5" s="19">
        <v>26432</v>
      </c>
      <c r="T5" s="18" t="s">
        <v>115</v>
      </c>
      <c r="U5" s="15" t="s">
        <v>103</v>
      </c>
      <c r="V5" s="219" t="s">
        <v>71</v>
      </c>
    </row>
    <row r="6" spans="1:22" ht="14.4">
      <c r="A6" s="215" t="s">
        <v>116</v>
      </c>
      <c r="B6" s="14" t="s">
        <v>117</v>
      </c>
      <c r="C6" s="15" t="s">
        <v>118</v>
      </c>
      <c r="D6" s="13" t="s">
        <v>119</v>
      </c>
      <c r="E6" s="14" t="s">
        <v>120</v>
      </c>
      <c r="F6" s="14" t="s">
        <v>121</v>
      </c>
      <c r="G6" s="14" t="s">
        <v>122</v>
      </c>
      <c r="H6" s="13" t="s">
        <v>122</v>
      </c>
      <c r="I6" s="13" t="s">
        <v>123</v>
      </c>
      <c r="J6" s="13" t="s">
        <v>124</v>
      </c>
      <c r="K6" s="14" t="s">
        <v>125</v>
      </c>
      <c r="L6" s="14" t="s">
        <v>99</v>
      </c>
      <c r="M6" s="14" t="s">
        <v>100</v>
      </c>
      <c r="N6" s="14" t="s">
        <v>126</v>
      </c>
      <c r="O6" s="13">
        <v>1</v>
      </c>
      <c r="P6" s="16">
        <v>14000</v>
      </c>
      <c r="Q6" s="13">
        <v>15</v>
      </c>
      <c r="R6" s="13">
        <v>18</v>
      </c>
      <c r="S6" s="16">
        <v>14042</v>
      </c>
      <c r="T6" s="14" t="s">
        <v>127</v>
      </c>
      <c r="U6" s="15" t="s">
        <v>103</v>
      </c>
      <c r="V6" s="218" t="s">
        <v>128</v>
      </c>
    </row>
    <row r="7" spans="1:22" ht="14.4">
      <c r="A7" s="216" t="s">
        <v>129</v>
      </c>
      <c r="B7" s="18" t="s">
        <v>130</v>
      </c>
      <c r="C7" s="18" t="s">
        <v>131</v>
      </c>
      <c r="D7" s="17" t="s">
        <v>132</v>
      </c>
      <c r="E7" s="18" t="s">
        <v>133</v>
      </c>
      <c r="F7" s="18" t="s">
        <v>134</v>
      </c>
      <c r="G7" s="18" t="s">
        <v>135</v>
      </c>
      <c r="H7" s="17" t="s">
        <v>136</v>
      </c>
      <c r="I7" s="17" t="s">
        <v>63</v>
      </c>
      <c r="J7" s="17" t="s">
        <v>137</v>
      </c>
      <c r="K7" s="18" t="s">
        <v>138</v>
      </c>
      <c r="L7" s="18" t="s">
        <v>139</v>
      </c>
      <c r="M7" s="18" t="s">
        <v>140</v>
      </c>
      <c r="N7" s="18" t="s">
        <v>141</v>
      </c>
      <c r="O7" s="20">
        <v>-3</v>
      </c>
      <c r="P7" s="19">
        <v>12000</v>
      </c>
      <c r="Q7" s="17">
        <v>0</v>
      </c>
      <c r="R7" s="17">
        <v>18</v>
      </c>
      <c r="S7" s="21">
        <v>-42480</v>
      </c>
      <c r="T7" s="18" t="s">
        <v>142</v>
      </c>
      <c r="U7" s="18" t="s">
        <v>143</v>
      </c>
      <c r="V7" s="219" t="s">
        <v>144</v>
      </c>
    </row>
    <row r="8" spans="1:22" ht="14.4">
      <c r="A8" s="215" t="s">
        <v>145</v>
      </c>
      <c r="B8" s="14" t="s">
        <v>146</v>
      </c>
      <c r="C8" s="15" t="s">
        <v>147</v>
      </c>
      <c r="D8" s="13" t="s">
        <v>148</v>
      </c>
      <c r="E8" s="14" t="s">
        <v>149</v>
      </c>
      <c r="F8" s="14" t="s">
        <v>150</v>
      </c>
      <c r="G8" s="14" t="s">
        <v>151</v>
      </c>
      <c r="H8" s="13" t="s">
        <v>152</v>
      </c>
      <c r="I8" s="13" t="s">
        <v>80</v>
      </c>
      <c r="J8" s="13" t="s">
        <v>81</v>
      </c>
      <c r="K8" s="14" t="s">
        <v>82</v>
      </c>
      <c r="L8" s="14" t="s">
        <v>83</v>
      </c>
      <c r="M8" s="14" t="s">
        <v>84</v>
      </c>
      <c r="N8" s="14" t="s">
        <v>85</v>
      </c>
      <c r="O8" s="13">
        <v>6</v>
      </c>
      <c r="P8" s="16">
        <v>25000</v>
      </c>
      <c r="Q8" s="13">
        <v>136</v>
      </c>
      <c r="R8" s="13">
        <v>3</v>
      </c>
      <c r="S8" s="20"/>
      <c r="T8" s="14" t="s">
        <v>153</v>
      </c>
      <c r="U8" s="15" t="s">
        <v>154</v>
      </c>
      <c r="V8" s="217" t="s">
        <v>155</v>
      </c>
    </row>
    <row r="9" spans="1:22" ht="14.4">
      <c r="A9" s="216" t="s">
        <v>156</v>
      </c>
      <c r="B9" s="18" t="s">
        <v>157</v>
      </c>
      <c r="C9" s="15" t="s">
        <v>158</v>
      </c>
      <c r="D9" s="17" t="s">
        <v>159</v>
      </c>
      <c r="E9" s="18" t="s">
        <v>160</v>
      </c>
      <c r="F9" s="18" t="s">
        <v>161</v>
      </c>
      <c r="G9" s="18" t="s">
        <v>151</v>
      </c>
      <c r="H9" s="17" t="s">
        <v>152</v>
      </c>
      <c r="I9" s="17" t="s">
        <v>80</v>
      </c>
      <c r="J9" s="17" t="s">
        <v>162</v>
      </c>
      <c r="K9" s="18" t="s">
        <v>163</v>
      </c>
      <c r="L9" s="18" t="s">
        <v>99</v>
      </c>
      <c r="M9" s="18" t="s">
        <v>164</v>
      </c>
      <c r="N9" s="18" t="s">
        <v>165</v>
      </c>
      <c r="O9" s="17">
        <v>7</v>
      </c>
      <c r="P9" s="19">
        <v>2800</v>
      </c>
      <c r="Q9" s="17">
        <v>25</v>
      </c>
      <c r="R9" s="17">
        <v>18</v>
      </c>
      <c r="S9" s="19">
        <v>17346</v>
      </c>
      <c r="T9" s="18" t="s">
        <v>102</v>
      </c>
      <c r="U9" s="18" t="s">
        <v>143</v>
      </c>
      <c r="V9" s="219" t="s">
        <v>155</v>
      </c>
    </row>
    <row r="10" spans="1:22" ht="14.4">
      <c r="A10" s="215" t="s">
        <v>166</v>
      </c>
      <c r="B10" s="14" t="s">
        <v>167</v>
      </c>
      <c r="C10" s="14" t="s">
        <v>168</v>
      </c>
      <c r="D10" s="13" t="s">
        <v>169</v>
      </c>
      <c r="E10" s="14" t="s">
        <v>170</v>
      </c>
      <c r="F10" s="14" t="s">
        <v>171</v>
      </c>
      <c r="G10" s="14" t="s">
        <v>172</v>
      </c>
      <c r="H10" s="13" t="s">
        <v>96</v>
      </c>
      <c r="I10" s="13" t="s">
        <v>63</v>
      </c>
      <c r="J10" s="13" t="s">
        <v>97</v>
      </c>
      <c r="K10" s="14" t="s">
        <v>98</v>
      </c>
      <c r="L10" s="14" t="s">
        <v>99</v>
      </c>
      <c r="M10" s="14" t="s">
        <v>100</v>
      </c>
      <c r="N10" s="14" t="s">
        <v>101</v>
      </c>
      <c r="O10" s="13">
        <v>9</v>
      </c>
      <c r="P10" s="20" t="s">
        <v>173</v>
      </c>
      <c r="Q10" s="13">
        <v>5</v>
      </c>
      <c r="R10" s="13">
        <v>18</v>
      </c>
      <c r="S10" s="16">
        <v>282492</v>
      </c>
      <c r="T10" s="14" t="s">
        <v>142</v>
      </c>
      <c r="U10" s="15" t="s">
        <v>174</v>
      </c>
      <c r="V10" s="218" t="s">
        <v>88</v>
      </c>
    </row>
    <row r="11" spans="1:22" ht="14.4">
      <c r="A11" s="216" t="s">
        <v>175</v>
      </c>
      <c r="B11" s="18" t="s">
        <v>176</v>
      </c>
      <c r="C11" s="15" t="s">
        <v>177</v>
      </c>
      <c r="D11" s="17" t="s">
        <v>178</v>
      </c>
      <c r="E11" s="18" t="s">
        <v>179</v>
      </c>
      <c r="F11" s="18" t="s">
        <v>180</v>
      </c>
      <c r="G11" s="18" t="s">
        <v>181</v>
      </c>
      <c r="H11" s="17" t="s">
        <v>182</v>
      </c>
      <c r="I11" s="17" t="s">
        <v>123</v>
      </c>
      <c r="J11" s="17" t="s">
        <v>162</v>
      </c>
      <c r="K11" s="18" t="s">
        <v>163</v>
      </c>
      <c r="L11" s="18" t="s">
        <v>99</v>
      </c>
      <c r="M11" s="18" t="s">
        <v>164</v>
      </c>
      <c r="N11" s="18" t="s">
        <v>165</v>
      </c>
      <c r="O11" s="17">
        <v>5</v>
      </c>
      <c r="P11" s="19">
        <v>2800</v>
      </c>
      <c r="Q11" s="17">
        <v>15</v>
      </c>
      <c r="R11" s="17">
        <v>18</v>
      </c>
      <c r="S11" s="19">
        <v>14042</v>
      </c>
      <c r="T11" s="18" t="s">
        <v>183</v>
      </c>
      <c r="U11" s="18" t="s">
        <v>184</v>
      </c>
      <c r="V11" s="219" t="s">
        <v>155</v>
      </c>
    </row>
    <row r="12" spans="1:22" ht="14.4">
      <c r="A12" s="215" t="s">
        <v>185</v>
      </c>
      <c r="B12" s="14" t="s">
        <v>186</v>
      </c>
      <c r="C12" s="14" t="s">
        <v>106</v>
      </c>
      <c r="D12" s="13" t="s">
        <v>187</v>
      </c>
      <c r="E12" s="14" t="s">
        <v>188</v>
      </c>
      <c r="F12" s="14" t="s">
        <v>189</v>
      </c>
      <c r="G12" s="14" t="s">
        <v>95</v>
      </c>
      <c r="H12" s="13" t="s">
        <v>96</v>
      </c>
      <c r="I12" s="13" t="s">
        <v>63</v>
      </c>
      <c r="J12" s="13" t="s">
        <v>110</v>
      </c>
      <c r="K12" s="14" t="s">
        <v>111</v>
      </c>
      <c r="L12" s="14" t="s">
        <v>112</v>
      </c>
      <c r="M12" s="14" t="s">
        <v>113</v>
      </c>
      <c r="N12" s="14" t="s">
        <v>114</v>
      </c>
      <c r="O12" s="13">
        <v>10</v>
      </c>
      <c r="P12" s="16">
        <v>3500</v>
      </c>
      <c r="Q12" s="13">
        <v>15</v>
      </c>
      <c r="R12" s="13">
        <v>18</v>
      </c>
      <c r="S12" s="16">
        <v>35105</v>
      </c>
      <c r="T12" s="14" t="s">
        <v>127</v>
      </c>
      <c r="U12" s="15" t="s">
        <v>174</v>
      </c>
      <c r="V12" s="218" t="s">
        <v>190</v>
      </c>
    </row>
    <row r="13" spans="1:22" ht="14.4">
      <c r="A13" s="216" t="s">
        <v>191</v>
      </c>
      <c r="B13" s="18" t="s">
        <v>192</v>
      </c>
      <c r="C13" s="15" t="s">
        <v>193</v>
      </c>
      <c r="D13" s="17" t="s">
        <v>194</v>
      </c>
      <c r="E13" s="18" t="s">
        <v>195</v>
      </c>
      <c r="F13" s="18" t="s">
        <v>196</v>
      </c>
      <c r="G13" s="18" t="s">
        <v>78</v>
      </c>
      <c r="H13" s="17" t="s">
        <v>79</v>
      </c>
      <c r="I13" s="17" t="s">
        <v>80</v>
      </c>
      <c r="J13" s="17" t="s">
        <v>197</v>
      </c>
      <c r="K13" s="18" t="s">
        <v>198</v>
      </c>
      <c r="L13" s="18" t="s">
        <v>66</v>
      </c>
      <c r="M13" s="18" t="s">
        <v>199</v>
      </c>
      <c r="N13" s="18" t="s">
        <v>200</v>
      </c>
      <c r="O13" s="17">
        <v>9</v>
      </c>
      <c r="P13" s="19">
        <v>50</v>
      </c>
      <c r="Q13" s="17">
        <v>0</v>
      </c>
      <c r="R13" s="17">
        <v>5</v>
      </c>
      <c r="S13" s="19">
        <v>472</v>
      </c>
      <c r="T13" s="18" t="s">
        <v>153</v>
      </c>
      <c r="U13" s="18" t="s">
        <v>184</v>
      </c>
      <c r="V13" s="218" t="s">
        <v>201</v>
      </c>
    </row>
    <row r="14" spans="1:22" ht="14.4">
      <c r="A14" s="215" t="s">
        <v>202</v>
      </c>
      <c r="B14" s="14" t="s">
        <v>203</v>
      </c>
      <c r="C14" s="14" t="s">
        <v>74</v>
      </c>
      <c r="D14" s="13" t="s">
        <v>204</v>
      </c>
      <c r="E14" s="14" t="s">
        <v>205</v>
      </c>
      <c r="F14" s="14" t="s">
        <v>206</v>
      </c>
      <c r="G14" s="14" t="s">
        <v>151</v>
      </c>
      <c r="H14" s="13" t="s">
        <v>152</v>
      </c>
      <c r="I14" s="13" t="s">
        <v>80</v>
      </c>
      <c r="J14" s="13" t="s">
        <v>207</v>
      </c>
      <c r="K14" s="14" t="s">
        <v>208</v>
      </c>
      <c r="L14" s="14" t="s">
        <v>99</v>
      </c>
      <c r="M14" s="14" t="s">
        <v>209</v>
      </c>
      <c r="N14" s="14" t="s">
        <v>210</v>
      </c>
      <c r="O14" s="13">
        <v>7</v>
      </c>
      <c r="P14" s="16">
        <v>55000</v>
      </c>
      <c r="Q14" s="13">
        <v>12</v>
      </c>
      <c r="R14" s="13">
        <v>18</v>
      </c>
      <c r="S14" s="16">
        <v>399784</v>
      </c>
      <c r="T14" s="14" t="s">
        <v>183</v>
      </c>
      <c r="U14" s="14" t="s">
        <v>211</v>
      </c>
      <c r="V14" s="217" t="s">
        <v>212</v>
      </c>
    </row>
    <row r="15" spans="1:22" ht="14.4">
      <c r="A15" s="216" t="s">
        <v>213</v>
      </c>
      <c r="B15" s="18" t="s">
        <v>214</v>
      </c>
      <c r="C15" s="15" t="s">
        <v>215</v>
      </c>
      <c r="D15" s="17" t="s">
        <v>216</v>
      </c>
      <c r="E15" s="18" t="s">
        <v>217</v>
      </c>
      <c r="F15" s="18" t="s">
        <v>218</v>
      </c>
      <c r="G15" s="18" t="s">
        <v>181</v>
      </c>
      <c r="H15" s="17" t="s">
        <v>182</v>
      </c>
      <c r="I15" s="17" t="s">
        <v>123</v>
      </c>
      <c r="J15" s="17" t="s">
        <v>219</v>
      </c>
      <c r="K15" s="18" t="s">
        <v>220</v>
      </c>
      <c r="L15" s="18" t="s">
        <v>99</v>
      </c>
      <c r="M15" s="18" t="s">
        <v>100</v>
      </c>
      <c r="N15" s="18" t="s">
        <v>221</v>
      </c>
      <c r="O15" s="17">
        <v>9</v>
      </c>
      <c r="P15" s="19">
        <v>89000</v>
      </c>
      <c r="Q15" s="17">
        <v>10</v>
      </c>
      <c r="R15" s="17">
        <v>18</v>
      </c>
      <c r="S15" s="19">
        <v>850662</v>
      </c>
      <c r="T15" s="18" t="s">
        <v>69</v>
      </c>
      <c r="U15" s="18" t="s">
        <v>211</v>
      </c>
      <c r="V15" s="218" t="s">
        <v>128</v>
      </c>
    </row>
    <row r="16" spans="1:22" ht="14.4">
      <c r="A16" s="215" t="s">
        <v>222</v>
      </c>
      <c r="B16" s="14" t="s">
        <v>223</v>
      </c>
      <c r="C16" s="15" t="s">
        <v>224</v>
      </c>
      <c r="D16" s="13" t="s">
        <v>225</v>
      </c>
      <c r="E16" s="14" t="s">
        <v>226</v>
      </c>
      <c r="F16" s="14" t="s">
        <v>227</v>
      </c>
      <c r="G16" s="14" t="s">
        <v>228</v>
      </c>
      <c r="H16" s="13" t="s">
        <v>152</v>
      </c>
      <c r="I16" s="13" t="s">
        <v>80</v>
      </c>
      <c r="J16" s="13" t="s">
        <v>64</v>
      </c>
      <c r="K16" s="14" t="s">
        <v>65</v>
      </c>
      <c r="L16" s="14" t="s">
        <v>66</v>
      </c>
      <c r="M16" s="14" t="s">
        <v>67</v>
      </c>
      <c r="N16" s="14" t="s">
        <v>68</v>
      </c>
      <c r="O16" s="13">
        <v>4</v>
      </c>
      <c r="P16" s="16">
        <v>450</v>
      </c>
      <c r="Q16" s="13">
        <v>5</v>
      </c>
      <c r="R16" s="13">
        <v>5</v>
      </c>
      <c r="S16" s="16">
        <v>1796</v>
      </c>
      <c r="T16" s="14" t="s">
        <v>69</v>
      </c>
      <c r="U16" s="15" t="s">
        <v>154</v>
      </c>
      <c r="V16" s="217" t="s">
        <v>144</v>
      </c>
    </row>
    <row r="17" spans="1:22" ht="14.4">
      <c r="A17" s="216" t="s">
        <v>229</v>
      </c>
      <c r="B17" s="18" t="s">
        <v>230</v>
      </c>
      <c r="C17" s="15" t="s">
        <v>215</v>
      </c>
      <c r="D17" s="17" t="s">
        <v>231</v>
      </c>
      <c r="E17" s="18" t="s">
        <v>232</v>
      </c>
      <c r="F17" s="18" t="s">
        <v>233</v>
      </c>
      <c r="G17" s="18" t="s">
        <v>95</v>
      </c>
      <c r="H17" s="17" t="s">
        <v>96</v>
      </c>
      <c r="I17" s="17" t="s">
        <v>63</v>
      </c>
      <c r="J17" s="17" t="s">
        <v>197</v>
      </c>
      <c r="K17" s="18" t="s">
        <v>198</v>
      </c>
      <c r="L17" s="18" t="s">
        <v>66</v>
      </c>
      <c r="M17" s="18" t="s">
        <v>199</v>
      </c>
      <c r="N17" s="18" t="s">
        <v>200</v>
      </c>
      <c r="O17" s="17">
        <v>7</v>
      </c>
      <c r="P17" s="19">
        <v>50</v>
      </c>
      <c r="Q17" s="17">
        <v>10</v>
      </c>
      <c r="R17" s="17">
        <v>5</v>
      </c>
      <c r="S17" s="19">
        <v>331</v>
      </c>
      <c r="T17" s="18" t="s">
        <v>86</v>
      </c>
      <c r="U17" s="15" t="s">
        <v>87</v>
      </c>
      <c r="V17" s="218" t="s">
        <v>190</v>
      </c>
    </row>
    <row r="18" spans="1:22" ht="14.4">
      <c r="A18" s="215" t="s">
        <v>234</v>
      </c>
      <c r="B18" s="14" t="s">
        <v>235</v>
      </c>
      <c r="C18" s="14" t="s">
        <v>106</v>
      </c>
      <c r="D18" s="13" t="s">
        <v>236</v>
      </c>
      <c r="E18" s="14" t="s">
        <v>108</v>
      </c>
      <c r="F18" s="14" t="s">
        <v>237</v>
      </c>
      <c r="G18" s="14" t="s">
        <v>181</v>
      </c>
      <c r="H18" s="13" t="s">
        <v>182</v>
      </c>
      <c r="I18" s="13" t="s">
        <v>123</v>
      </c>
      <c r="J18" s="13" t="s">
        <v>238</v>
      </c>
      <c r="K18" s="14" t="s">
        <v>239</v>
      </c>
      <c r="L18" s="14" t="s">
        <v>112</v>
      </c>
      <c r="M18" s="14" t="s">
        <v>240</v>
      </c>
      <c r="N18" s="14" t="s">
        <v>241</v>
      </c>
      <c r="O18" s="13">
        <v>10</v>
      </c>
      <c r="P18" s="16">
        <v>2500</v>
      </c>
      <c r="Q18" s="13">
        <v>10</v>
      </c>
      <c r="R18" s="13">
        <v>5</v>
      </c>
      <c r="S18" s="16">
        <v>23625</v>
      </c>
      <c r="T18" s="14" t="s">
        <v>142</v>
      </c>
      <c r="U18" s="15" t="s">
        <v>174</v>
      </c>
      <c r="V18" s="217" t="s">
        <v>71</v>
      </c>
    </row>
    <row r="19" spans="1:22" ht="14.4">
      <c r="A19" s="216" t="s">
        <v>242</v>
      </c>
      <c r="B19" s="18" t="s">
        <v>243</v>
      </c>
      <c r="C19" s="15" t="s">
        <v>244</v>
      </c>
      <c r="D19" s="17" t="s">
        <v>245</v>
      </c>
      <c r="E19" s="18" t="s">
        <v>246</v>
      </c>
      <c r="F19" s="18" t="s">
        <v>247</v>
      </c>
      <c r="G19" s="18" t="s">
        <v>248</v>
      </c>
      <c r="H19" s="17" t="s">
        <v>249</v>
      </c>
      <c r="I19" s="17" t="s">
        <v>123</v>
      </c>
      <c r="J19" s="17" t="s">
        <v>81</v>
      </c>
      <c r="K19" s="18" t="s">
        <v>82</v>
      </c>
      <c r="L19" s="18" t="s">
        <v>83</v>
      </c>
      <c r="M19" s="18" t="s">
        <v>84</v>
      </c>
      <c r="N19" s="18" t="s">
        <v>85</v>
      </c>
      <c r="O19" s="17">
        <v>1</v>
      </c>
      <c r="P19" s="19">
        <v>25000</v>
      </c>
      <c r="Q19" s="17">
        <v>20</v>
      </c>
      <c r="R19" s="17">
        <v>3</v>
      </c>
      <c r="S19" s="19">
        <v>20600</v>
      </c>
      <c r="T19" s="18" t="s">
        <v>69</v>
      </c>
      <c r="U19" s="15" t="s">
        <v>174</v>
      </c>
      <c r="V19" s="218" t="s">
        <v>250</v>
      </c>
    </row>
    <row r="20" spans="1:22" ht="15.75" customHeight="1">
      <c r="A20" s="215" t="s">
        <v>251</v>
      </c>
      <c r="B20" s="14" t="s">
        <v>252</v>
      </c>
      <c r="C20" s="15" t="s">
        <v>253</v>
      </c>
      <c r="D20" s="13" t="s">
        <v>254</v>
      </c>
      <c r="E20" s="14" t="s">
        <v>255</v>
      </c>
      <c r="F20" s="14" t="s">
        <v>256</v>
      </c>
      <c r="G20" s="14" t="s">
        <v>172</v>
      </c>
      <c r="H20" s="13" t="s">
        <v>96</v>
      </c>
      <c r="I20" s="13" t="s">
        <v>63</v>
      </c>
      <c r="J20" s="13" t="s">
        <v>257</v>
      </c>
      <c r="K20" s="14" t="s">
        <v>258</v>
      </c>
      <c r="L20" s="14" t="s">
        <v>139</v>
      </c>
      <c r="M20" s="14" t="s">
        <v>259</v>
      </c>
      <c r="N20" s="14" t="s">
        <v>260</v>
      </c>
      <c r="O20" s="13">
        <v>8</v>
      </c>
      <c r="P20" s="16">
        <v>299</v>
      </c>
      <c r="Q20" s="13">
        <v>15</v>
      </c>
      <c r="R20" s="13">
        <v>18</v>
      </c>
      <c r="S20" s="16">
        <v>2399</v>
      </c>
      <c r="T20" s="14" t="s">
        <v>183</v>
      </c>
      <c r="U20" s="15" t="s">
        <v>261</v>
      </c>
      <c r="V20" s="217" t="s">
        <v>144</v>
      </c>
    </row>
    <row r="21" spans="1:22" ht="15.75" customHeight="1">
      <c r="A21" s="216" t="s">
        <v>262</v>
      </c>
      <c r="B21" s="18" t="s">
        <v>263</v>
      </c>
      <c r="C21" s="18" t="s">
        <v>264</v>
      </c>
      <c r="D21" s="17" t="s">
        <v>265</v>
      </c>
      <c r="E21" s="18" t="s">
        <v>266</v>
      </c>
      <c r="F21" s="18" t="s">
        <v>267</v>
      </c>
      <c r="G21" s="15" t="s">
        <v>268</v>
      </c>
      <c r="H21" s="17" t="s">
        <v>122</v>
      </c>
      <c r="I21" s="17" t="s">
        <v>123</v>
      </c>
      <c r="J21" s="17" t="s">
        <v>64</v>
      </c>
      <c r="K21" s="18" t="s">
        <v>65</v>
      </c>
      <c r="L21" s="18" t="s">
        <v>66</v>
      </c>
      <c r="M21" s="18" t="s">
        <v>67</v>
      </c>
      <c r="N21" s="18" t="s">
        <v>68</v>
      </c>
      <c r="O21" s="17">
        <v>6</v>
      </c>
      <c r="P21" s="19">
        <v>450</v>
      </c>
      <c r="Q21" s="17">
        <v>8</v>
      </c>
      <c r="R21" s="17">
        <v>5</v>
      </c>
      <c r="S21" s="19">
        <v>2608</v>
      </c>
      <c r="T21" s="18" t="s">
        <v>183</v>
      </c>
      <c r="U21" s="15" t="s">
        <v>174</v>
      </c>
      <c r="V21" s="218" t="s">
        <v>250</v>
      </c>
    </row>
    <row r="22" spans="1:22" ht="15.75" customHeight="1">
      <c r="A22" s="215" t="s">
        <v>269</v>
      </c>
      <c r="B22" s="14" t="s">
        <v>270</v>
      </c>
      <c r="C22" s="15" t="s">
        <v>271</v>
      </c>
      <c r="D22" s="13" t="s">
        <v>272</v>
      </c>
      <c r="E22" s="14" t="s">
        <v>273</v>
      </c>
      <c r="F22" s="15"/>
      <c r="G22" s="15" t="s">
        <v>274</v>
      </c>
      <c r="H22" s="13" t="s">
        <v>96</v>
      </c>
      <c r="I22" s="13" t="s">
        <v>63</v>
      </c>
      <c r="J22" s="13" t="s">
        <v>275</v>
      </c>
      <c r="K22" s="14" t="s">
        <v>276</v>
      </c>
      <c r="L22" s="14" t="s">
        <v>99</v>
      </c>
      <c r="M22" s="14" t="s">
        <v>277</v>
      </c>
      <c r="N22" s="14" t="s">
        <v>126</v>
      </c>
      <c r="O22" s="13">
        <v>7</v>
      </c>
      <c r="P22" s="16">
        <v>35000</v>
      </c>
      <c r="Q22" s="13">
        <v>25</v>
      </c>
      <c r="R22" s="13">
        <v>18</v>
      </c>
      <c r="S22" s="16">
        <v>217734</v>
      </c>
      <c r="T22" s="14" t="s">
        <v>102</v>
      </c>
      <c r="U22" s="15" t="s">
        <v>261</v>
      </c>
      <c r="V22" s="218" t="s">
        <v>128</v>
      </c>
    </row>
    <row r="23" spans="1:22" ht="15.75" customHeight="1">
      <c r="A23" s="216" t="s">
        <v>278</v>
      </c>
      <c r="B23" s="18" t="s">
        <v>279</v>
      </c>
      <c r="C23" s="18" t="s">
        <v>106</v>
      </c>
      <c r="D23" s="17" t="s">
        <v>280</v>
      </c>
      <c r="E23" s="18" t="s">
        <v>281</v>
      </c>
      <c r="F23" s="18" t="s">
        <v>282</v>
      </c>
      <c r="G23" s="15" t="s">
        <v>274</v>
      </c>
      <c r="H23" s="17" t="s">
        <v>96</v>
      </c>
      <c r="I23" s="17" t="s">
        <v>63</v>
      </c>
      <c r="J23" s="17" t="s">
        <v>275</v>
      </c>
      <c r="K23" s="18" t="s">
        <v>276</v>
      </c>
      <c r="L23" s="18" t="s">
        <v>99</v>
      </c>
      <c r="M23" s="18" t="s">
        <v>277</v>
      </c>
      <c r="N23" s="18" t="s">
        <v>126</v>
      </c>
      <c r="O23" s="17">
        <v>5</v>
      </c>
      <c r="P23" s="19">
        <v>35000</v>
      </c>
      <c r="Q23" s="17">
        <v>20</v>
      </c>
      <c r="R23" s="17">
        <v>18</v>
      </c>
      <c r="S23" s="19">
        <v>165200</v>
      </c>
      <c r="T23" s="18" t="s">
        <v>153</v>
      </c>
      <c r="U23" s="15" t="s">
        <v>174</v>
      </c>
      <c r="V23" s="219" t="s">
        <v>155</v>
      </c>
    </row>
    <row r="24" spans="1:22" ht="15.75" customHeight="1">
      <c r="A24" s="215" t="s">
        <v>283</v>
      </c>
      <c r="B24" s="14" t="s">
        <v>284</v>
      </c>
      <c r="C24" s="15" t="s">
        <v>215</v>
      </c>
      <c r="D24" s="13" t="s">
        <v>285</v>
      </c>
      <c r="E24" s="14" t="s">
        <v>286</v>
      </c>
      <c r="F24" s="14" t="s">
        <v>287</v>
      </c>
      <c r="G24" s="14" t="s">
        <v>61</v>
      </c>
      <c r="H24" s="13" t="s">
        <v>62</v>
      </c>
      <c r="I24" s="13" t="s">
        <v>63</v>
      </c>
      <c r="J24" s="13" t="s">
        <v>238</v>
      </c>
      <c r="K24" s="14" t="s">
        <v>239</v>
      </c>
      <c r="L24" s="14" t="s">
        <v>112</v>
      </c>
      <c r="M24" s="14" t="s">
        <v>240</v>
      </c>
      <c r="N24" s="14" t="s">
        <v>241</v>
      </c>
      <c r="O24" s="13">
        <v>2</v>
      </c>
      <c r="P24" s="16">
        <v>2500</v>
      </c>
      <c r="Q24" s="13">
        <v>8</v>
      </c>
      <c r="R24" s="13">
        <v>5</v>
      </c>
      <c r="S24" s="16">
        <v>4830</v>
      </c>
      <c r="T24" s="14" t="s">
        <v>115</v>
      </c>
      <c r="U24" s="14" t="s">
        <v>288</v>
      </c>
      <c r="V24" s="217" t="s">
        <v>212</v>
      </c>
    </row>
    <row r="25" spans="1:22" ht="15.75" customHeight="1">
      <c r="A25" s="216" t="s">
        <v>289</v>
      </c>
      <c r="B25" s="18" t="s">
        <v>290</v>
      </c>
      <c r="C25" s="18" t="s">
        <v>291</v>
      </c>
      <c r="D25" s="17" t="s">
        <v>292</v>
      </c>
      <c r="E25" s="18" t="s">
        <v>293</v>
      </c>
      <c r="F25" s="18" t="s">
        <v>294</v>
      </c>
      <c r="G25" s="18" t="s">
        <v>122</v>
      </c>
      <c r="H25" s="17" t="s">
        <v>122</v>
      </c>
      <c r="I25" s="17" t="s">
        <v>123</v>
      </c>
      <c r="J25" s="17" t="s">
        <v>295</v>
      </c>
      <c r="K25" s="18" t="s">
        <v>296</v>
      </c>
      <c r="L25" s="18" t="s">
        <v>66</v>
      </c>
      <c r="M25" s="18" t="s">
        <v>297</v>
      </c>
      <c r="N25" s="18" t="s">
        <v>298</v>
      </c>
      <c r="O25" s="17">
        <v>2</v>
      </c>
      <c r="P25" s="19">
        <v>280</v>
      </c>
      <c r="Q25" s="17">
        <v>15</v>
      </c>
      <c r="R25" s="17">
        <v>5</v>
      </c>
      <c r="S25" s="19">
        <v>565</v>
      </c>
      <c r="T25" s="18" t="s">
        <v>142</v>
      </c>
      <c r="U25" s="18" t="s">
        <v>143</v>
      </c>
      <c r="V25" s="218" t="s">
        <v>250</v>
      </c>
    </row>
    <row r="26" spans="1:22" ht="15.75" customHeight="1">
      <c r="A26" s="215" t="s">
        <v>299</v>
      </c>
      <c r="B26" s="14" t="s">
        <v>300</v>
      </c>
      <c r="C26" s="14" t="s">
        <v>264</v>
      </c>
      <c r="D26" s="13" t="s">
        <v>301</v>
      </c>
      <c r="E26" s="14" t="s">
        <v>302</v>
      </c>
      <c r="F26" s="14" t="s">
        <v>303</v>
      </c>
      <c r="G26" s="15" t="s">
        <v>304</v>
      </c>
      <c r="H26" s="13" t="s">
        <v>305</v>
      </c>
      <c r="I26" s="13" t="s">
        <v>306</v>
      </c>
      <c r="J26" s="13" t="s">
        <v>137</v>
      </c>
      <c r="K26" s="14" t="s">
        <v>138</v>
      </c>
      <c r="L26" s="14" t="s">
        <v>139</v>
      </c>
      <c r="M26" s="14" t="s">
        <v>140</v>
      </c>
      <c r="N26" s="14" t="s">
        <v>141</v>
      </c>
      <c r="O26" s="13">
        <v>6</v>
      </c>
      <c r="P26" s="16">
        <v>12000</v>
      </c>
      <c r="Q26" s="13">
        <v>10</v>
      </c>
      <c r="R26" s="13">
        <v>18</v>
      </c>
      <c r="S26" s="16">
        <v>76464</v>
      </c>
      <c r="T26" s="14" t="s">
        <v>86</v>
      </c>
      <c r="U26" s="14" t="s">
        <v>211</v>
      </c>
      <c r="V26" s="217" t="s">
        <v>71</v>
      </c>
    </row>
    <row r="27" spans="1:22" ht="15.75" customHeight="1">
      <c r="A27" s="216" t="s">
        <v>307</v>
      </c>
      <c r="B27" s="18" t="s">
        <v>308</v>
      </c>
      <c r="C27" s="15" t="s">
        <v>118</v>
      </c>
      <c r="D27" s="17" t="s">
        <v>309</v>
      </c>
      <c r="E27" s="18" t="s">
        <v>310</v>
      </c>
      <c r="F27" s="18" t="s">
        <v>311</v>
      </c>
      <c r="G27" s="18" t="s">
        <v>78</v>
      </c>
      <c r="H27" s="17" t="s">
        <v>79</v>
      </c>
      <c r="I27" s="17" t="s">
        <v>80</v>
      </c>
      <c r="J27" s="17" t="s">
        <v>312</v>
      </c>
      <c r="K27" s="18" t="s">
        <v>313</v>
      </c>
      <c r="L27" s="18" t="s">
        <v>66</v>
      </c>
      <c r="M27" s="18" t="s">
        <v>199</v>
      </c>
      <c r="N27" s="18" t="s">
        <v>314</v>
      </c>
      <c r="O27" s="17">
        <v>4</v>
      </c>
      <c r="P27" s="19">
        <v>40</v>
      </c>
      <c r="Q27" s="17">
        <v>5</v>
      </c>
      <c r="R27" s="17">
        <v>5</v>
      </c>
      <c r="S27" s="19">
        <v>160</v>
      </c>
      <c r="T27" s="18" t="s">
        <v>102</v>
      </c>
      <c r="U27" s="15" t="s">
        <v>87</v>
      </c>
      <c r="V27" s="218" t="s">
        <v>190</v>
      </c>
    </row>
    <row r="28" spans="1:22" ht="15.75" customHeight="1">
      <c r="A28" s="215" t="s">
        <v>315</v>
      </c>
      <c r="B28" s="14" t="s">
        <v>316</v>
      </c>
      <c r="C28" s="15" t="s">
        <v>317</v>
      </c>
      <c r="D28" s="13" t="s">
        <v>318</v>
      </c>
      <c r="E28" s="14" t="s">
        <v>319</v>
      </c>
      <c r="F28" s="14" t="s">
        <v>320</v>
      </c>
      <c r="G28" s="14" t="s">
        <v>78</v>
      </c>
      <c r="H28" s="13" t="s">
        <v>79</v>
      </c>
      <c r="I28" s="13" t="s">
        <v>80</v>
      </c>
      <c r="J28" s="13" t="s">
        <v>162</v>
      </c>
      <c r="K28" s="14" t="s">
        <v>163</v>
      </c>
      <c r="L28" s="14" t="s">
        <v>99</v>
      </c>
      <c r="M28" s="14" t="s">
        <v>164</v>
      </c>
      <c r="N28" s="14" t="s">
        <v>165</v>
      </c>
      <c r="O28" s="13">
        <v>3</v>
      </c>
      <c r="P28" s="16">
        <v>2800</v>
      </c>
      <c r="Q28" s="13">
        <v>12</v>
      </c>
      <c r="R28" s="13">
        <v>18</v>
      </c>
      <c r="S28" s="16">
        <v>8723</v>
      </c>
      <c r="T28" s="14" t="s">
        <v>86</v>
      </c>
      <c r="U28" s="14" t="s">
        <v>184</v>
      </c>
      <c r="V28" s="218" t="s">
        <v>201</v>
      </c>
    </row>
    <row r="29" spans="1:22" ht="15.75" customHeight="1">
      <c r="A29" s="216" t="s">
        <v>321</v>
      </c>
      <c r="B29" s="18" t="s">
        <v>322</v>
      </c>
      <c r="C29" s="15" t="s">
        <v>158</v>
      </c>
      <c r="D29" s="17" t="s">
        <v>323</v>
      </c>
      <c r="E29" s="18" t="s">
        <v>324</v>
      </c>
      <c r="F29" s="18" t="s">
        <v>325</v>
      </c>
      <c r="G29" s="18" t="s">
        <v>95</v>
      </c>
      <c r="H29" s="17" t="s">
        <v>96</v>
      </c>
      <c r="I29" s="17" t="s">
        <v>63</v>
      </c>
      <c r="J29" s="17" t="s">
        <v>110</v>
      </c>
      <c r="K29" s="18" t="s">
        <v>111</v>
      </c>
      <c r="L29" s="18" t="s">
        <v>112</v>
      </c>
      <c r="M29" s="18" t="s">
        <v>113</v>
      </c>
      <c r="N29" s="18" t="s">
        <v>114</v>
      </c>
      <c r="O29" s="17">
        <v>5</v>
      </c>
      <c r="P29" s="19">
        <v>3500</v>
      </c>
      <c r="Q29" s="17">
        <v>5</v>
      </c>
      <c r="R29" s="17">
        <v>18</v>
      </c>
      <c r="S29" s="19">
        <v>19618</v>
      </c>
      <c r="T29" s="18" t="s">
        <v>326</v>
      </c>
      <c r="U29" s="18" t="s">
        <v>288</v>
      </c>
      <c r="V29" s="219" t="s">
        <v>212</v>
      </c>
    </row>
    <row r="30" spans="1:22" ht="15.75" customHeight="1">
      <c r="A30" s="215" t="s">
        <v>327</v>
      </c>
      <c r="B30" s="14" t="s">
        <v>328</v>
      </c>
      <c r="C30" s="15" t="s">
        <v>329</v>
      </c>
      <c r="D30" s="13" t="s">
        <v>330</v>
      </c>
      <c r="E30" s="14" t="s">
        <v>331</v>
      </c>
      <c r="F30" s="14" t="s">
        <v>332</v>
      </c>
      <c r="G30" s="14" t="s">
        <v>333</v>
      </c>
      <c r="H30" s="13" t="s">
        <v>334</v>
      </c>
      <c r="I30" s="13" t="s">
        <v>63</v>
      </c>
      <c r="J30" s="13" t="s">
        <v>97</v>
      </c>
      <c r="K30" s="14" t="s">
        <v>98</v>
      </c>
      <c r="L30" s="14" t="s">
        <v>99</v>
      </c>
      <c r="M30" s="14" t="s">
        <v>100</v>
      </c>
      <c r="N30" s="14" t="s">
        <v>101</v>
      </c>
      <c r="O30" s="13">
        <v>1</v>
      </c>
      <c r="P30" s="16">
        <v>28000</v>
      </c>
      <c r="Q30" s="13">
        <v>10</v>
      </c>
      <c r="R30" s="13">
        <v>18</v>
      </c>
      <c r="S30" s="16">
        <v>29736</v>
      </c>
      <c r="T30" s="14" t="s">
        <v>183</v>
      </c>
      <c r="U30" s="14" t="s">
        <v>143</v>
      </c>
      <c r="V30" s="218" t="s">
        <v>128</v>
      </c>
    </row>
    <row r="31" spans="1:22" ht="15.75" customHeight="1">
      <c r="A31" s="216" t="s">
        <v>335</v>
      </c>
      <c r="B31" s="18" t="s">
        <v>336</v>
      </c>
      <c r="C31" s="18" t="s">
        <v>337</v>
      </c>
      <c r="D31" s="17" t="s">
        <v>338</v>
      </c>
      <c r="E31" s="18" t="s">
        <v>339</v>
      </c>
      <c r="F31" s="18" t="s">
        <v>340</v>
      </c>
      <c r="G31" s="18" t="s">
        <v>341</v>
      </c>
      <c r="H31" s="17" t="s">
        <v>62</v>
      </c>
      <c r="I31" s="17" t="s">
        <v>63</v>
      </c>
      <c r="J31" s="17" t="s">
        <v>64</v>
      </c>
      <c r="K31" s="18" t="s">
        <v>65</v>
      </c>
      <c r="L31" s="18" t="s">
        <v>66</v>
      </c>
      <c r="M31" s="18" t="s">
        <v>67</v>
      </c>
      <c r="N31" s="18" t="s">
        <v>68</v>
      </c>
      <c r="O31" s="17">
        <v>4</v>
      </c>
      <c r="P31" s="19">
        <v>450</v>
      </c>
      <c r="Q31" s="17">
        <v>8</v>
      </c>
      <c r="R31" s="17">
        <v>5</v>
      </c>
      <c r="S31" s="19">
        <v>1739</v>
      </c>
      <c r="T31" s="18" t="s">
        <v>326</v>
      </c>
      <c r="U31" s="18" t="s">
        <v>288</v>
      </c>
      <c r="V31" s="219" t="s">
        <v>71</v>
      </c>
    </row>
    <row r="32" spans="1:22" ht="15.75" customHeight="1">
      <c r="A32" s="215" t="s">
        <v>342</v>
      </c>
      <c r="B32" s="14" t="s">
        <v>343</v>
      </c>
      <c r="C32" s="15"/>
      <c r="D32" s="13" t="s">
        <v>344</v>
      </c>
      <c r="E32" s="14" t="s">
        <v>345</v>
      </c>
      <c r="F32" s="14" t="s">
        <v>346</v>
      </c>
      <c r="G32" s="14" t="s">
        <v>122</v>
      </c>
      <c r="H32" s="13" t="s">
        <v>122</v>
      </c>
      <c r="I32" s="13" t="s">
        <v>123</v>
      </c>
      <c r="J32" s="13" t="s">
        <v>347</v>
      </c>
      <c r="K32" s="14" t="s">
        <v>348</v>
      </c>
      <c r="L32" s="14" t="s">
        <v>139</v>
      </c>
      <c r="M32" s="14" t="s">
        <v>349</v>
      </c>
      <c r="N32" s="14" t="s">
        <v>350</v>
      </c>
      <c r="O32" s="13">
        <v>10</v>
      </c>
      <c r="P32" s="16">
        <v>3200</v>
      </c>
      <c r="Q32" s="13">
        <v>0</v>
      </c>
      <c r="R32" s="13">
        <v>18</v>
      </c>
      <c r="S32" s="16">
        <v>37760</v>
      </c>
      <c r="T32" s="14" t="s">
        <v>142</v>
      </c>
      <c r="U32" s="14" t="s">
        <v>288</v>
      </c>
      <c r="V32" s="218" t="s">
        <v>128</v>
      </c>
    </row>
    <row r="33" spans="1:22" ht="15.75" customHeight="1">
      <c r="A33" s="216" t="s">
        <v>351</v>
      </c>
      <c r="B33" s="18" t="s">
        <v>352</v>
      </c>
      <c r="C33" s="18" t="s">
        <v>74</v>
      </c>
      <c r="D33" s="17" t="s">
        <v>353</v>
      </c>
      <c r="E33" s="18" t="s">
        <v>354</v>
      </c>
      <c r="F33" s="18" t="s">
        <v>355</v>
      </c>
      <c r="G33" s="18" t="s">
        <v>248</v>
      </c>
      <c r="H33" s="17" t="s">
        <v>249</v>
      </c>
      <c r="I33" s="17" t="s">
        <v>123</v>
      </c>
      <c r="J33" s="17" t="s">
        <v>356</v>
      </c>
      <c r="K33" s="18" t="s">
        <v>357</v>
      </c>
      <c r="L33" s="18" t="s">
        <v>139</v>
      </c>
      <c r="M33" s="18" t="s">
        <v>140</v>
      </c>
      <c r="N33" s="18" t="s">
        <v>358</v>
      </c>
      <c r="O33" s="17">
        <v>9</v>
      </c>
      <c r="P33" s="19">
        <v>42000</v>
      </c>
      <c r="Q33" s="17">
        <v>20</v>
      </c>
      <c r="R33" s="17">
        <v>18</v>
      </c>
      <c r="S33" s="19">
        <v>643743</v>
      </c>
      <c r="T33" s="18" t="s">
        <v>142</v>
      </c>
      <c r="U33" s="15" t="s">
        <v>261</v>
      </c>
      <c r="V33" s="219" t="s">
        <v>155</v>
      </c>
    </row>
    <row r="34" spans="1:22" ht="15.75" customHeight="1">
      <c r="A34" s="215" t="s">
        <v>359</v>
      </c>
      <c r="B34" s="14" t="s">
        <v>360</v>
      </c>
      <c r="C34" s="14" t="s">
        <v>264</v>
      </c>
      <c r="D34" s="13" t="s">
        <v>361</v>
      </c>
      <c r="E34" s="14" t="s">
        <v>302</v>
      </c>
      <c r="F34" s="14" t="s">
        <v>362</v>
      </c>
      <c r="G34" s="15" t="s">
        <v>363</v>
      </c>
      <c r="H34" s="13" t="s">
        <v>364</v>
      </c>
      <c r="I34" s="13" t="s">
        <v>63</v>
      </c>
      <c r="J34" s="13" t="s">
        <v>365</v>
      </c>
      <c r="K34" s="14" t="s">
        <v>366</v>
      </c>
      <c r="L34" s="14" t="s">
        <v>112</v>
      </c>
      <c r="M34" s="14" t="s">
        <v>367</v>
      </c>
      <c r="N34" s="14" t="s">
        <v>368</v>
      </c>
      <c r="O34" s="13">
        <v>10</v>
      </c>
      <c r="P34" s="20" t="s">
        <v>369</v>
      </c>
      <c r="Q34" s="13">
        <v>20</v>
      </c>
      <c r="R34" s="13">
        <v>5</v>
      </c>
      <c r="S34" s="16">
        <v>29400</v>
      </c>
      <c r="T34" s="14" t="s">
        <v>142</v>
      </c>
      <c r="U34" s="14" t="s">
        <v>143</v>
      </c>
      <c r="V34" s="218" t="s">
        <v>128</v>
      </c>
    </row>
    <row r="35" spans="1:22" ht="15.75" customHeight="1">
      <c r="A35" s="216" t="s">
        <v>370</v>
      </c>
      <c r="B35" s="18" t="s">
        <v>371</v>
      </c>
      <c r="C35" s="18" t="s">
        <v>372</v>
      </c>
      <c r="D35" s="17" t="s">
        <v>373</v>
      </c>
      <c r="E35" s="18" t="s">
        <v>374</v>
      </c>
      <c r="F35" s="18" t="s">
        <v>375</v>
      </c>
      <c r="G35" s="18" t="s">
        <v>341</v>
      </c>
      <c r="H35" s="17" t="s">
        <v>62</v>
      </c>
      <c r="I35" s="17" t="s">
        <v>63</v>
      </c>
      <c r="J35" s="17" t="s">
        <v>376</v>
      </c>
      <c r="K35" s="18" t="s">
        <v>377</v>
      </c>
      <c r="L35" s="18" t="s">
        <v>112</v>
      </c>
      <c r="M35" s="18" t="s">
        <v>113</v>
      </c>
      <c r="N35" s="18" t="s">
        <v>378</v>
      </c>
      <c r="O35" s="17">
        <v>2</v>
      </c>
      <c r="P35" s="19">
        <v>8500</v>
      </c>
      <c r="Q35" s="17">
        <v>12</v>
      </c>
      <c r="R35" s="17">
        <v>18</v>
      </c>
      <c r="S35" s="19">
        <v>17653</v>
      </c>
      <c r="T35" s="18" t="s">
        <v>326</v>
      </c>
      <c r="U35" s="15" t="s">
        <v>87</v>
      </c>
      <c r="V35" s="219" t="s">
        <v>71</v>
      </c>
    </row>
    <row r="36" spans="1:22" ht="15.75" customHeight="1">
      <c r="A36" s="215" t="s">
        <v>379</v>
      </c>
      <c r="B36" s="14" t="s">
        <v>380</v>
      </c>
      <c r="C36" s="15" t="s">
        <v>177</v>
      </c>
      <c r="D36" s="13" t="s">
        <v>381</v>
      </c>
      <c r="E36" s="14" t="s">
        <v>382</v>
      </c>
      <c r="F36" s="15"/>
      <c r="G36" s="14" t="s">
        <v>248</v>
      </c>
      <c r="H36" s="13" t="s">
        <v>249</v>
      </c>
      <c r="I36" s="13" t="s">
        <v>123</v>
      </c>
      <c r="J36" s="13" t="s">
        <v>257</v>
      </c>
      <c r="K36" s="14" t="s">
        <v>258</v>
      </c>
      <c r="L36" s="14" t="s">
        <v>139</v>
      </c>
      <c r="M36" s="14" t="s">
        <v>259</v>
      </c>
      <c r="N36" s="14" t="s">
        <v>260</v>
      </c>
      <c r="O36" s="13">
        <v>6</v>
      </c>
      <c r="P36" s="16">
        <v>299</v>
      </c>
      <c r="Q36" s="13">
        <v>8</v>
      </c>
      <c r="R36" s="13">
        <v>18</v>
      </c>
      <c r="S36" s="16">
        <v>1948</v>
      </c>
      <c r="T36" s="14" t="s">
        <v>326</v>
      </c>
      <c r="U36" s="15" t="s">
        <v>383</v>
      </c>
      <c r="V36" s="217" t="s">
        <v>212</v>
      </c>
    </row>
    <row r="37" spans="1:22" ht="15.75" customHeight="1">
      <c r="A37" s="216" t="s">
        <v>384</v>
      </c>
      <c r="B37" s="18" t="s">
        <v>385</v>
      </c>
      <c r="C37" s="18" t="s">
        <v>131</v>
      </c>
      <c r="D37" s="17" t="s">
        <v>386</v>
      </c>
      <c r="E37" s="18" t="s">
        <v>387</v>
      </c>
      <c r="F37" s="18" t="s">
        <v>388</v>
      </c>
      <c r="G37" s="18" t="s">
        <v>172</v>
      </c>
      <c r="H37" s="17" t="s">
        <v>96</v>
      </c>
      <c r="I37" s="17" t="s">
        <v>63</v>
      </c>
      <c r="J37" s="17" t="s">
        <v>389</v>
      </c>
      <c r="K37" s="18" t="s">
        <v>390</v>
      </c>
      <c r="L37" s="18" t="s">
        <v>99</v>
      </c>
      <c r="M37" s="18" t="s">
        <v>164</v>
      </c>
      <c r="N37" s="18" t="s">
        <v>391</v>
      </c>
      <c r="O37" s="17">
        <v>7</v>
      </c>
      <c r="P37" s="19">
        <v>1500</v>
      </c>
      <c r="Q37" s="17">
        <v>20</v>
      </c>
      <c r="R37" s="17">
        <v>18</v>
      </c>
      <c r="S37" s="19">
        <v>9912</v>
      </c>
      <c r="T37" s="18" t="s">
        <v>142</v>
      </c>
      <c r="U37" s="15" t="s">
        <v>103</v>
      </c>
      <c r="V37" s="219" t="s">
        <v>155</v>
      </c>
    </row>
    <row r="38" spans="1:22" ht="15.75" customHeight="1">
      <c r="A38" s="215" t="s">
        <v>392</v>
      </c>
      <c r="B38" s="14" t="s">
        <v>393</v>
      </c>
      <c r="C38" s="15" t="s">
        <v>253</v>
      </c>
      <c r="D38" s="13" t="s">
        <v>394</v>
      </c>
      <c r="E38" s="14" t="s">
        <v>395</v>
      </c>
      <c r="F38" s="14" t="s">
        <v>396</v>
      </c>
      <c r="G38" s="14" t="s">
        <v>95</v>
      </c>
      <c r="H38" s="13" t="s">
        <v>96</v>
      </c>
      <c r="I38" s="13" t="s">
        <v>63</v>
      </c>
      <c r="J38" s="13" t="s">
        <v>257</v>
      </c>
      <c r="K38" s="14"/>
      <c r="L38" s="14" t="s">
        <v>139</v>
      </c>
      <c r="M38" s="14" t="s">
        <v>259</v>
      </c>
      <c r="N38" s="14" t="s">
        <v>260</v>
      </c>
      <c r="O38" s="13">
        <v>6</v>
      </c>
      <c r="P38" s="16">
        <v>299</v>
      </c>
      <c r="Q38" s="13">
        <v>8</v>
      </c>
      <c r="R38" s="13">
        <v>18</v>
      </c>
      <c r="S38" s="16">
        <v>1948</v>
      </c>
      <c r="T38" s="14" t="s">
        <v>326</v>
      </c>
      <c r="U38" s="15" t="s">
        <v>154</v>
      </c>
      <c r="V38" s="218" t="s">
        <v>88</v>
      </c>
    </row>
    <row r="39" spans="1:22" ht="15.75" customHeight="1">
      <c r="A39" s="216" t="s">
        <v>262</v>
      </c>
      <c r="B39" s="18" t="s">
        <v>263</v>
      </c>
      <c r="C39" s="18" t="s">
        <v>264</v>
      </c>
      <c r="D39" s="17" t="s">
        <v>265</v>
      </c>
      <c r="E39" s="18" t="s">
        <v>266</v>
      </c>
      <c r="F39" s="18" t="s">
        <v>267</v>
      </c>
      <c r="G39" s="15" t="s">
        <v>268</v>
      </c>
      <c r="H39" s="17" t="s">
        <v>122</v>
      </c>
      <c r="I39" s="17" t="s">
        <v>123</v>
      </c>
      <c r="J39" s="17" t="s">
        <v>64</v>
      </c>
      <c r="K39" s="18" t="s">
        <v>65</v>
      </c>
      <c r="L39" s="18" t="s">
        <v>66</v>
      </c>
      <c r="M39" s="18" t="s">
        <v>67</v>
      </c>
      <c r="N39" s="18" t="s">
        <v>68</v>
      </c>
      <c r="O39" s="17">
        <v>6</v>
      </c>
      <c r="P39" s="19">
        <v>450</v>
      </c>
      <c r="Q39" s="17">
        <v>8</v>
      </c>
      <c r="R39" s="17">
        <v>5</v>
      </c>
      <c r="S39" s="19">
        <v>2608</v>
      </c>
      <c r="T39" s="18" t="s">
        <v>183</v>
      </c>
      <c r="U39" s="15" t="s">
        <v>174</v>
      </c>
      <c r="V39" s="218" t="s">
        <v>250</v>
      </c>
    </row>
    <row r="40" spans="1:22" ht="15.75" customHeight="1">
      <c r="A40" s="215" t="s">
        <v>229</v>
      </c>
      <c r="B40" s="14" t="s">
        <v>230</v>
      </c>
      <c r="C40" s="15" t="s">
        <v>215</v>
      </c>
      <c r="D40" s="13" t="s">
        <v>231</v>
      </c>
      <c r="E40" s="14" t="s">
        <v>232</v>
      </c>
      <c r="F40" s="14" t="s">
        <v>233</v>
      </c>
      <c r="G40" s="14" t="s">
        <v>95</v>
      </c>
      <c r="H40" s="13" t="s">
        <v>96</v>
      </c>
      <c r="I40" s="13" t="s">
        <v>63</v>
      </c>
      <c r="J40" s="13" t="s">
        <v>197</v>
      </c>
      <c r="K40" s="14" t="s">
        <v>198</v>
      </c>
      <c r="L40" s="14" t="s">
        <v>66</v>
      </c>
      <c r="M40" s="14" t="s">
        <v>199</v>
      </c>
      <c r="N40" s="14" t="s">
        <v>200</v>
      </c>
      <c r="O40" s="13">
        <v>7</v>
      </c>
      <c r="P40" s="16">
        <v>50</v>
      </c>
      <c r="Q40" s="13">
        <v>10</v>
      </c>
      <c r="R40" s="13">
        <v>5</v>
      </c>
      <c r="S40" s="16">
        <v>331</v>
      </c>
      <c r="T40" s="14" t="s">
        <v>86</v>
      </c>
      <c r="U40" s="15" t="s">
        <v>87</v>
      </c>
      <c r="V40" s="218" t="s">
        <v>190</v>
      </c>
    </row>
    <row r="41" spans="1:22" ht="15.75" customHeight="1">
      <c r="A41" s="216" t="s">
        <v>397</v>
      </c>
      <c r="B41" s="18" t="s">
        <v>398</v>
      </c>
      <c r="C41" s="15" t="s">
        <v>177</v>
      </c>
      <c r="D41" s="17" t="s">
        <v>399</v>
      </c>
      <c r="E41" s="18" t="s">
        <v>400</v>
      </c>
      <c r="F41" s="18" t="s">
        <v>401</v>
      </c>
      <c r="G41" s="18" t="s">
        <v>181</v>
      </c>
      <c r="H41" s="17" t="s">
        <v>182</v>
      </c>
      <c r="I41" s="17" t="s">
        <v>123</v>
      </c>
      <c r="J41" s="17" t="s">
        <v>356</v>
      </c>
      <c r="K41" s="18" t="s">
        <v>357</v>
      </c>
      <c r="L41" s="18" t="s">
        <v>139</v>
      </c>
      <c r="M41" s="18" t="s">
        <v>140</v>
      </c>
      <c r="N41" s="18" t="s">
        <v>358</v>
      </c>
      <c r="O41" s="17">
        <v>7</v>
      </c>
      <c r="P41" s="19">
        <v>42000</v>
      </c>
      <c r="Q41" s="17">
        <v>25</v>
      </c>
      <c r="R41" s="17">
        <v>18</v>
      </c>
      <c r="S41" s="19">
        <v>260190</v>
      </c>
      <c r="T41" s="18" t="s">
        <v>127</v>
      </c>
      <c r="U41" s="18" t="s">
        <v>288</v>
      </c>
      <c r="V41" s="219" t="s">
        <v>155</v>
      </c>
    </row>
    <row r="42" spans="1:22" ht="15.75" customHeight="1">
      <c r="A42" s="215" t="s">
        <v>402</v>
      </c>
      <c r="B42" s="14" t="s">
        <v>403</v>
      </c>
      <c r="C42" s="15" t="s">
        <v>118</v>
      </c>
      <c r="D42" s="13" t="s">
        <v>404</v>
      </c>
      <c r="E42" s="14" t="s">
        <v>405</v>
      </c>
      <c r="F42" s="14" t="s">
        <v>406</v>
      </c>
      <c r="G42" s="15" t="s">
        <v>407</v>
      </c>
      <c r="H42" s="13" t="s">
        <v>152</v>
      </c>
      <c r="I42" s="13" t="s">
        <v>80</v>
      </c>
      <c r="J42" s="13" t="s">
        <v>365</v>
      </c>
      <c r="K42" s="14" t="s">
        <v>366</v>
      </c>
      <c r="L42" s="14" t="s">
        <v>112</v>
      </c>
      <c r="M42" s="14" t="s">
        <v>367</v>
      </c>
      <c r="N42" s="14" t="s">
        <v>368</v>
      </c>
      <c r="O42" s="13">
        <v>4</v>
      </c>
      <c r="P42" s="16">
        <v>3500</v>
      </c>
      <c r="Q42" s="13">
        <v>8</v>
      </c>
      <c r="R42" s="13">
        <v>5</v>
      </c>
      <c r="S42" s="16">
        <v>13524</v>
      </c>
      <c r="T42" s="14" t="s">
        <v>127</v>
      </c>
      <c r="U42" s="15" t="s">
        <v>174</v>
      </c>
      <c r="V42" s="217" t="s">
        <v>155</v>
      </c>
    </row>
    <row r="43" spans="1:22" ht="15.75" customHeight="1">
      <c r="A43" s="216" t="s">
        <v>408</v>
      </c>
      <c r="B43" s="18" t="s">
        <v>409</v>
      </c>
      <c r="C43" s="15" t="s">
        <v>410</v>
      </c>
      <c r="D43" s="17" t="s">
        <v>411</v>
      </c>
      <c r="E43" s="18" t="s">
        <v>412</v>
      </c>
      <c r="F43" s="15"/>
      <c r="G43" s="18" t="s">
        <v>151</v>
      </c>
      <c r="H43" s="17" t="s">
        <v>152</v>
      </c>
      <c r="I43" s="17" t="s">
        <v>80</v>
      </c>
      <c r="J43" s="17" t="s">
        <v>137</v>
      </c>
      <c r="K43" s="18" t="s">
        <v>138</v>
      </c>
      <c r="L43" s="18" t="s">
        <v>139</v>
      </c>
      <c r="M43" s="18" t="s">
        <v>140</v>
      </c>
      <c r="N43" s="18" t="s">
        <v>141</v>
      </c>
      <c r="O43" s="17">
        <v>3</v>
      </c>
      <c r="P43" s="19">
        <v>12000</v>
      </c>
      <c r="Q43" s="17">
        <v>15</v>
      </c>
      <c r="R43" s="17">
        <v>18</v>
      </c>
      <c r="S43" s="19">
        <v>36108</v>
      </c>
      <c r="T43" s="18" t="s">
        <v>413</v>
      </c>
      <c r="U43" s="15" t="s">
        <v>154</v>
      </c>
      <c r="V43" s="218" t="s">
        <v>250</v>
      </c>
    </row>
    <row r="44" spans="1:22" ht="15.75" customHeight="1">
      <c r="A44" s="215" t="s">
        <v>414</v>
      </c>
      <c r="B44" s="14" t="s">
        <v>415</v>
      </c>
      <c r="C44" s="14" t="s">
        <v>416</v>
      </c>
      <c r="D44" s="13" t="s">
        <v>417</v>
      </c>
      <c r="E44" s="14" t="s">
        <v>418</v>
      </c>
      <c r="F44" s="14" t="s">
        <v>419</v>
      </c>
      <c r="G44" s="14" t="s">
        <v>95</v>
      </c>
      <c r="H44" s="13" t="s">
        <v>96</v>
      </c>
      <c r="I44" s="13" t="s">
        <v>63</v>
      </c>
      <c r="J44" s="13" t="s">
        <v>420</v>
      </c>
      <c r="K44" s="14" t="s">
        <v>421</v>
      </c>
      <c r="L44" s="14" t="s">
        <v>112</v>
      </c>
      <c r="M44" s="14" t="s">
        <v>422</v>
      </c>
      <c r="N44" s="14" t="s">
        <v>423</v>
      </c>
      <c r="O44" s="13">
        <v>6</v>
      </c>
      <c r="P44" s="20"/>
      <c r="Q44" s="13">
        <v>15</v>
      </c>
      <c r="R44" s="13">
        <v>18</v>
      </c>
      <c r="S44" s="16">
        <v>0</v>
      </c>
      <c r="T44" s="14" t="s">
        <v>142</v>
      </c>
      <c r="U44" s="14" t="s">
        <v>288</v>
      </c>
      <c r="V44" s="218" t="s">
        <v>250</v>
      </c>
    </row>
    <row r="45" spans="1:22" ht="15.75" customHeight="1">
      <c r="A45" s="216" t="s">
        <v>424</v>
      </c>
      <c r="B45" s="18" t="s">
        <v>425</v>
      </c>
      <c r="C45" s="18" t="s">
        <v>372</v>
      </c>
      <c r="D45" s="17" t="s">
        <v>426</v>
      </c>
      <c r="E45" s="18" t="s">
        <v>427</v>
      </c>
      <c r="F45" s="18" t="s">
        <v>428</v>
      </c>
      <c r="G45" s="15" t="s">
        <v>363</v>
      </c>
      <c r="H45" s="17" t="s">
        <v>364</v>
      </c>
      <c r="I45" s="17" t="s">
        <v>63</v>
      </c>
      <c r="J45" s="17" t="s">
        <v>97</v>
      </c>
      <c r="K45" s="18" t="s">
        <v>98</v>
      </c>
      <c r="L45" s="18" t="s">
        <v>99</v>
      </c>
      <c r="M45" s="18" t="s">
        <v>100</v>
      </c>
      <c r="N45" s="18" t="s">
        <v>101</v>
      </c>
      <c r="O45" s="17">
        <v>10</v>
      </c>
      <c r="P45" s="19">
        <v>28000</v>
      </c>
      <c r="Q45" s="17">
        <v>25</v>
      </c>
      <c r="R45" s="17">
        <v>18</v>
      </c>
      <c r="S45" s="19">
        <v>247800</v>
      </c>
      <c r="T45" s="18" t="s">
        <v>86</v>
      </c>
      <c r="U45" s="18" t="s">
        <v>70</v>
      </c>
      <c r="V45" s="219" t="s">
        <v>71</v>
      </c>
    </row>
    <row r="46" spans="1:22" ht="15.75" customHeight="1">
      <c r="A46" s="215" t="s">
        <v>429</v>
      </c>
      <c r="B46" s="14" t="s">
        <v>430</v>
      </c>
      <c r="C46" s="15" t="s">
        <v>431</v>
      </c>
      <c r="D46" s="13" t="s">
        <v>432</v>
      </c>
      <c r="E46" s="14" t="s">
        <v>433</v>
      </c>
      <c r="F46" s="15"/>
      <c r="G46" s="14" t="s">
        <v>228</v>
      </c>
      <c r="H46" s="13" t="s">
        <v>152</v>
      </c>
      <c r="I46" s="13" t="s">
        <v>80</v>
      </c>
      <c r="J46" s="13" t="s">
        <v>238</v>
      </c>
      <c r="K46" s="14" t="s">
        <v>239</v>
      </c>
      <c r="L46" s="14" t="s">
        <v>112</v>
      </c>
      <c r="M46" s="14" t="s">
        <v>240</v>
      </c>
      <c r="N46" s="14" t="s">
        <v>241</v>
      </c>
      <c r="O46" s="13">
        <v>4</v>
      </c>
      <c r="P46" s="20"/>
      <c r="Q46" s="13">
        <v>10</v>
      </c>
      <c r="R46" s="13">
        <v>5</v>
      </c>
      <c r="S46" s="16">
        <v>0</v>
      </c>
      <c r="T46" s="14" t="s">
        <v>183</v>
      </c>
      <c r="U46" s="14" t="s">
        <v>70</v>
      </c>
      <c r="V46" s="218" t="s">
        <v>88</v>
      </c>
    </row>
    <row r="47" spans="1:22" ht="15.75" customHeight="1">
      <c r="A47" s="216" t="s">
        <v>434</v>
      </c>
      <c r="B47" s="18" t="s">
        <v>435</v>
      </c>
      <c r="C47" s="18" t="s">
        <v>131</v>
      </c>
      <c r="D47" s="17" t="s">
        <v>436</v>
      </c>
      <c r="E47" s="18" t="s">
        <v>437</v>
      </c>
      <c r="F47" s="18" t="s">
        <v>438</v>
      </c>
      <c r="G47" s="18" t="s">
        <v>439</v>
      </c>
      <c r="H47" s="17" t="s">
        <v>364</v>
      </c>
      <c r="I47" s="17" t="s">
        <v>63</v>
      </c>
      <c r="J47" s="17" t="s">
        <v>356</v>
      </c>
      <c r="K47" s="18" t="s">
        <v>357</v>
      </c>
      <c r="L47" s="18" t="s">
        <v>139</v>
      </c>
      <c r="M47" s="18" t="s">
        <v>140</v>
      </c>
      <c r="N47" s="18" t="s">
        <v>358</v>
      </c>
      <c r="O47" s="20" t="s">
        <v>440</v>
      </c>
      <c r="P47" s="19">
        <v>42000</v>
      </c>
      <c r="Q47" s="17">
        <v>20</v>
      </c>
      <c r="R47" s="17">
        <v>18</v>
      </c>
      <c r="S47" s="19">
        <v>39648</v>
      </c>
      <c r="T47" s="18" t="s">
        <v>86</v>
      </c>
      <c r="U47" s="15" t="s">
        <v>103</v>
      </c>
      <c r="V47" s="219" t="s">
        <v>212</v>
      </c>
    </row>
    <row r="48" spans="1:22" ht="15.75" customHeight="1">
      <c r="A48" s="215" t="s">
        <v>441</v>
      </c>
      <c r="B48" s="14" t="s">
        <v>442</v>
      </c>
      <c r="C48" s="15" t="s">
        <v>329</v>
      </c>
      <c r="D48" s="13" t="s">
        <v>443</v>
      </c>
      <c r="E48" s="14" t="s">
        <v>331</v>
      </c>
      <c r="F48" s="14" t="s">
        <v>444</v>
      </c>
      <c r="G48" s="14" t="s">
        <v>181</v>
      </c>
      <c r="H48" s="13" t="s">
        <v>182</v>
      </c>
      <c r="I48" s="13" t="s">
        <v>123</v>
      </c>
      <c r="J48" s="13" t="s">
        <v>275</v>
      </c>
      <c r="K48" s="14" t="s">
        <v>276</v>
      </c>
      <c r="L48" s="14" t="s">
        <v>99</v>
      </c>
      <c r="M48" s="14" t="s">
        <v>277</v>
      </c>
      <c r="N48" s="14" t="s">
        <v>126</v>
      </c>
      <c r="O48" s="13">
        <v>8</v>
      </c>
      <c r="P48" s="16">
        <v>35000</v>
      </c>
      <c r="Q48" s="13">
        <v>8</v>
      </c>
      <c r="R48" s="13">
        <v>18</v>
      </c>
      <c r="S48" s="16">
        <v>303968</v>
      </c>
      <c r="T48" s="14" t="s">
        <v>183</v>
      </c>
      <c r="U48" s="15" t="s">
        <v>383</v>
      </c>
      <c r="V48" s="218" t="s">
        <v>250</v>
      </c>
    </row>
    <row r="49" spans="1:22" ht="15.75" customHeight="1">
      <c r="A49" s="216" t="s">
        <v>445</v>
      </c>
      <c r="B49" s="18" t="s">
        <v>446</v>
      </c>
      <c r="C49" s="15" t="s">
        <v>447</v>
      </c>
      <c r="D49" s="17" t="s">
        <v>448</v>
      </c>
      <c r="E49" s="18" t="s">
        <v>449</v>
      </c>
      <c r="F49" s="18" t="s">
        <v>450</v>
      </c>
      <c r="G49" s="18" t="s">
        <v>151</v>
      </c>
      <c r="H49" s="17" t="s">
        <v>152</v>
      </c>
      <c r="I49" s="17" t="s">
        <v>80</v>
      </c>
      <c r="J49" s="17" t="s">
        <v>64</v>
      </c>
      <c r="K49" s="18" t="s">
        <v>65</v>
      </c>
      <c r="L49" s="18" t="s">
        <v>66</v>
      </c>
      <c r="M49" s="18" t="s">
        <v>67</v>
      </c>
      <c r="N49" s="18" t="s">
        <v>68</v>
      </c>
      <c r="O49" s="17">
        <v>6</v>
      </c>
      <c r="P49" s="19">
        <v>450</v>
      </c>
      <c r="Q49" s="17">
        <v>25</v>
      </c>
      <c r="R49" s="17">
        <v>5</v>
      </c>
      <c r="S49" s="19">
        <v>2126</v>
      </c>
      <c r="T49" s="18" t="s">
        <v>153</v>
      </c>
      <c r="U49" s="15" t="s">
        <v>383</v>
      </c>
      <c r="V49" s="218" t="s">
        <v>128</v>
      </c>
    </row>
    <row r="50" spans="1:22" ht="15.75" customHeight="1">
      <c r="A50" s="215" t="s">
        <v>451</v>
      </c>
      <c r="B50" s="14" t="s">
        <v>452</v>
      </c>
      <c r="C50" s="15" t="s">
        <v>431</v>
      </c>
      <c r="D50" s="13" t="s">
        <v>453</v>
      </c>
      <c r="E50" s="14" t="s">
        <v>454</v>
      </c>
      <c r="F50" s="14" t="s">
        <v>455</v>
      </c>
      <c r="G50" s="14" t="s">
        <v>172</v>
      </c>
      <c r="H50" s="13" t="s">
        <v>96</v>
      </c>
      <c r="I50" s="13" t="s">
        <v>63</v>
      </c>
      <c r="J50" s="13" t="s">
        <v>162</v>
      </c>
      <c r="K50" s="14" t="s">
        <v>163</v>
      </c>
      <c r="L50" s="14" t="s">
        <v>99</v>
      </c>
      <c r="M50" s="14" t="s">
        <v>164</v>
      </c>
      <c r="N50" s="14" t="s">
        <v>165</v>
      </c>
      <c r="O50" s="13">
        <v>9</v>
      </c>
      <c r="P50" s="16">
        <v>2800</v>
      </c>
      <c r="Q50" s="13">
        <v>15</v>
      </c>
      <c r="R50" s="13">
        <v>18</v>
      </c>
      <c r="S50" s="16">
        <v>25276</v>
      </c>
      <c r="T50" s="14" t="s">
        <v>69</v>
      </c>
      <c r="U50" s="15" t="s">
        <v>103</v>
      </c>
      <c r="V50" s="217" t="s">
        <v>144</v>
      </c>
    </row>
    <row r="51" spans="1:22" ht="15.75" customHeight="1">
      <c r="A51" s="216" t="s">
        <v>456</v>
      </c>
      <c r="B51" s="18" t="s">
        <v>457</v>
      </c>
      <c r="C51" s="15" t="s">
        <v>431</v>
      </c>
      <c r="D51" s="17" t="s">
        <v>458</v>
      </c>
      <c r="E51" s="18" t="s">
        <v>433</v>
      </c>
      <c r="F51" s="15"/>
      <c r="G51" s="18" t="s">
        <v>61</v>
      </c>
      <c r="H51" s="17" t="s">
        <v>62</v>
      </c>
      <c r="I51" s="17" t="s">
        <v>63</v>
      </c>
      <c r="J51" s="17" t="s">
        <v>389</v>
      </c>
      <c r="K51" s="18" t="s">
        <v>390</v>
      </c>
      <c r="L51" s="18" t="s">
        <v>99</v>
      </c>
      <c r="M51" s="18" t="s">
        <v>164</v>
      </c>
      <c r="N51" s="18" t="s">
        <v>391</v>
      </c>
      <c r="O51" s="17">
        <v>1</v>
      </c>
      <c r="P51" s="19">
        <v>1500</v>
      </c>
      <c r="Q51" s="17">
        <v>8</v>
      </c>
      <c r="R51" s="17">
        <v>18</v>
      </c>
      <c r="S51" s="19">
        <v>1628</v>
      </c>
      <c r="T51" s="18" t="s">
        <v>326</v>
      </c>
      <c r="U51" s="15" t="s">
        <v>87</v>
      </c>
      <c r="V51" s="219" t="s">
        <v>212</v>
      </c>
    </row>
    <row r="52" spans="1:22" ht="15.75" customHeight="1">
      <c r="A52" s="215" t="s">
        <v>459</v>
      </c>
      <c r="B52" s="14" t="s">
        <v>460</v>
      </c>
      <c r="C52" s="14" t="s">
        <v>461</v>
      </c>
      <c r="D52" s="13" t="s">
        <v>462</v>
      </c>
      <c r="E52" s="14" t="s">
        <v>463</v>
      </c>
      <c r="F52" s="14" t="s">
        <v>464</v>
      </c>
      <c r="G52" s="14" t="s">
        <v>78</v>
      </c>
      <c r="H52" s="13" t="s">
        <v>79</v>
      </c>
      <c r="I52" s="13" t="s">
        <v>80</v>
      </c>
      <c r="J52" s="13" t="s">
        <v>347</v>
      </c>
      <c r="K52" s="14" t="s">
        <v>348</v>
      </c>
      <c r="L52" s="14" t="s">
        <v>139</v>
      </c>
      <c r="M52" s="14" t="s">
        <v>349</v>
      </c>
      <c r="N52" s="14" t="s">
        <v>350</v>
      </c>
      <c r="O52" s="13">
        <v>2</v>
      </c>
      <c r="P52" s="16">
        <v>3200</v>
      </c>
      <c r="Q52" s="13">
        <v>12</v>
      </c>
      <c r="R52" s="13">
        <v>18</v>
      </c>
      <c r="S52" s="16">
        <v>6646</v>
      </c>
      <c r="T52" s="14" t="s">
        <v>465</v>
      </c>
      <c r="U52" s="14" t="s">
        <v>70</v>
      </c>
      <c r="V52" s="218" t="s">
        <v>201</v>
      </c>
    </row>
    <row r="53" spans="1:22" ht="15.75" customHeight="1">
      <c r="A53" s="216" t="s">
        <v>466</v>
      </c>
      <c r="B53" s="18" t="s">
        <v>467</v>
      </c>
      <c r="C53" s="15" t="s">
        <v>410</v>
      </c>
      <c r="D53" s="17" t="s">
        <v>468</v>
      </c>
      <c r="E53" s="18" t="s">
        <v>469</v>
      </c>
      <c r="F53" s="18" t="s">
        <v>470</v>
      </c>
      <c r="G53" s="18" t="s">
        <v>439</v>
      </c>
      <c r="H53" s="17" t="s">
        <v>364</v>
      </c>
      <c r="I53" s="17" t="s">
        <v>63</v>
      </c>
      <c r="J53" s="17" t="s">
        <v>257</v>
      </c>
      <c r="K53" s="18" t="s">
        <v>258</v>
      </c>
      <c r="L53" s="18" t="s">
        <v>139</v>
      </c>
      <c r="M53" s="18" t="s">
        <v>259</v>
      </c>
      <c r="N53" s="18" t="s">
        <v>260</v>
      </c>
      <c r="O53" s="17">
        <v>7</v>
      </c>
      <c r="P53" s="20"/>
      <c r="Q53" s="17">
        <v>15</v>
      </c>
      <c r="R53" s="17">
        <v>18</v>
      </c>
      <c r="S53" s="19">
        <v>0</v>
      </c>
      <c r="T53" s="18" t="s">
        <v>69</v>
      </c>
      <c r="U53" s="18" t="s">
        <v>288</v>
      </c>
      <c r="V53" s="219" t="s">
        <v>212</v>
      </c>
    </row>
    <row r="54" spans="1:22" ht="15.75" customHeight="1">
      <c r="A54" s="215" t="s">
        <v>471</v>
      </c>
      <c r="B54" s="14" t="s">
        <v>472</v>
      </c>
      <c r="C54" s="15" t="s">
        <v>473</v>
      </c>
      <c r="D54" s="13" t="s">
        <v>474</v>
      </c>
      <c r="E54" s="14" t="s">
        <v>475</v>
      </c>
      <c r="F54" s="14" t="s">
        <v>476</v>
      </c>
      <c r="G54" s="14" t="s">
        <v>122</v>
      </c>
      <c r="H54" s="13" t="s">
        <v>122</v>
      </c>
      <c r="I54" s="13" t="s">
        <v>123</v>
      </c>
      <c r="J54" s="13" t="s">
        <v>477</v>
      </c>
      <c r="K54" s="14" t="s">
        <v>478</v>
      </c>
      <c r="L54" s="14" t="s">
        <v>139</v>
      </c>
      <c r="M54" s="14" t="s">
        <v>349</v>
      </c>
      <c r="N54" s="14" t="s">
        <v>479</v>
      </c>
      <c r="O54" s="13">
        <v>5</v>
      </c>
      <c r="P54" s="16">
        <v>2200</v>
      </c>
      <c r="Q54" s="13">
        <v>5</v>
      </c>
      <c r="R54" s="13">
        <v>12</v>
      </c>
      <c r="S54" s="16">
        <v>11704</v>
      </c>
      <c r="T54" s="14" t="s">
        <v>86</v>
      </c>
      <c r="U54" s="15" t="s">
        <v>154</v>
      </c>
      <c r="V54" s="218" t="s">
        <v>128</v>
      </c>
    </row>
    <row r="55" spans="1:22" ht="15.75" customHeight="1">
      <c r="A55" s="216" t="s">
        <v>480</v>
      </c>
      <c r="B55" s="18" t="s">
        <v>481</v>
      </c>
      <c r="C55" s="18" t="s">
        <v>482</v>
      </c>
      <c r="D55" s="17" t="s">
        <v>483</v>
      </c>
      <c r="E55" s="18" t="s">
        <v>484</v>
      </c>
      <c r="F55" s="15"/>
      <c r="G55" s="18" t="s">
        <v>485</v>
      </c>
      <c r="H55" s="17" t="s">
        <v>305</v>
      </c>
      <c r="I55" s="17" t="s">
        <v>306</v>
      </c>
      <c r="J55" s="17" t="s">
        <v>295</v>
      </c>
      <c r="K55" s="18" t="s">
        <v>296</v>
      </c>
      <c r="L55" s="18" t="s">
        <v>66</v>
      </c>
      <c r="M55" s="18" t="s">
        <v>297</v>
      </c>
      <c r="N55" s="18" t="s">
        <v>298</v>
      </c>
      <c r="O55" s="17">
        <v>10</v>
      </c>
      <c r="P55" s="19">
        <v>280</v>
      </c>
      <c r="Q55" s="17">
        <v>15</v>
      </c>
      <c r="R55" s="17">
        <v>5</v>
      </c>
      <c r="S55" s="19">
        <v>2499</v>
      </c>
      <c r="T55" s="18" t="s">
        <v>127</v>
      </c>
      <c r="U55" s="18" t="s">
        <v>288</v>
      </c>
      <c r="V55" s="219" t="s">
        <v>155</v>
      </c>
    </row>
    <row r="56" spans="1:22" ht="15.75" customHeight="1">
      <c r="A56" s="215" t="s">
        <v>486</v>
      </c>
      <c r="B56" s="14" t="s">
        <v>487</v>
      </c>
      <c r="C56" s="15" t="s">
        <v>473</v>
      </c>
      <c r="D56" s="13" t="s">
        <v>488</v>
      </c>
      <c r="E56" s="14" t="s">
        <v>489</v>
      </c>
      <c r="F56" s="14" t="s">
        <v>490</v>
      </c>
      <c r="G56" s="14" t="s">
        <v>181</v>
      </c>
      <c r="H56" s="13" t="s">
        <v>182</v>
      </c>
      <c r="I56" s="13" t="s">
        <v>123</v>
      </c>
      <c r="J56" s="13" t="s">
        <v>491</v>
      </c>
      <c r="K56" s="14" t="s">
        <v>492</v>
      </c>
      <c r="L56" s="14" t="s">
        <v>112</v>
      </c>
      <c r="M56" s="14" t="s">
        <v>493</v>
      </c>
      <c r="N56" s="14" t="s">
        <v>494</v>
      </c>
      <c r="O56" s="13">
        <v>1</v>
      </c>
      <c r="P56" s="16">
        <v>4500</v>
      </c>
      <c r="Q56" s="13">
        <v>25</v>
      </c>
      <c r="R56" s="13">
        <v>5</v>
      </c>
      <c r="S56" s="16">
        <v>3544</v>
      </c>
      <c r="T56" s="14" t="s">
        <v>86</v>
      </c>
      <c r="U56" s="14" t="s">
        <v>143</v>
      </c>
      <c r="V56" s="217" t="s">
        <v>144</v>
      </c>
    </row>
    <row r="57" spans="1:22" ht="15.75" customHeight="1">
      <c r="A57" s="216" t="s">
        <v>495</v>
      </c>
      <c r="B57" s="18" t="s">
        <v>496</v>
      </c>
      <c r="C57" s="15" t="s">
        <v>244</v>
      </c>
      <c r="D57" s="17" t="s">
        <v>497</v>
      </c>
      <c r="E57" s="18" t="s">
        <v>498</v>
      </c>
      <c r="F57" s="18" t="s">
        <v>499</v>
      </c>
      <c r="G57" s="18" t="s">
        <v>485</v>
      </c>
      <c r="H57" s="17" t="s">
        <v>305</v>
      </c>
      <c r="I57" s="17" t="s">
        <v>306</v>
      </c>
      <c r="J57" s="17" t="s">
        <v>365</v>
      </c>
      <c r="K57" s="18" t="s">
        <v>366</v>
      </c>
      <c r="L57" s="18" t="s">
        <v>112</v>
      </c>
      <c r="M57" s="18" t="s">
        <v>367</v>
      </c>
      <c r="N57" s="18" t="s">
        <v>368</v>
      </c>
      <c r="O57" s="17">
        <v>6</v>
      </c>
      <c r="P57" s="19">
        <v>3500</v>
      </c>
      <c r="Q57" s="17">
        <v>8</v>
      </c>
      <c r="R57" s="17">
        <v>5</v>
      </c>
      <c r="S57" s="19">
        <v>20286</v>
      </c>
      <c r="T57" s="18" t="s">
        <v>86</v>
      </c>
      <c r="U57" s="18" t="s">
        <v>288</v>
      </c>
      <c r="V57" s="218" t="s">
        <v>250</v>
      </c>
    </row>
    <row r="58" spans="1:22" ht="15.75" customHeight="1">
      <c r="A58" s="215" t="s">
        <v>500</v>
      </c>
      <c r="B58" s="14" t="s">
        <v>501</v>
      </c>
      <c r="C58" s="15" t="s">
        <v>329</v>
      </c>
      <c r="D58" s="13" t="s">
        <v>502</v>
      </c>
      <c r="E58" s="14" t="s">
        <v>331</v>
      </c>
      <c r="F58" s="14" t="s">
        <v>503</v>
      </c>
      <c r="G58" s="14" t="s">
        <v>122</v>
      </c>
      <c r="H58" s="13" t="s">
        <v>122</v>
      </c>
      <c r="I58" s="13" t="s">
        <v>123</v>
      </c>
      <c r="J58" s="13" t="s">
        <v>347</v>
      </c>
      <c r="K58" s="14"/>
      <c r="L58" s="14" t="s">
        <v>139</v>
      </c>
      <c r="M58" s="14" t="s">
        <v>349</v>
      </c>
      <c r="N58" s="14" t="s">
        <v>350</v>
      </c>
      <c r="O58" s="13">
        <v>6</v>
      </c>
      <c r="P58" s="16">
        <v>3200</v>
      </c>
      <c r="Q58" s="13">
        <v>5</v>
      </c>
      <c r="R58" s="13">
        <v>18</v>
      </c>
      <c r="S58" s="16">
        <v>21523</v>
      </c>
      <c r="T58" s="14" t="s">
        <v>183</v>
      </c>
      <c r="U58" s="15" t="s">
        <v>103</v>
      </c>
      <c r="V58" s="217" t="s">
        <v>155</v>
      </c>
    </row>
    <row r="59" spans="1:22" ht="15.75" customHeight="1">
      <c r="A59" s="216" t="s">
        <v>504</v>
      </c>
      <c r="B59" s="18" t="s">
        <v>505</v>
      </c>
      <c r="C59" s="15" t="s">
        <v>410</v>
      </c>
      <c r="D59" s="17" t="s">
        <v>506</v>
      </c>
      <c r="E59" s="18" t="s">
        <v>507</v>
      </c>
      <c r="F59" s="18" t="s">
        <v>508</v>
      </c>
      <c r="G59" s="15" t="s">
        <v>304</v>
      </c>
      <c r="H59" s="17" t="s">
        <v>305</v>
      </c>
      <c r="I59" s="17" t="s">
        <v>306</v>
      </c>
      <c r="J59" s="17" t="s">
        <v>356</v>
      </c>
      <c r="K59" s="18" t="s">
        <v>357</v>
      </c>
      <c r="L59" s="18" t="s">
        <v>139</v>
      </c>
      <c r="M59" s="18" t="s">
        <v>140</v>
      </c>
      <c r="N59" s="18" t="s">
        <v>358</v>
      </c>
      <c r="O59" s="17">
        <v>8</v>
      </c>
      <c r="P59" s="19">
        <v>42000</v>
      </c>
      <c r="Q59" s="17">
        <v>10</v>
      </c>
      <c r="R59" s="17">
        <v>18</v>
      </c>
      <c r="S59" s="19">
        <v>356832</v>
      </c>
      <c r="T59" s="18" t="s">
        <v>413</v>
      </c>
      <c r="U59" s="15" t="s">
        <v>383</v>
      </c>
      <c r="V59" s="219" t="s">
        <v>71</v>
      </c>
    </row>
    <row r="60" spans="1:22" ht="15.75" customHeight="1">
      <c r="A60" s="215" t="s">
        <v>509</v>
      </c>
      <c r="B60" s="14" t="s">
        <v>510</v>
      </c>
      <c r="C60" s="14" t="s">
        <v>291</v>
      </c>
      <c r="D60" s="13" t="s">
        <v>511</v>
      </c>
      <c r="E60" s="14" t="s">
        <v>512</v>
      </c>
      <c r="F60" s="14" t="s">
        <v>513</v>
      </c>
      <c r="G60" s="15" t="s">
        <v>304</v>
      </c>
      <c r="H60" s="13" t="s">
        <v>305</v>
      </c>
      <c r="I60" s="13" t="s">
        <v>306</v>
      </c>
      <c r="J60" s="13" t="s">
        <v>207</v>
      </c>
      <c r="K60" s="14" t="s">
        <v>208</v>
      </c>
      <c r="L60" s="14" t="s">
        <v>99</v>
      </c>
      <c r="M60" s="14" t="s">
        <v>209</v>
      </c>
      <c r="N60" s="14" t="s">
        <v>210</v>
      </c>
      <c r="O60" s="13">
        <v>9</v>
      </c>
      <c r="P60" s="16">
        <v>55000</v>
      </c>
      <c r="Q60" s="13">
        <v>8</v>
      </c>
      <c r="R60" s="13">
        <v>18</v>
      </c>
      <c r="S60" s="16">
        <v>537372</v>
      </c>
      <c r="T60" s="14" t="s">
        <v>142</v>
      </c>
      <c r="U60" s="15" t="s">
        <v>383</v>
      </c>
      <c r="V60" s="217" t="s">
        <v>155</v>
      </c>
    </row>
    <row r="61" spans="1:22" ht="15.75" customHeight="1">
      <c r="A61" s="216" t="s">
        <v>466</v>
      </c>
      <c r="B61" s="18" t="s">
        <v>467</v>
      </c>
      <c r="C61" s="15" t="s">
        <v>410</v>
      </c>
      <c r="D61" s="17" t="s">
        <v>468</v>
      </c>
      <c r="E61" s="18" t="s">
        <v>469</v>
      </c>
      <c r="F61" s="18" t="s">
        <v>470</v>
      </c>
      <c r="G61" s="18" t="s">
        <v>439</v>
      </c>
      <c r="H61" s="17" t="s">
        <v>364</v>
      </c>
      <c r="I61" s="17" t="s">
        <v>63</v>
      </c>
      <c r="J61" s="17" t="s">
        <v>257</v>
      </c>
      <c r="K61" s="18" t="s">
        <v>258</v>
      </c>
      <c r="L61" s="18" t="s">
        <v>139</v>
      </c>
      <c r="M61" s="18" t="s">
        <v>259</v>
      </c>
      <c r="N61" s="18" t="s">
        <v>260</v>
      </c>
      <c r="O61" s="17">
        <v>7</v>
      </c>
      <c r="P61" s="20"/>
      <c r="Q61" s="17">
        <v>15</v>
      </c>
      <c r="R61" s="17">
        <v>18</v>
      </c>
      <c r="S61" s="19">
        <v>0</v>
      </c>
      <c r="T61" s="18" t="s">
        <v>69</v>
      </c>
      <c r="U61" s="18" t="s">
        <v>288</v>
      </c>
      <c r="V61" s="219" t="s">
        <v>212</v>
      </c>
    </row>
    <row r="62" spans="1:22" ht="15.75" customHeight="1">
      <c r="A62" s="215" t="s">
        <v>495</v>
      </c>
      <c r="B62" s="14" t="s">
        <v>496</v>
      </c>
      <c r="C62" s="15" t="s">
        <v>244</v>
      </c>
      <c r="D62" s="13" t="s">
        <v>497</v>
      </c>
      <c r="E62" s="14" t="s">
        <v>498</v>
      </c>
      <c r="F62" s="14" t="s">
        <v>499</v>
      </c>
      <c r="G62" s="14" t="s">
        <v>485</v>
      </c>
      <c r="H62" s="13" t="s">
        <v>305</v>
      </c>
      <c r="I62" s="13" t="s">
        <v>306</v>
      </c>
      <c r="J62" s="13" t="s">
        <v>365</v>
      </c>
      <c r="K62" s="14" t="s">
        <v>366</v>
      </c>
      <c r="L62" s="14" t="s">
        <v>112</v>
      </c>
      <c r="M62" s="14" t="s">
        <v>367</v>
      </c>
      <c r="N62" s="14" t="s">
        <v>368</v>
      </c>
      <c r="O62" s="13">
        <v>6</v>
      </c>
      <c r="P62" s="16">
        <v>3500</v>
      </c>
      <c r="Q62" s="13">
        <v>8</v>
      </c>
      <c r="R62" s="13">
        <v>5</v>
      </c>
      <c r="S62" s="16">
        <v>20286</v>
      </c>
      <c r="T62" s="14" t="s">
        <v>86</v>
      </c>
      <c r="U62" s="14" t="s">
        <v>288</v>
      </c>
      <c r="V62" s="218" t="s">
        <v>250</v>
      </c>
    </row>
    <row r="63" spans="1:22" ht="15.75" customHeight="1">
      <c r="A63" s="216" t="s">
        <v>514</v>
      </c>
      <c r="B63" s="18" t="s">
        <v>515</v>
      </c>
      <c r="C63" s="15" t="s">
        <v>91</v>
      </c>
      <c r="D63" s="17" t="s">
        <v>516</v>
      </c>
      <c r="E63" s="18" t="s">
        <v>517</v>
      </c>
      <c r="F63" s="18" t="s">
        <v>518</v>
      </c>
      <c r="G63" s="18" t="s">
        <v>61</v>
      </c>
      <c r="H63" s="17" t="s">
        <v>62</v>
      </c>
      <c r="I63" s="17" t="s">
        <v>63</v>
      </c>
      <c r="J63" s="17" t="s">
        <v>477</v>
      </c>
      <c r="K63" s="18" t="s">
        <v>478</v>
      </c>
      <c r="L63" s="18" t="s">
        <v>139</v>
      </c>
      <c r="M63" s="18" t="s">
        <v>349</v>
      </c>
      <c r="N63" s="18" t="s">
        <v>479</v>
      </c>
      <c r="O63" s="17">
        <v>5</v>
      </c>
      <c r="P63" s="19">
        <v>2200</v>
      </c>
      <c r="Q63" s="20" t="s">
        <v>519</v>
      </c>
      <c r="R63" s="17">
        <v>12</v>
      </c>
      <c r="S63" s="19">
        <v>9240</v>
      </c>
      <c r="T63" s="18" t="s">
        <v>127</v>
      </c>
      <c r="U63" s="18" t="s">
        <v>70</v>
      </c>
      <c r="V63" s="218" t="s">
        <v>128</v>
      </c>
    </row>
    <row r="64" spans="1:22" ht="15.75" customHeight="1">
      <c r="A64" s="215" t="s">
        <v>520</v>
      </c>
      <c r="B64" s="14" t="s">
        <v>521</v>
      </c>
      <c r="C64" s="15" t="s">
        <v>522</v>
      </c>
      <c r="D64" s="13" t="s">
        <v>523</v>
      </c>
      <c r="E64" s="14" t="s">
        <v>524</v>
      </c>
      <c r="F64" s="15"/>
      <c r="G64" s="15" t="s">
        <v>304</v>
      </c>
      <c r="H64" s="13" t="s">
        <v>305</v>
      </c>
      <c r="I64" s="13" t="s">
        <v>306</v>
      </c>
      <c r="J64" s="13" t="s">
        <v>477</v>
      </c>
      <c r="K64" s="14" t="s">
        <v>478</v>
      </c>
      <c r="L64" s="14" t="s">
        <v>139</v>
      </c>
      <c r="M64" s="14" t="s">
        <v>349</v>
      </c>
      <c r="N64" s="14" t="s">
        <v>479</v>
      </c>
      <c r="O64" s="13">
        <v>10</v>
      </c>
      <c r="P64" s="16">
        <v>2200</v>
      </c>
      <c r="Q64" s="13">
        <v>10</v>
      </c>
      <c r="R64" s="13">
        <v>12</v>
      </c>
      <c r="S64" s="16">
        <v>22176</v>
      </c>
      <c r="T64" s="14" t="s">
        <v>183</v>
      </c>
      <c r="U64" s="15" t="s">
        <v>383</v>
      </c>
      <c r="V64" s="217" t="s">
        <v>212</v>
      </c>
    </row>
    <row r="65" spans="1:22" ht="15.75" customHeight="1">
      <c r="A65" s="216" t="s">
        <v>525</v>
      </c>
      <c r="B65" s="18" t="s">
        <v>526</v>
      </c>
      <c r="C65" s="15" t="s">
        <v>224</v>
      </c>
      <c r="D65" s="17" t="s">
        <v>527</v>
      </c>
      <c r="E65" s="18" t="s">
        <v>528</v>
      </c>
      <c r="F65" s="15"/>
      <c r="G65" s="18" t="s">
        <v>135</v>
      </c>
      <c r="H65" s="17" t="s">
        <v>136</v>
      </c>
      <c r="I65" s="17" t="s">
        <v>63</v>
      </c>
      <c r="J65" s="17" t="s">
        <v>275</v>
      </c>
      <c r="K65" s="18" t="s">
        <v>276</v>
      </c>
      <c r="L65" s="18" t="s">
        <v>99</v>
      </c>
      <c r="M65" s="18" t="s">
        <v>277</v>
      </c>
      <c r="N65" s="18" t="s">
        <v>126</v>
      </c>
      <c r="O65" s="17">
        <v>2</v>
      </c>
      <c r="P65" s="19">
        <v>35000</v>
      </c>
      <c r="Q65" s="17">
        <v>15</v>
      </c>
      <c r="R65" s="17">
        <v>18</v>
      </c>
      <c r="S65" s="19">
        <v>70210</v>
      </c>
      <c r="T65" s="18" t="s">
        <v>142</v>
      </c>
      <c r="U65" s="15" t="s">
        <v>174</v>
      </c>
      <c r="V65" s="218" t="s">
        <v>128</v>
      </c>
    </row>
    <row r="66" spans="1:22" ht="15.75" customHeight="1">
      <c r="A66" s="215" t="s">
        <v>529</v>
      </c>
      <c r="B66" s="14" t="s">
        <v>530</v>
      </c>
      <c r="C66" s="14" t="s">
        <v>291</v>
      </c>
      <c r="D66" s="13" t="s">
        <v>531</v>
      </c>
      <c r="E66" s="14" t="s">
        <v>532</v>
      </c>
      <c r="F66" s="14" t="s">
        <v>533</v>
      </c>
      <c r="G66" s="14" t="s">
        <v>228</v>
      </c>
      <c r="H66" s="13" t="s">
        <v>152</v>
      </c>
      <c r="I66" s="13" t="s">
        <v>80</v>
      </c>
      <c r="J66" s="13" t="s">
        <v>219</v>
      </c>
      <c r="K66" s="14" t="s">
        <v>220</v>
      </c>
      <c r="L66" s="14" t="s">
        <v>99</v>
      </c>
      <c r="M66" s="14" t="s">
        <v>100</v>
      </c>
      <c r="N66" s="14" t="s">
        <v>221</v>
      </c>
      <c r="O66" s="13">
        <v>8</v>
      </c>
      <c r="P66" s="16">
        <v>89000</v>
      </c>
      <c r="Q66" s="13">
        <v>0</v>
      </c>
      <c r="R66" s="13">
        <v>18</v>
      </c>
      <c r="S66" s="16">
        <v>840160</v>
      </c>
      <c r="T66" s="14" t="s">
        <v>86</v>
      </c>
      <c r="U66" s="15" t="s">
        <v>261</v>
      </c>
      <c r="V66" s="218" t="s">
        <v>250</v>
      </c>
    </row>
    <row r="67" spans="1:22" ht="15.75" customHeight="1">
      <c r="A67" s="216" t="s">
        <v>534</v>
      </c>
      <c r="B67" s="18" t="s">
        <v>535</v>
      </c>
      <c r="C67" s="15" t="s">
        <v>329</v>
      </c>
      <c r="D67" s="17" t="s">
        <v>536</v>
      </c>
      <c r="E67" s="18" t="s">
        <v>537</v>
      </c>
      <c r="F67" s="18" t="s">
        <v>538</v>
      </c>
      <c r="G67" s="18" t="s">
        <v>78</v>
      </c>
      <c r="H67" s="17" t="s">
        <v>79</v>
      </c>
      <c r="I67" s="17" t="s">
        <v>80</v>
      </c>
      <c r="J67" s="17" t="s">
        <v>162</v>
      </c>
      <c r="K67" s="18" t="s">
        <v>163</v>
      </c>
      <c r="L67" s="18" t="s">
        <v>99</v>
      </c>
      <c r="M67" s="18" t="s">
        <v>164</v>
      </c>
      <c r="N67" s="18" t="s">
        <v>165</v>
      </c>
      <c r="O67" s="17">
        <v>5</v>
      </c>
      <c r="P67" s="19">
        <v>2800</v>
      </c>
      <c r="Q67" s="17">
        <v>20</v>
      </c>
      <c r="R67" s="17">
        <v>18</v>
      </c>
      <c r="S67" s="19">
        <v>13216</v>
      </c>
      <c r="T67" s="18" t="s">
        <v>86</v>
      </c>
      <c r="U67" s="15" t="s">
        <v>87</v>
      </c>
      <c r="V67" s="218" t="s">
        <v>250</v>
      </c>
    </row>
    <row r="68" spans="1:22" ht="15.75" customHeight="1">
      <c r="A68" s="215" t="s">
        <v>539</v>
      </c>
      <c r="B68" s="14" t="s">
        <v>540</v>
      </c>
      <c r="C68" s="15" t="s">
        <v>541</v>
      </c>
      <c r="D68" s="13" t="s">
        <v>542</v>
      </c>
      <c r="E68" s="14" t="s">
        <v>543</v>
      </c>
      <c r="F68" s="14" t="s">
        <v>544</v>
      </c>
      <c r="G68" s="14" t="s">
        <v>61</v>
      </c>
      <c r="H68" s="13" t="s">
        <v>62</v>
      </c>
      <c r="I68" s="13" t="s">
        <v>63</v>
      </c>
      <c r="J68" s="13" t="s">
        <v>124</v>
      </c>
      <c r="K68" s="14" t="s">
        <v>125</v>
      </c>
      <c r="L68" s="14" t="s">
        <v>99</v>
      </c>
      <c r="M68" s="14" t="s">
        <v>100</v>
      </c>
      <c r="N68" s="14" t="s">
        <v>126</v>
      </c>
      <c r="O68" s="13">
        <v>6</v>
      </c>
      <c r="P68" s="20"/>
      <c r="Q68" s="13">
        <v>25</v>
      </c>
      <c r="R68" s="13">
        <v>18</v>
      </c>
      <c r="S68" s="16">
        <v>0</v>
      </c>
      <c r="T68" s="14" t="s">
        <v>326</v>
      </c>
      <c r="U68" s="14" t="s">
        <v>184</v>
      </c>
      <c r="V68" s="217" t="s">
        <v>144</v>
      </c>
    </row>
    <row r="69" spans="1:22" ht="15.75" customHeight="1">
      <c r="A69" s="216" t="s">
        <v>545</v>
      </c>
      <c r="B69" s="18" t="s">
        <v>546</v>
      </c>
      <c r="C69" s="15" t="s">
        <v>410</v>
      </c>
      <c r="D69" s="17" t="s">
        <v>547</v>
      </c>
      <c r="E69" s="18" t="s">
        <v>507</v>
      </c>
      <c r="F69" s="18" t="s">
        <v>548</v>
      </c>
      <c r="G69" s="15" t="s">
        <v>407</v>
      </c>
      <c r="H69" s="17" t="s">
        <v>152</v>
      </c>
      <c r="I69" s="17" t="s">
        <v>80</v>
      </c>
      <c r="J69" s="17" t="s">
        <v>137</v>
      </c>
      <c r="K69" s="18" t="s">
        <v>138</v>
      </c>
      <c r="L69" s="18" t="s">
        <v>139</v>
      </c>
      <c r="M69" s="18" t="s">
        <v>140</v>
      </c>
      <c r="N69" s="18" t="s">
        <v>141</v>
      </c>
      <c r="O69" s="17">
        <v>10</v>
      </c>
      <c r="P69" s="19">
        <v>12000</v>
      </c>
      <c r="Q69" s="17">
        <v>5</v>
      </c>
      <c r="R69" s="17">
        <v>18</v>
      </c>
      <c r="S69" s="19">
        <v>134520</v>
      </c>
      <c r="T69" s="18" t="s">
        <v>153</v>
      </c>
      <c r="U69" s="15" t="s">
        <v>154</v>
      </c>
      <c r="V69" s="218" t="s">
        <v>190</v>
      </c>
    </row>
    <row r="70" spans="1:22" ht="15.75" customHeight="1">
      <c r="A70" s="215" t="s">
        <v>549</v>
      </c>
      <c r="B70" s="14" t="s">
        <v>550</v>
      </c>
      <c r="C70" s="15" t="s">
        <v>541</v>
      </c>
      <c r="D70" s="13" t="s">
        <v>551</v>
      </c>
      <c r="E70" s="14" t="s">
        <v>543</v>
      </c>
      <c r="F70" s="14" t="s">
        <v>552</v>
      </c>
      <c r="G70" s="14" t="s">
        <v>485</v>
      </c>
      <c r="H70" s="13" t="s">
        <v>305</v>
      </c>
      <c r="I70" s="13" t="s">
        <v>306</v>
      </c>
      <c r="J70" s="13" t="s">
        <v>312</v>
      </c>
      <c r="K70" s="14" t="s">
        <v>313</v>
      </c>
      <c r="L70" s="14" t="s">
        <v>66</v>
      </c>
      <c r="M70" s="14" t="s">
        <v>199</v>
      </c>
      <c r="N70" s="14" t="s">
        <v>314</v>
      </c>
      <c r="O70" s="20">
        <v>-5</v>
      </c>
      <c r="P70" s="16">
        <v>40</v>
      </c>
      <c r="Q70" s="13">
        <v>8</v>
      </c>
      <c r="R70" s="13">
        <v>5</v>
      </c>
      <c r="S70" s="21">
        <v>-193</v>
      </c>
      <c r="T70" s="14" t="s">
        <v>142</v>
      </c>
      <c r="U70" s="15" t="s">
        <v>103</v>
      </c>
      <c r="V70" s="218" t="s">
        <v>250</v>
      </c>
    </row>
    <row r="71" spans="1:22" ht="15.75" customHeight="1">
      <c r="A71" s="216" t="s">
        <v>553</v>
      </c>
      <c r="B71" s="18" t="s">
        <v>554</v>
      </c>
      <c r="C71" s="15" t="s">
        <v>329</v>
      </c>
      <c r="D71" s="17" t="s">
        <v>555</v>
      </c>
      <c r="E71" s="18" t="s">
        <v>331</v>
      </c>
      <c r="F71" s="18" t="s">
        <v>556</v>
      </c>
      <c r="G71" s="18" t="s">
        <v>135</v>
      </c>
      <c r="H71" s="17" t="s">
        <v>136</v>
      </c>
      <c r="I71" s="17" t="s">
        <v>63</v>
      </c>
      <c r="J71" s="17" t="s">
        <v>81</v>
      </c>
      <c r="K71" s="18" t="s">
        <v>82</v>
      </c>
      <c r="L71" s="18" t="s">
        <v>83</v>
      </c>
      <c r="M71" s="18" t="s">
        <v>84</v>
      </c>
      <c r="N71" s="18" t="s">
        <v>85</v>
      </c>
      <c r="O71" s="17">
        <v>9</v>
      </c>
      <c r="P71" s="19">
        <v>25000</v>
      </c>
      <c r="Q71" s="17">
        <v>8</v>
      </c>
      <c r="R71" s="17">
        <v>3</v>
      </c>
      <c r="S71" s="19">
        <v>213210</v>
      </c>
      <c r="T71" s="18" t="s">
        <v>183</v>
      </c>
      <c r="U71" s="18" t="s">
        <v>288</v>
      </c>
      <c r="V71" s="219" t="s">
        <v>212</v>
      </c>
    </row>
    <row r="72" spans="1:22" ht="15.75" customHeight="1">
      <c r="A72" s="215" t="s">
        <v>557</v>
      </c>
      <c r="B72" s="14" t="s">
        <v>385</v>
      </c>
      <c r="C72" s="14" t="s">
        <v>416</v>
      </c>
      <c r="D72" s="13" t="s">
        <v>558</v>
      </c>
      <c r="E72" s="14" t="s">
        <v>559</v>
      </c>
      <c r="F72" s="14" t="s">
        <v>560</v>
      </c>
      <c r="G72" s="14" t="s">
        <v>122</v>
      </c>
      <c r="H72" s="13" t="s">
        <v>122</v>
      </c>
      <c r="I72" s="13" t="s">
        <v>123</v>
      </c>
      <c r="J72" s="13" t="s">
        <v>356</v>
      </c>
      <c r="K72" s="14" t="s">
        <v>357</v>
      </c>
      <c r="L72" s="14" t="s">
        <v>139</v>
      </c>
      <c r="M72" s="14" t="s">
        <v>140</v>
      </c>
      <c r="N72" s="14" t="s">
        <v>358</v>
      </c>
      <c r="O72" s="13">
        <v>10</v>
      </c>
      <c r="P72" s="16">
        <v>42000</v>
      </c>
      <c r="Q72" s="13">
        <v>5</v>
      </c>
      <c r="R72" s="13">
        <v>18</v>
      </c>
      <c r="S72" s="16">
        <v>470820</v>
      </c>
      <c r="T72" s="14" t="s">
        <v>102</v>
      </c>
      <c r="U72" s="14" t="s">
        <v>70</v>
      </c>
      <c r="V72" s="218" t="s">
        <v>250</v>
      </c>
    </row>
    <row r="73" spans="1:22" ht="15.75" customHeight="1">
      <c r="A73" s="216" t="s">
        <v>561</v>
      </c>
      <c r="B73" s="18" t="s">
        <v>562</v>
      </c>
      <c r="C73" s="18" t="s">
        <v>372</v>
      </c>
      <c r="D73" s="17" t="s">
        <v>563</v>
      </c>
      <c r="E73" s="18" t="s">
        <v>564</v>
      </c>
      <c r="F73" s="18" t="s">
        <v>565</v>
      </c>
      <c r="G73" s="18" t="s">
        <v>333</v>
      </c>
      <c r="H73" s="17" t="s">
        <v>334</v>
      </c>
      <c r="I73" s="17" t="s">
        <v>63</v>
      </c>
      <c r="J73" s="17" t="s">
        <v>491</v>
      </c>
      <c r="K73" s="18" t="s">
        <v>492</v>
      </c>
      <c r="L73" s="18" t="s">
        <v>112</v>
      </c>
      <c r="M73" s="18" t="s">
        <v>493</v>
      </c>
      <c r="N73" s="18" t="s">
        <v>494</v>
      </c>
      <c r="O73" s="17">
        <v>6</v>
      </c>
      <c r="P73" s="19">
        <v>4500</v>
      </c>
      <c r="Q73" s="17">
        <v>15</v>
      </c>
      <c r="R73" s="17">
        <v>5</v>
      </c>
      <c r="S73" s="19">
        <v>24098</v>
      </c>
      <c r="T73" s="18" t="s">
        <v>183</v>
      </c>
      <c r="U73" s="18" t="s">
        <v>143</v>
      </c>
      <c r="V73" s="218" t="s">
        <v>190</v>
      </c>
    </row>
    <row r="74" spans="1:22" ht="15.75" customHeight="1">
      <c r="A74" s="215" t="s">
        <v>566</v>
      </c>
      <c r="B74" s="14" t="s">
        <v>567</v>
      </c>
      <c r="C74" s="15" t="s">
        <v>224</v>
      </c>
      <c r="D74" s="13" t="s">
        <v>568</v>
      </c>
      <c r="E74" s="14" t="s">
        <v>569</v>
      </c>
      <c r="F74" s="14" t="s">
        <v>570</v>
      </c>
      <c r="G74" s="15" t="s">
        <v>304</v>
      </c>
      <c r="H74" s="13" t="s">
        <v>305</v>
      </c>
      <c r="I74" s="13" t="s">
        <v>306</v>
      </c>
      <c r="J74" s="13" t="s">
        <v>356</v>
      </c>
      <c r="K74" s="14" t="s">
        <v>357</v>
      </c>
      <c r="L74" s="14" t="s">
        <v>139</v>
      </c>
      <c r="M74" s="14" t="s">
        <v>140</v>
      </c>
      <c r="N74" s="14" t="s">
        <v>358</v>
      </c>
      <c r="O74" s="13">
        <v>3</v>
      </c>
      <c r="P74" s="16">
        <v>42000</v>
      </c>
      <c r="Q74" s="13">
        <v>0</v>
      </c>
      <c r="R74" s="13">
        <v>18</v>
      </c>
      <c r="S74" s="16">
        <v>148680</v>
      </c>
      <c r="T74" s="14" t="s">
        <v>413</v>
      </c>
      <c r="U74" s="14" t="s">
        <v>70</v>
      </c>
      <c r="V74" s="218" t="s">
        <v>190</v>
      </c>
    </row>
    <row r="75" spans="1:22" ht="15.75" customHeight="1">
      <c r="A75" s="216" t="s">
        <v>571</v>
      </c>
      <c r="B75" s="18" t="s">
        <v>572</v>
      </c>
      <c r="C75" s="18" t="s">
        <v>337</v>
      </c>
      <c r="D75" s="17" t="s">
        <v>573</v>
      </c>
      <c r="E75" s="18" t="s">
        <v>574</v>
      </c>
      <c r="F75" s="18" t="s">
        <v>575</v>
      </c>
      <c r="G75" s="15" t="s">
        <v>363</v>
      </c>
      <c r="H75" s="17" t="s">
        <v>364</v>
      </c>
      <c r="I75" s="20" t="s">
        <v>576</v>
      </c>
      <c r="J75" s="17" t="s">
        <v>347</v>
      </c>
      <c r="K75" s="18" t="s">
        <v>348</v>
      </c>
      <c r="L75" s="18" t="s">
        <v>139</v>
      </c>
      <c r="M75" s="18" t="s">
        <v>349</v>
      </c>
      <c r="N75" s="18" t="s">
        <v>350</v>
      </c>
      <c r="O75" s="17">
        <v>1</v>
      </c>
      <c r="P75" s="19">
        <v>3200</v>
      </c>
      <c r="Q75" s="17">
        <v>5</v>
      </c>
      <c r="R75" s="17">
        <v>18</v>
      </c>
      <c r="S75" s="19">
        <v>3587</v>
      </c>
      <c r="T75" s="18" t="s">
        <v>326</v>
      </c>
      <c r="U75" s="15" t="s">
        <v>154</v>
      </c>
      <c r="V75" s="219" t="s">
        <v>212</v>
      </c>
    </row>
    <row r="76" spans="1:22" ht="15.75" customHeight="1">
      <c r="A76" s="215" t="s">
        <v>577</v>
      </c>
      <c r="B76" s="14" t="s">
        <v>578</v>
      </c>
      <c r="C76" s="14" t="s">
        <v>291</v>
      </c>
      <c r="D76" s="13" t="s">
        <v>579</v>
      </c>
      <c r="E76" s="14" t="s">
        <v>512</v>
      </c>
      <c r="F76" s="14" t="s">
        <v>580</v>
      </c>
      <c r="G76" s="15" t="s">
        <v>304</v>
      </c>
      <c r="H76" s="13" t="s">
        <v>305</v>
      </c>
      <c r="I76" s="13" t="s">
        <v>306</v>
      </c>
      <c r="J76" s="13" t="s">
        <v>312</v>
      </c>
      <c r="K76" s="14" t="s">
        <v>313</v>
      </c>
      <c r="L76" s="14" t="s">
        <v>66</v>
      </c>
      <c r="M76" s="14" t="s">
        <v>199</v>
      </c>
      <c r="N76" s="14" t="s">
        <v>314</v>
      </c>
      <c r="O76" s="13">
        <v>9</v>
      </c>
      <c r="P76" s="16">
        <v>40</v>
      </c>
      <c r="Q76" s="13">
        <v>15</v>
      </c>
      <c r="R76" s="13">
        <v>5</v>
      </c>
      <c r="S76" s="16">
        <v>321</v>
      </c>
      <c r="T76" s="14" t="s">
        <v>127</v>
      </c>
      <c r="U76" s="15" t="s">
        <v>87</v>
      </c>
      <c r="V76" s="218" t="s">
        <v>190</v>
      </c>
    </row>
    <row r="77" spans="1:22" ht="15.75" customHeight="1">
      <c r="A77" s="216" t="s">
        <v>581</v>
      </c>
      <c r="B77" s="18" t="s">
        <v>582</v>
      </c>
      <c r="C77" s="15" t="s">
        <v>57</v>
      </c>
      <c r="D77" s="17" t="s">
        <v>583</v>
      </c>
      <c r="E77" s="18" t="s">
        <v>584</v>
      </c>
      <c r="F77" s="18" t="s">
        <v>585</v>
      </c>
      <c r="G77" s="18" t="s">
        <v>172</v>
      </c>
      <c r="H77" s="17" t="s">
        <v>96</v>
      </c>
      <c r="I77" s="17" t="s">
        <v>63</v>
      </c>
      <c r="J77" s="17" t="s">
        <v>162</v>
      </c>
      <c r="K77" s="18" t="s">
        <v>163</v>
      </c>
      <c r="L77" s="18" t="s">
        <v>99</v>
      </c>
      <c r="M77" s="18" t="s">
        <v>164</v>
      </c>
      <c r="N77" s="18" t="s">
        <v>165</v>
      </c>
      <c r="O77" s="17">
        <v>10</v>
      </c>
      <c r="P77" s="19">
        <v>2800</v>
      </c>
      <c r="Q77" s="17">
        <v>20</v>
      </c>
      <c r="R77" s="17">
        <v>18</v>
      </c>
      <c r="S77" s="19">
        <v>26432</v>
      </c>
      <c r="T77" s="18" t="s">
        <v>153</v>
      </c>
      <c r="U77" s="18" t="s">
        <v>70</v>
      </c>
      <c r="V77" s="219" t="s">
        <v>155</v>
      </c>
    </row>
    <row r="78" spans="1:22" ht="15.75" customHeight="1">
      <c r="A78" s="215" t="s">
        <v>525</v>
      </c>
      <c r="B78" s="14" t="s">
        <v>526</v>
      </c>
      <c r="C78" s="15" t="s">
        <v>224</v>
      </c>
      <c r="D78" s="13" t="s">
        <v>527</v>
      </c>
      <c r="E78" s="14" t="s">
        <v>528</v>
      </c>
      <c r="F78" s="15"/>
      <c r="G78" s="14" t="s">
        <v>135</v>
      </c>
      <c r="H78" s="13" t="s">
        <v>136</v>
      </c>
      <c r="I78" s="13" t="s">
        <v>63</v>
      </c>
      <c r="J78" s="13" t="s">
        <v>275</v>
      </c>
      <c r="K78" s="14" t="s">
        <v>276</v>
      </c>
      <c r="L78" s="14" t="s">
        <v>99</v>
      </c>
      <c r="M78" s="14" t="s">
        <v>277</v>
      </c>
      <c r="N78" s="14" t="s">
        <v>126</v>
      </c>
      <c r="O78" s="13">
        <v>2</v>
      </c>
      <c r="P78" s="16">
        <v>35000</v>
      </c>
      <c r="Q78" s="13">
        <v>15</v>
      </c>
      <c r="R78" s="13">
        <v>18</v>
      </c>
      <c r="S78" s="16">
        <v>70210</v>
      </c>
      <c r="T78" s="14" t="s">
        <v>142</v>
      </c>
      <c r="U78" s="15" t="s">
        <v>174</v>
      </c>
      <c r="V78" s="218" t="s">
        <v>128</v>
      </c>
    </row>
    <row r="79" spans="1:22" ht="15.75" customHeight="1">
      <c r="A79" s="216" t="s">
        <v>586</v>
      </c>
      <c r="B79" s="18" t="s">
        <v>587</v>
      </c>
      <c r="C79" s="15" t="s">
        <v>244</v>
      </c>
      <c r="D79" s="17" t="s">
        <v>588</v>
      </c>
      <c r="E79" s="18" t="s">
        <v>589</v>
      </c>
      <c r="F79" s="18" t="s">
        <v>590</v>
      </c>
      <c r="G79" s="15" t="s">
        <v>407</v>
      </c>
      <c r="H79" s="17" t="s">
        <v>152</v>
      </c>
      <c r="I79" s="17" t="s">
        <v>80</v>
      </c>
      <c r="J79" s="17" t="s">
        <v>162</v>
      </c>
      <c r="K79" s="18" t="s">
        <v>163</v>
      </c>
      <c r="L79" s="18" t="s">
        <v>99</v>
      </c>
      <c r="M79" s="18" t="s">
        <v>164</v>
      </c>
      <c r="N79" s="18" t="s">
        <v>165</v>
      </c>
      <c r="O79" s="17">
        <v>8</v>
      </c>
      <c r="P79" s="19">
        <v>2800</v>
      </c>
      <c r="Q79" s="17">
        <v>15</v>
      </c>
      <c r="R79" s="17">
        <v>18</v>
      </c>
      <c r="S79" s="19">
        <v>22467</v>
      </c>
      <c r="T79" s="18" t="s">
        <v>102</v>
      </c>
      <c r="U79" s="15" t="s">
        <v>154</v>
      </c>
      <c r="V79" s="218" t="s">
        <v>201</v>
      </c>
    </row>
    <row r="80" spans="1:22" ht="15.75" customHeight="1">
      <c r="A80" s="215" t="s">
        <v>591</v>
      </c>
      <c r="B80" s="14" t="s">
        <v>592</v>
      </c>
      <c r="C80" s="14" t="s">
        <v>337</v>
      </c>
      <c r="D80" s="13" t="s">
        <v>593</v>
      </c>
      <c r="E80" s="14" t="s">
        <v>574</v>
      </c>
      <c r="F80" s="14" t="s">
        <v>594</v>
      </c>
      <c r="G80" s="14" t="s">
        <v>151</v>
      </c>
      <c r="H80" s="13" t="s">
        <v>152</v>
      </c>
      <c r="I80" s="13" t="s">
        <v>80</v>
      </c>
      <c r="J80" s="13" t="s">
        <v>595</v>
      </c>
      <c r="K80" s="14" t="s">
        <v>596</v>
      </c>
      <c r="L80" s="14" t="s">
        <v>112</v>
      </c>
      <c r="M80" s="14" t="s">
        <v>240</v>
      </c>
      <c r="N80" s="14" t="s">
        <v>597</v>
      </c>
      <c r="O80" s="13">
        <v>5</v>
      </c>
      <c r="P80" s="16">
        <v>1200</v>
      </c>
      <c r="Q80" s="13">
        <v>20</v>
      </c>
      <c r="R80" s="13">
        <v>5</v>
      </c>
      <c r="S80" s="16">
        <v>5040</v>
      </c>
      <c r="T80" s="14" t="s">
        <v>127</v>
      </c>
      <c r="U80" s="14" t="s">
        <v>211</v>
      </c>
      <c r="V80" s="218" t="s">
        <v>201</v>
      </c>
    </row>
    <row r="81" spans="1:22" ht="15.75" customHeight="1">
      <c r="A81" s="216" t="s">
        <v>598</v>
      </c>
      <c r="B81" s="18" t="s">
        <v>599</v>
      </c>
      <c r="C81" s="18" t="s">
        <v>416</v>
      </c>
      <c r="D81" s="17" t="s">
        <v>600</v>
      </c>
      <c r="E81" s="18" t="s">
        <v>601</v>
      </c>
      <c r="F81" s="18" t="s">
        <v>602</v>
      </c>
      <c r="G81" s="18" t="s">
        <v>78</v>
      </c>
      <c r="H81" s="17" t="s">
        <v>79</v>
      </c>
      <c r="I81" s="17" t="s">
        <v>80</v>
      </c>
      <c r="J81" s="17" t="s">
        <v>257</v>
      </c>
      <c r="K81" s="18" t="s">
        <v>258</v>
      </c>
      <c r="L81" s="18" t="s">
        <v>139</v>
      </c>
      <c r="M81" s="18" t="s">
        <v>259</v>
      </c>
      <c r="N81" s="18" t="s">
        <v>260</v>
      </c>
      <c r="O81" s="17">
        <v>1</v>
      </c>
      <c r="P81" s="19">
        <v>299</v>
      </c>
      <c r="Q81" s="17">
        <v>20</v>
      </c>
      <c r="R81" s="17">
        <v>18</v>
      </c>
      <c r="S81" s="19">
        <v>282</v>
      </c>
      <c r="T81" s="18" t="s">
        <v>115</v>
      </c>
      <c r="U81" s="18" t="s">
        <v>211</v>
      </c>
      <c r="V81" s="219" t="s">
        <v>144</v>
      </c>
    </row>
    <row r="82" spans="1:22" ht="15.75" customHeight="1">
      <c r="A82" s="215" t="s">
        <v>603</v>
      </c>
      <c r="B82" s="14" t="s">
        <v>604</v>
      </c>
      <c r="C82" s="15" t="s">
        <v>605</v>
      </c>
      <c r="D82" s="13" t="s">
        <v>606</v>
      </c>
      <c r="E82" s="14" t="s">
        <v>607</v>
      </c>
      <c r="F82" s="14" t="s">
        <v>608</v>
      </c>
      <c r="G82" s="14" t="s">
        <v>181</v>
      </c>
      <c r="H82" s="13" t="s">
        <v>182</v>
      </c>
      <c r="I82" s="13" t="s">
        <v>123</v>
      </c>
      <c r="J82" s="13" t="s">
        <v>81</v>
      </c>
      <c r="K82" s="14" t="s">
        <v>82</v>
      </c>
      <c r="L82" s="14" t="s">
        <v>83</v>
      </c>
      <c r="M82" s="14" t="s">
        <v>84</v>
      </c>
      <c r="N82" s="14" t="s">
        <v>85</v>
      </c>
      <c r="O82" s="13">
        <v>1</v>
      </c>
      <c r="P82" s="16">
        <v>25000</v>
      </c>
      <c r="Q82" s="13">
        <v>0</v>
      </c>
      <c r="R82" s="13">
        <v>3</v>
      </c>
      <c r="S82" s="16">
        <v>25750</v>
      </c>
      <c r="T82" s="14" t="s">
        <v>127</v>
      </c>
      <c r="U82" s="14" t="s">
        <v>211</v>
      </c>
      <c r="V82" s="217" t="s">
        <v>155</v>
      </c>
    </row>
    <row r="83" spans="1:22" ht="15.75" customHeight="1">
      <c r="A83" s="216" t="s">
        <v>609</v>
      </c>
      <c r="B83" s="18" t="s">
        <v>610</v>
      </c>
      <c r="C83" s="15" t="s">
        <v>329</v>
      </c>
      <c r="D83" s="17" t="s">
        <v>611</v>
      </c>
      <c r="E83" s="18" t="s">
        <v>612</v>
      </c>
      <c r="F83" s="18" t="s">
        <v>613</v>
      </c>
      <c r="G83" s="15" t="s">
        <v>407</v>
      </c>
      <c r="H83" s="17" t="s">
        <v>152</v>
      </c>
      <c r="I83" s="17" t="s">
        <v>80</v>
      </c>
      <c r="J83" s="17" t="s">
        <v>389</v>
      </c>
      <c r="K83" s="18" t="s">
        <v>390</v>
      </c>
      <c r="L83" s="18" t="s">
        <v>99</v>
      </c>
      <c r="M83" s="18" t="s">
        <v>164</v>
      </c>
      <c r="N83" s="18" t="s">
        <v>391</v>
      </c>
      <c r="O83" s="17">
        <v>3</v>
      </c>
      <c r="P83" s="20" t="s">
        <v>614</v>
      </c>
      <c r="Q83" s="17">
        <v>15</v>
      </c>
      <c r="R83" s="17">
        <v>18</v>
      </c>
      <c r="S83" s="19">
        <v>4514</v>
      </c>
      <c r="T83" s="18" t="s">
        <v>115</v>
      </c>
      <c r="U83" s="15" t="s">
        <v>87</v>
      </c>
      <c r="V83" s="218" t="s">
        <v>250</v>
      </c>
    </row>
    <row r="84" spans="1:22" ht="15.75" customHeight="1">
      <c r="A84" s="215" t="s">
        <v>615</v>
      </c>
      <c r="B84" s="14" t="s">
        <v>616</v>
      </c>
      <c r="C84" s="14" t="s">
        <v>372</v>
      </c>
      <c r="D84" s="13" t="s">
        <v>617</v>
      </c>
      <c r="E84" s="14" t="s">
        <v>618</v>
      </c>
      <c r="F84" s="14" t="s">
        <v>619</v>
      </c>
      <c r="G84" s="14" t="s">
        <v>61</v>
      </c>
      <c r="H84" s="13" t="s">
        <v>62</v>
      </c>
      <c r="I84" s="13" t="s">
        <v>63</v>
      </c>
      <c r="J84" s="13" t="s">
        <v>64</v>
      </c>
      <c r="K84" s="14" t="s">
        <v>65</v>
      </c>
      <c r="L84" s="14" t="s">
        <v>66</v>
      </c>
      <c r="M84" s="14" t="s">
        <v>67</v>
      </c>
      <c r="N84" s="14" t="s">
        <v>68</v>
      </c>
      <c r="O84" s="20">
        <v>-3</v>
      </c>
      <c r="P84" s="16">
        <v>450</v>
      </c>
      <c r="Q84" s="13">
        <v>12</v>
      </c>
      <c r="R84" s="13">
        <v>5</v>
      </c>
      <c r="S84" s="21">
        <v>-1247</v>
      </c>
      <c r="T84" s="14" t="s">
        <v>127</v>
      </c>
      <c r="U84" s="14" t="s">
        <v>143</v>
      </c>
      <c r="V84" s="218" t="s">
        <v>201</v>
      </c>
    </row>
    <row r="85" spans="1:22" ht="15.75" customHeight="1">
      <c r="A85" s="216" t="s">
        <v>620</v>
      </c>
      <c r="B85" s="18" t="s">
        <v>621</v>
      </c>
      <c r="C85" s="15" t="s">
        <v>473</v>
      </c>
      <c r="D85" s="17" t="s">
        <v>622</v>
      </c>
      <c r="E85" s="18" t="s">
        <v>623</v>
      </c>
      <c r="F85" s="18" t="s">
        <v>624</v>
      </c>
      <c r="G85" s="18" t="s">
        <v>172</v>
      </c>
      <c r="H85" s="17" t="s">
        <v>96</v>
      </c>
      <c r="I85" s="17" t="s">
        <v>63</v>
      </c>
      <c r="J85" s="17" t="s">
        <v>595</v>
      </c>
      <c r="K85" s="18" t="s">
        <v>596</v>
      </c>
      <c r="L85" s="18" t="s">
        <v>112</v>
      </c>
      <c r="M85" s="18" t="s">
        <v>240</v>
      </c>
      <c r="N85" s="18" t="s">
        <v>597</v>
      </c>
      <c r="O85" s="17">
        <v>10</v>
      </c>
      <c r="P85" s="19">
        <v>1200</v>
      </c>
      <c r="Q85" s="17">
        <v>5</v>
      </c>
      <c r="R85" s="17">
        <v>5</v>
      </c>
      <c r="S85" s="19">
        <v>11970</v>
      </c>
      <c r="T85" s="18" t="s">
        <v>183</v>
      </c>
      <c r="U85" s="18" t="s">
        <v>70</v>
      </c>
      <c r="V85" s="219" t="s">
        <v>144</v>
      </c>
    </row>
    <row r="86" spans="1:22" ht="15.75" customHeight="1">
      <c r="A86" s="215" t="s">
        <v>625</v>
      </c>
      <c r="B86" s="14" t="s">
        <v>626</v>
      </c>
      <c r="C86" s="14" t="s">
        <v>627</v>
      </c>
      <c r="D86" s="13" t="s">
        <v>628</v>
      </c>
      <c r="E86" s="14" t="s">
        <v>629</v>
      </c>
      <c r="F86" s="14" t="s">
        <v>630</v>
      </c>
      <c r="G86" s="15" t="s">
        <v>407</v>
      </c>
      <c r="H86" s="13" t="s">
        <v>152</v>
      </c>
      <c r="I86" s="13" t="s">
        <v>80</v>
      </c>
      <c r="J86" s="13" t="s">
        <v>312</v>
      </c>
      <c r="K86" s="14" t="s">
        <v>313</v>
      </c>
      <c r="L86" s="14" t="s">
        <v>66</v>
      </c>
      <c r="M86" s="14" t="s">
        <v>199</v>
      </c>
      <c r="N86" s="14" t="s">
        <v>314</v>
      </c>
      <c r="O86" s="13">
        <v>10</v>
      </c>
      <c r="P86" s="16">
        <v>40</v>
      </c>
      <c r="Q86" s="20" t="s">
        <v>631</v>
      </c>
      <c r="R86" s="13">
        <v>5</v>
      </c>
      <c r="S86" s="16">
        <v>336</v>
      </c>
      <c r="T86" s="14" t="s">
        <v>153</v>
      </c>
      <c r="U86" s="14" t="s">
        <v>211</v>
      </c>
      <c r="V86" s="218" t="s">
        <v>250</v>
      </c>
    </row>
    <row r="87" spans="1:22" ht="15.75" customHeight="1">
      <c r="A87" s="216" t="s">
        <v>632</v>
      </c>
      <c r="B87" s="18" t="s">
        <v>633</v>
      </c>
      <c r="C87" s="15" t="s">
        <v>215</v>
      </c>
      <c r="D87" s="17" t="s">
        <v>634</v>
      </c>
      <c r="E87" s="18" t="s">
        <v>635</v>
      </c>
      <c r="F87" s="18" t="s">
        <v>636</v>
      </c>
      <c r="G87" s="18" t="s">
        <v>181</v>
      </c>
      <c r="H87" s="17" t="s">
        <v>182</v>
      </c>
      <c r="I87" s="17" t="s">
        <v>123</v>
      </c>
      <c r="J87" s="17" t="s">
        <v>81</v>
      </c>
      <c r="K87" s="18" t="s">
        <v>82</v>
      </c>
      <c r="L87" s="18" t="s">
        <v>83</v>
      </c>
      <c r="M87" s="18" t="s">
        <v>84</v>
      </c>
      <c r="N87" s="18" t="s">
        <v>85</v>
      </c>
      <c r="O87" s="17">
        <v>6</v>
      </c>
      <c r="P87" s="19">
        <v>25000</v>
      </c>
      <c r="Q87" s="17">
        <v>20</v>
      </c>
      <c r="R87" s="17">
        <v>3</v>
      </c>
      <c r="S87" s="19">
        <v>123600</v>
      </c>
      <c r="T87" s="18" t="s">
        <v>115</v>
      </c>
      <c r="U87" s="15" t="s">
        <v>154</v>
      </c>
      <c r="V87" s="218" t="s">
        <v>190</v>
      </c>
    </row>
    <row r="88" spans="1:22" ht="15.75" customHeight="1">
      <c r="A88" s="215" t="s">
        <v>637</v>
      </c>
      <c r="B88" s="14" t="s">
        <v>638</v>
      </c>
      <c r="C88" s="14" t="s">
        <v>639</v>
      </c>
      <c r="D88" s="13" t="s">
        <v>640</v>
      </c>
      <c r="E88" s="14" t="s">
        <v>641</v>
      </c>
      <c r="F88" s="14" t="s">
        <v>642</v>
      </c>
      <c r="G88" s="14" t="s">
        <v>61</v>
      </c>
      <c r="H88" s="13" t="s">
        <v>62</v>
      </c>
      <c r="I88" s="13" t="s">
        <v>63</v>
      </c>
      <c r="J88" s="13" t="s">
        <v>97</v>
      </c>
      <c r="K88" s="14" t="s">
        <v>98</v>
      </c>
      <c r="L88" s="14" t="s">
        <v>99</v>
      </c>
      <c r="M88" s="14" t="s">
        <v>100</v>
      </c>
      <c r="N88" s="14" t="s">
        <v>101</v>
      </c>
      <c r="O88" s="13">
        <v>4</v>
      </c>
      <c r="P88" s="16">
        <v>28000</v>
      </c>
      <c r="Q88" s="13">
        <v>5</v>
      </c>
      <c r="R88" s="13">
        <v>18</v>
      </c>
      <c r="S88" s="16">
        <v>125552</v>
      </c>
      <c r="T88" s="14" t="s">
        <v>465</v>
      </c>
      <c r="U88" s="14" t="s">
        <v>70</v>
      </c>
      <c r="V88" s="218" t="s">
        <v>88</v>
      </c>
    </row>
    <row r="89" spans="1:22" ht="15.75" customHeight="1">
      <c r="A89" s="216" t="s">
        <v>598</v>
      </c>
      <c r="B89" s="18" t="s">
        <v>599</v>
      </c>
      <c r="C89" s="18" t="s">
        <v>416</v>
      </c>
      <c r="D89" s="17" t="s">
        <v>600</v>
      </c>
      <c r="E89" s="18" t="s">
        <v>601</v>
      </c>
      <c r="F89" s="18" t="s">
        <v>602</v>
      </c>
      <c r="G89" s="18" t="s">
        <v>78</v>
      </c>
      <c r="H89" s="17" t="s">
        <v>79</v>
      </c>
      <c r="I89" s="17" t="s">
        <v>80</v>
      </c>
      <c r="J89" s="17" t="s">
        <v>257</v>
      </c>
      <c r="K89" s="18" t="s">
        <v>258</v>
      </c>
      <c r="L89" s="18" t="s">
        <v>139</v>
      </c>
      <c r="M89" s="18" t="s">
        <v>259</v>
      </c>
      <c r="N89" s="18" t="s">
        <v>260</v>
      </c>
      <c r="O89" s="17">
        <v>1</v>
      </c>
      <c r="P89" s="19">
        <v>299</v>
      </c>
      <c r="Q89" s="17">
        <v>20</v>
      </c>
      <c r="R89" s="17">
        <v>18</v>
      </c>
      <c r="S89" s="19">
        <v>282</v>
      </c>
      <c r="T89" s="18" t="s">
        <v>115</v>
      </c>
      <c r="U89" s="18" t="s">
        <v>211</v>
      </c>
      <c r="V89" s="219" t="s">
        <v>144</v>
      </c>
    </row>
    <row r="90" spans="1:22" ht="15.75" customHeight="1">
      <c r="A90" s="215" t="s">
        <v>643</v>
      </c>
      <c r="B90" s="14" t="s">
        <v>644</v>
      </c>
      <c r="C90" s="14" t="s">
        <v>372</v>
      </c>
      <c r="D90" s="13" t="s">
        <v>645</v>
      </c>
      <c r="E90" s="14" t="s">
        <v>646</v>
      </c>
      <c r="F90" s="14" t="s">
        <v>647</v>
      </c>
      <c r="G90" s="14" t="s">
        <v>228</v>
      </c>
      <c r="H90" s="13" t="s">
        <v>152</v>
      </c>
      <c r="I90" s="13" t="s">
        <v>80</v>
      </c>
      <c r="J90" s="13" t="s">
        <v>64</v>
      </c>
      <c r="K90" s="14" t="s">
        <v>65</v>
      </c>
      <c r="L90" s="14" t="s">
        <v>66</v>
      </c>
      <c r="M90" s="14" t="s">
        <v>67</v>
      </c>
      <c r="N90" s="14" t="s">
        <v>68</v>
      </c>
      <c r="O90" s="13">
        <v>5</v>
      </c>
      <c r="P90" s="16">
        <v>450</v>
      </c>
      <c r="Q90" s="13">
        <v>15</v>
      </c>
      <c r="R90" s="13">
        <v>5</v>
      </c>
      <c r="S90" s="16">
        <v>2008</v>
      </c>
      <c r="T90" s="14" t="s">
        <v>183</v>
      </c>
      <c r="U90" s="14" t="s">
        <v>70</v>
      </c>
      <c r="V90" s="218" t="s">
        <v>250</v>
      </c>
    </row>
    <row r="91" spans="1:22" ht="15.75" customHeight="1">
      <c r="A91" s="216" t="s">
        <v>648</v>
      </c>
      <c r="B91" s="18" t="s">
        <v>649</v>
      </c>
      <c r="C91" s="15" t="s">
        <v>147</v>
      </c>
      <c r="D91" s="17" t="s">
        <v>650</v>
      </c>
      <c r="E91" s="18" t="s">
        <v>651</v>
      </c>
      <c r="F91" s="18" t="s">
        <v>652</v>
      </c>
      <c r="G91" s="15" t="s">
        <v>363</v>
      </c>
      <c r="H91" s="17" t="s">
        <v>364</v>
      </c>
      <c r="I91" s="17" t="s">
        <v>63</v>
      </c>
      <c r="J91" s="17" t="s">
        <v>197</v>
      </c>
      <c r="K91" s="18" t="s">
        <v>198</v>
      </c>
      <c r="L91" s="18" t="s">
        <v>66</v>
      </c>
      <c r="M91" s="18" t="s">
        <v>199</v>
      </c>
      <c r="N91" s="18" t="s">
        <v>200</v>
      </c>
      <c r="O91" s="17">
        <v>7</v>
      </c>
      <c r="P91" s="19">
        <v>50</v>
      </c>
      <c r="Q91" s="17">
        <v>10</v>
      </c>
      <c r="R91" s="17">
        <v>5</v>
      </c>
      <c r="S91" s="19">
        <v>331</v>
      </c>
      <c r="T91" s="18" t="s">
        <v>142</v>
      </c>
      <c r="U91" s="18" t="s">
        <v>211</v>
      </c>
      <c r="V91" s="219" t="s">
        <v>144</v>
      </c>
    </row>
    <row r="92" spans="1:22" ht="15.75" customHeight="1">
      <c r="A92" s="215" t="s">
        <v>653</v>
      </c>
      <c r="B92" s="14" t="s">
        <v>654</v>
      </c>
      <c r="C92" s="14" t="s">
        <v>461</v>
      </c>
      <c r="D92" s="13" t="s">
        <v>655</v>
      </c>
      <c r="E92" s="14" t="s">
        <v>656</v>
      </c>
      <c r="F92" s="14" t="s">
        <v>657</v>
      </c>
      <c r="G92" s="14" t="s">
        <v>341</v>
      </c>
      <c r="H92" s="13" t="s">
        <v>62</v>
      </c>
      <c r="I92" s="13" t="s">
        <v>63</v>
      </c>
      <c r="J92" s="13" t="s">
        <v>491</v>
      </c>
      <c r="K92" s="14" t="s">
        <v>492</v>
      </c>
      <c r="L92" s="14" t="s">
        <v>112</v>
      </c>
      <c r="M92" s="14" t="s">
        <v>493</v>
      </c>
      <c r="N92" s="14" t="s">
        <v>494</v>
      </c>
      <c r="O92" s="13">
        <v>10</v>
      </c>
      <c r="P92" s="16">
        <v>4500</v>
      </c>
      <c r="Q92" s="13">
        <v>10</v>
      </c>
      <c r="R92" s="13">
        <v>5</v>
      </c>
      <c r="S92" s="16">
        <v>42525</v>
      </c>
      <c r="T92" s="14" t="s">
        <v>465</v>
      </c>
      <c r="U92" s="14" t="s">
        <v>70</v>
      </c>
      <c r="V92" s="218" t="s">
        <v>88</v>
      </c>
    </row>
    <row r="93" spans="1:22" ht="15.75" customHeight="1">
      <c r="A93" s="216" t="s">
        <v>658</v>
      </c>
      <c r="B93" s="18" t="s">
        <v>659</v>
      </c>
      <c r="C93" s="15" t="s">
        <v>447</v>
      </c>
      <c r="D93" s="17" t="s">
        <v>660</v>
      </c>
      <c r="E93" s="18" t="s">
        <v>449</v>
      </c>
      <c r="F93" s="18" t="s">
        <v>661</v>
      </c>
      <c r="G93" s="18" t="s">
        <v>248</v>
      </c>
      <c r="H93" s="17" t="s">
        <v>249</v>
      </c>
      <c r="I93" s="17" t="s">
        <v>123</v>
      </c>
      <c r="J93" s="17" t="s">
        <v>376</v>
      </c>
      <c r="K93" s="18" t="s">
        <v>377</v>
      </c>
      <c r="L93" s="18" t="s">
        <v>112</v>
      </c>
      <c r="M93" s="18" t="s">
        <v>113</v>
      </c>
      <c r="N93" s="18" t="s">
        <v>378</v>
      </c>
      <c r="O93" s="17">
        <v>8</v>
      </c>
      <c r="P93" s="19">
        <v>8500</v>
      </c>
      <c r="Q93" s="17">
        <v>15</v>
      </c>
      <c r="R93" s="17">
        <v>18</v>
      </c>
      <c r="S93" s="19">
        <v>68204</v>
      </c>
      <c r="T93" s="18" t="s">
        <v>326</v>
      </c>
      <c r="U93" s="18" t="s">
        <v>70</v>
      </c>
      <c r="V93" s="218" t="s">
        <v>128</v>
      </c>
    </row>
    <row r="94" spans="1:22" ht="15.75" customHeight="1">
      <c r="A94" s="215" t="s">
        <v>662</v>
      </c>
      <c r="B94" s="14" t="s">
        <v>279</v>
      </c>
      <c r="C94" s="14" t="s">
        <v>291</v>
      </c>
      <c r="D94" s="13" t="s">
        <v>663</v>
      </c>
      <c r="E94" s="14" t="s">
        <v>664</v>
      </c>
      <c r="F94" s="14" t="s">
        <v>665</v>
      </c>
      <c r="G94" s="14" t="s">
        <v>248</v>
      </c>
      <c r="H94" s="13" t="s">
        <v>249</v>
      </c>
      <c r="I94" s="13" t="s">
        <v>123</v>
      </c>
      <c r="J94" s="13" t="s">
        <v>110</v>
      </c>
      <c r="K94" s="14" t="s">
        <v>111</v>
      </c>
      <c r="L94" s="14" t="s">
        <v>112</v>
      </c>
      <c r="M94" s="14" t="s">
        <v>113</v>
      </c>
      <c r="N94" s="14" t="s">
        <v>114</v>
      </c>
      <c r="O94" s="13">
        <v>5</v>
      </c>
      <c r="P94" s="16">
        <v>3500</v>
      </c>
      <c r="Q94" s="13">
        <v>25</v>
      </c>
      <c r="R94" s="13">
        <v>18</v>
      </c>
      <c r="S94" s="16">
        <v>15488</v>
      </c>
      <c r="T94" s="14" t="s">
        <v>183</v>
      </c>
      <c r="U94" s="15" t="s">
        <v>174</v>
      </c>
      <c r="V94" s="218" t="s">
        <v>128</v>
      </c>
    </row>
    <row r="95" spans="1:22" ht="15.75" customHeight="1">
      <c r="A95" s="216" t="s">
        <v>666</v>
      </c>
      <c r="B95" s="18" t="s">
        <v>667</v>
      </c>
      <c r="C95" s="15"/>
      <c r="D95" s="17" t="s">
        <v>668</v>
      </c>
      <c r="E95" s="18" t="s">
        <v>345</v>
      </c>
      <c r="F95" s="18" t="s">
        <v>669</v>
      </c>
      <c r="G95" s="18" t="s">
        <v>172</v>
      </c>
      <c r="H95" s="17" t="s">
        <v>96</v>
      </c>
      <c r="I95" s="17" t="s">
        <v>63</v>
      </c>
      <c r="J95" s="17" t="s">
        <v>295</v>
      </c>
      <c r="K95" s="18" t="s">
        <v>296</v>
      </c>
      <c r="L95" s="18" t="s">
        <v>66</v>
      </c>
      <c r="M95" s="18" t="s">
        <v>297</v>
      </c>
      <c r="N95" s="18" t="s">
        <v>298</v>
      </c>
      <c r="O95" s="17">
        <v>6</v>
      </c>
      <c r="P95" s="19">
        <v>280</v>
      </c>
      <c r="Q95" s="17">
        <v>135</v>
      </c>
      <c r="R95" s="17">
        <v>5</v>
      </c>
      <c r="S95" s="20"/>
      <c r="T95" s="18" t="s">
        <v>183</v>
      </c>
      <c r="U95" s="18" t="s">
        <v>288</v>
      </c>
      <c r="V95" s="219" t="s">
        <v>144</v>
      </c>
    </row>
    <row r="96" spans="1:22" ht="15.75" customHeight="1">
      <c r="A96" s="215" t="s">
        <v>670</v>
      </c>
      <c r="B96" s="14" t="s">
        <v>671</v>
      </c>
      <c r="C96" s="15" t="s">
        <v>253</v>
      </c>
      <c r="D96" s="13" t="s">
        <v>672</v>
      </c>
      <c r="E96" s="14" t="s">
        <v>255</v>
      </c>
      <c r="F96" s="14" t="s">
        <v>673</v>
      </c>
      <c r="G96" s="15" t="s">
        <v>268</v>
      </c>
      <c r="H96" s="13" t="s">
        <v>122</v>
      </c>
      <c r="I96" s="13" t="s">
        <v>123</v>
      </c>
      <c r="J96" s="13" t="s">
        <v>238</v>
      </c>
      <c r="K96" s="14" t="s">
        <v>239</v>
      </c>
      <c r="L96" s="14" t="s">
        <v>112</v>
      </c>
      <c r="M96" s="14" t="s">
        <v>240</v>
      </c>
      <c r="N96" s="14" t="s">
        <v>241</v>
      </c>
      <c r="O96" s="13">
        <v>2</v>
      </c>
      <c r="P96" s="16">
        <v>2500</v>
      </c>
      <c r="Q96" s="13">
        <v>10</v>
      </c>
      <c r="R96" s="13">
        <v>5</v>
      </c>
      <c r="S96" s="16">
        <v>4725</v>
      </c>
      <c r="T96" s="14" t="s">
        <v>102</v>
      </c>
      <c r="U96" s="14" t="s">
        <v>211</v>
      </c>
      <c r="V96" s="217" t="s">
        <v>212</v>
      </c>
    </row>
    <row r="97" spans="1:22" ht="15.75" customHeight="1">
      <c r="A97" s="216" t="s">
        <v>674</v>
      </c>
      <c r="B97" s="18" t="s">
        <v>675</v>
      </c>
      <c r="C97" s="18" t="s">
        <v>461</v>
      </c>
      <c r="D97" s="17" t="s">
        <v>676</v>
      </c>
      <c r="E97" s="18" t="s">
        <v>76</v>
      </c>
      <c r="F97" s="18" t="s">
        <v>677</v>
      </c>
      <c r="G97" s="15" t="s">
        <v>407</v>
      </c>
      <c r="H97" s="17" t="s">
        <v>152</v>
      </c>
      <c r="I97" s="17" t="s">
        <v>80</v>
      </c>
      <c r="J97" s="17" t="s">
        <v>295</v>
      </c>
      <c r="K97" s="18" t="s">
        <v>296</v>
      </c>
      <c r="L97" s="18" t="s">
        <v>66</v>
      </c>
      <c r="M97" s="18" t="s">
        <v>297</v>
      </c>
      <c r="N97" s="18" t="s">
        <v>298</v>
      </c>
      <c r="O97" s="17">
        <v>9</v>
      </c>
      <c r="P97" s="19">
        <v>280</v>
      </c>
      <c r="Q97" s="17">
        <v>25</v>
      </c>
      <c r="R97" s="17">
        <v>5</v>
      </c>
      <c r="S97" s="19">
        <v>1984</v>
      </c>
      <c r="T97" s="18" t="s">
        <v>127</v>
      </c>
      <c r="U97" s="15" t="s">
        <v>103</v>
      </c>
      <c r="V97" s="219" t="s">
        <v>155</v>
      </c>
    </row>
    <row r="98" spans="1:22" ht="15.75" customHeight="1">
      <c r="A98" s="215" t="s">
        <v>678</v>
      </c>
      <c r="B98" s="14" t="s">
        <v>679</v>
      </c>
      <c r="C98" s="14" t="s">
        <v>106</v>
      </c>
      <c r="D98" s="13" t="s">
        <v>680</v>
      </c>
      <c r="E98" s="14" t="s">
        <v>281</v>
      </c>
      <c r="F98" s="15"/>
      <c r="G98" s="14" t="s">
        <v>122</v>
      </c>
      <c r="H98" s="13" t="s">
        <v>122</v>
      </c>
      <c r="I98" s="13" t="s">
        <v>123</v>
      </c>
      <c r="J98" s="13" t="s">
        <v>110</v>
      </c>
      <c r="K98" s="14" t="s">
        <v>111</v>
      </c>
      <c r="L98" s="14" t="s">
        <v>112</v>
      </c>
      <c r="M98" s="14" t="s">
        <v>113</v>
      </c>
      <c r="N98" s="14" t="s">
        <v>114</v>
      </c>
      <c r="O98" s="13">
        <v>6</v>
      </c>
      <c r="P98" s="16">
        <v>3500</v>
      </c>
      <c r="Q98" s="13">
        <v>5</v>
      </c>
      <c r="R98" s="13">
        <v>18</v>
      </c>
      <c r="S98" s="16">
        <v>23541</v>
      </c>
      <c r="T98" s="14" t="s">
        <v>69</v>
      </c>
      <c r="U98" s="14" t="s">
        <v>70</v>
      </c>
      <c r="V98" s="217" t="s">
        <v>212</v>
      </c>
    </row>
    <row r="99" spans="1:22" ht="15.75" customHeight="1">
      <c r="A99" s="216" t="s">
        <v>609</v>
      </c>
      <c r="B99" s="18" t="s">
        <v>610</v>
      </c>
      <c r="C99" s="15" t="s">
        <v>329</v>
      </c>
      <c r="D99" s="17" t="s">
        <v>611</v>
      </c>
      <c r="E99" s="18" t="s">
        <v>612</v>
      </c>
      <c r="F99" s="18" t="s">
        <v>613</v>
      </c>
      <c r="G99" s="15" t="s">
        <v>407</v>
      </c>
      <c r="H99" s="17" t="s">
        <v>152</v>
      </c>
      <c r="I99" s="17" t="s">
        <v>80</v>
      </c>
      <c r="J99" s="17" t="s">
        <v>389</v>
      </c>
      <c r="K99" s="18" t="s">
        <v>390</v>
      </c>
      <c r="L99" s="18" t="s">
        <v>99</v>
      </c>
      <c r="M99" s="18" t="s">
        <v>164</v>
      </c>
      <c r="N99" s="18" t="s">
        <v>391</v>
      </c>
      <c r="O99" s="17">
        <v>3</v>
      </c>
      <c r="P99" s="20" t="s">
        <v>614</v>
      </c>
      <c r="Q99" s="17">
        <v>15</v>
      </c>
      <c r="R99" s="17">
        <v>18</v>
      </c>
      <c r="S99" s="19">
        <v>4514</v>
      </c>
      <c r="T99" s="18" t="s">
        <v>115</v>
      </c>
      <c r="U99" s="15" t="s">
        <v>87</v>
      </c>
      <c r="V99" s="218" t="s">
        <v>250</v>
      </c>
    </row>
    <row r="100" spans="1:22" ht="15.75" customHeight="1">
      <c r="A100" s="215" t="s">
        <v>637</v>
      </c>
      <c r="B100" s="14" t="s">
        <v>638</v>
      </c>
      <c r="C100" s="14" t="s">
        <v>639</v>
      </c>
      <c r="D100" s="13" t="s">
        <v>640</v>
      </c>
      <c r="E100" s="14" t="s">
        <v>641</v>
      </c>
      <c r="F100" s="14" t="s">
        <v>642</v>
      </c>
      <c r="G100" s="14" t="s">
        <v>61</v>
      </c>
      <c r="H100" s="13" t="s">
        <v>62</v>
      </c>
      <c r="I100" s="13" t="s">
        <v>63</v>
      </c>
      <c r="J100" s="13" t="s">
        <v>97</v>
      </c>
      <c r="K100" s="14" t="s">
        <v>98</v>
      </c>
      <c r="L100" s="14" t="s">
        <v>99</v>
      </c>
      <c r="M100" s="14" t="s">
        <v>100</v>
      </c>
      <c r="N100" s="14" t="s">
        <v>101</v>
      </c>
      <c r="O100" s="13">
        <v>4</v>
      </c>
      <c r="P100" s="16">
        <v>28000</v>
      </c>
      <c r="Q100" s="13">
        <v>5</v>
      </c>
      <c r="R100" s="13">
        <v>18</v>
      </c>
      <c r="S100" s="16">
        <v>125552</v>
      </c>
      <c r="T100" s="14" t="s">
        <v>465</v>
      </c>
      <c r="U100" s="14" t="s">
        <v>70</v>
      </c>
      <c r="V100" s="218" t="s">
        <v>88</v>
      </c>
    </row>
    <row r="101" spans="1:22" ht="15.75" customHeight="1">
      <c r="A101" s="216" t="s">
        <v>681</v>
      </c>
      <c r="B101" s="18" t="s">
        <v>682</v>
      </c>
      <c r="C101" s="18" t="s">
        <v>264</v>
      </c>
      <c r="D101" s="17" t="s">
        <v>683</v>
      </c>
      <c r="E101" s="18" t="s">
        <v>302</v>
      </c>
      <c r="F101" s="18" t="s">
        <v>684</v>
      </c>
      <c r="G101" s="18" t="s">
        <v>341</v>
      </c>
      <c r="H101" s="17" t="s">
        <v>62</v>
      </c>
      <c r="I101" s="17" t="s">
        <v>63</v>
      </c>
      <c r="J101" s="17" t="s">
        <v>197</v>
      </c>
      <c r="K101" s="18" t="s">
        <v>198</v>
      </c>
      <c r="L101" s="18" t="s">
        <v>66</v>
      </c>
      <c r="M101" s="18" t="s">
        <v>199</v>
      </c>
      <c r="N101" s="18" t="s">
        <v>200</v>
      </c>
      <c r="O101" s="17">
        <v>7</v>
      </c>
      <c r="P101" s="19">
        <v>50</v>
      </c>
      <c r="Q101" s="17">
        <v>5</v>
      </c>
      <c r="R101" s="17">
        <v>5</v>
      </c>
      <c r="S101" s="19">
        <v>349</v>
      </c>
      <c r="T101" s="18" t="s">
        <v>115</v>
      </c>
      <c r="U101" s="15" t="s">
        <v>261</v>
      </c>
      <c r="V101" s="218" t="s">
        <v>190</v>
      </c>
    </row>
    <row r="102" spans="1:22" ht="15.75" customHeight="1">
      <c r="A102" s="215" t="s">
        <v>685</v>
      </c>
      <c r="B102" s="14" t="s">
        <v>686</v>
      </c>
      <c r="C102" s="14" t="s">
        <v>168</v>
      </c>
      <c r="D102" s="13" t="s">
        <v>687</v>
      </c>
      <c r="E102" s="14" t="s">
        <v>688</v>
      </c>
      <c r="F102" s="14" t="s">
        <v>689</v>
      </c>
      <c r="G102" s="14" t="s">
        <v>122</v>
      </c>
      <c r="H102" s="13" t="s">
        <v>122</v>
      </c>
      <c r="I102" s="13" t="s">
        <v>123</v>
      </c>
      <c r="J102" s="13" t="s">
        <v>97</v>
      </c>
      <c r="K102" s="14" t="s">
        <v>98</v>
      </c>
      <c r="L102" s="14" t="s">
        <v>99</v>
      </c>
      <c r="M102" s="14" t="s">
        <v>100</v>
      </c>
      <c r="N102" s="14" t="s">
        <v>101</v>
      </c>
      <c r="O102" s="13">
        <v>9</v>
      </c>
      <c r="P102" s="16">
        <v>28000</v>
      </c>
      <c r="Q102" s="13">
        <v>12</v>
      </c>
      <c r="R102" s="13">
        <v>18</v>
      </c>
      <c r="S102" s="16">
        <v>261677</v>
      </c>
      <c r="T102" s="14" t="s">
        <v>183</v>
      </c>
      <c r="U102" s="14" t="s">
        <v>70</v>
      </c>
      <c r="V102" s="217" t="s">
        <v>144</v>
      </c>
    </row>
    <row r="103" spans="1:22" ht="15.75" customHeight="1">
      <c r="A103" s="216" t="s">
        <v>690</v>
      </c>
      <c r="B103" s="18" t="s">
        <v>691</v>
      </c>
      <c r="C103" s="15" t="s">
        <v>541</v>
      </c>
      <c r="D103" s="17" t="s">
        <v>692</v>
      </c>
      <c r="E103" s="18" t="s">
        <v>693</v>
      </c>
      <c r="F103" s="18" t="s">
        <v>694</v>
      </c>
      <c r="G103" s="18" t="s">
        <v>172</v>
      </c>
      <c r="H103" s="17" t="s">
        <v>96</v>
      </c>
      <c r="I103" s="17" t="s">
        <v>63</v>
      </c>
      <c r="J103" s="17" t="s">
        <v>365</v>
      </c>
      <c r="K103" s="18" t="s">
        <v>366</v>
      </c>
      <c r="L103" s="18" t="s">
        <v>112</v>
      </c>
      <c r="M103" s="18" t="s">
        <v>367</v>
      </c>
      <c r="N103" s="18" t="s">
        <v>368</v>
      </c>
      <c r="O103" s="17">
        <v>8</v>
      </c>
      <c r="P103" s="19">
        <v>3500</v>
      </c>
      <c r="Q103" s="17">
        <v>20</v>
      </c>
      <c r="R103" s="17">
        <v>5</v>
      </c>
      <c r="S103" s="19">
        <v>23520</v>
      </c>
      <c r="T103" s="18" t="s">
        <v>86</v>
      </c>
      <c r="U103" s="15" t="s">
        <v>174</v>
      </c>
      <c r="V103" s="218" t="s">
        <v>190</v>
      </c>
    </row>
    <row r="104" spans="1:22" ht="15.75" customHeight="1">
      <c r="A104" s="215" t="s">
        <v>695</v>
      </c>
      <c r="B104" s="14" t="s">
        <v>696</v>
      </c>
      <c r="C104" s="15" t="s">
        <v>410</v>
      </c>
      <c r="D104" s="13" t="s">
        <v>697</v>
      </c>
      <c r="E104" s="14" t="s">
        <v>698</v>
      </c>
      <c r="F104" s="14" t="s">
        <v>699</v>
      </c>
      <c r="G104" s="14" t="s">
        <v>333</v>
      </c>
      <c r="H104" s="13" t="s">
        <v>334</v>
      </c>
      <c r="I104" s="13" t="s">
        <v>63</v>
      </c>
      <c r="J104" s="13" t="s">
        <v>365</v>
      </c>
      <c r="K104" s="14" t="s">
        <v>366</v>
      </c>
      <c r="L104" s="14" t="s">
        <v>112</v>
      </c>
      <c r="M104" s="14" t="s">
        <v>367</v>
      </c>
      <c r="N104" s="14" t="s">
        <v>368</v>
      </c>
      <c r="O104" s="13">
        <v>6</v>
      </c>
      <c r="P104" s="16">
        <v>3500</v>
      </c>
      <c r="Q104" s="13">
        <v>10</v>
      </c>
      <c r="R104" s="13">
        <v>5</v>
      </c>
      <c r="S104" s="16">
        <v>19845</v>
      </c>
      <c r="T104" s="14" t="s">
        <v>183</v>
      </c>
      <c r="U104" s="14" t="s">
        <v>211</v>
      </c>
      <c r="V104" s="217" t="s">
        <v>71</v>
      </c>
    </row>
    <row r="105" spans="1:22" ht="15.75" customHeight="1">
      <c r="A105" s="216" t="s">
        <v>700</v>
      </c>
      <c r="B105" s="18" t="s">
        <v>701</v>
      </c>
      <c r="C105" s="15" t="s">
        <v>158</v>
      </c>
      <c r="D105" s="17" t="s">
        <v>702</v>
      </c>
      <c r="E105" s="18" t="s">
        <v>703</v>
      </c>
      <c r="F105" s="18" t="s">
        <v>704</v>
      </c>
      <c r="G105" s="18" t="s">
        <v>439</v>
      </c>
      <c r="H105" s="17" t="s">
        <v>364</v>
      </c>
      <c r="I105" s="17" t="s">
        <v>63</v>
      </c>
      <c r="J105" s="17" t="s">
        <v>64</v>
      </c>
      <c r="K105" s="18" t="s">
        <v>65</v>
      </c>
      <c r="L105" s="18" t="s">
        <v>66</v>
      </c>
      <c r="M105" s="18" t="s">
        <v>67</v>
      </c>
      <c r="N105" s="18" t="s">
        <v>68</v>
      </c>
      <c r="O105" s="17">
        <v>8</v>
      </c>
      <c r="P105" s="19">
        <v>450</v>
      </c>
      <c r="Q105" s="17">
        <v>20</v>
      </c>
      <c r="R105" s="17">
        <v>5</v>
      </c>
      <c r="S105" s="19">
        <v>3024</v>
      </c>
      <c r="T105" s="18" t="s">
        <v>183</v>
      </c>
      <c r="U105" s="15" t="s">
        <v>87</v>
      </c>
      <c r="V105" s="219" t="s">
        <v>212</v>
      </c>
    </row>
    <row r="106" spans="1:22" ht="15.75" customHeight="1">
      <c r="A106" s="215" t="s">
        <v>681</v>
      </c>
      <c r="B106" s="14" t="s">
        <v>682</v>
      </c>
      <c r="C106" s="14" t="s">
        <v>264</v>
      </c>
      <c r="D106" s="13" t="s">
        <v>683</v>
      </c>
      <c r="E106" s="14" t="s">
        <v>302</v>
      </c>
      <c r="F106" s="14" t="s">
        <v>684</v>
      </c>
      <c r="G106" s="14" t="s">
        <v>341</v>
      </c>
      <c r="H106" s="13" t="s">
        <v>62</v>
      </c>
      <c r="I106" s="13" t="s">
        <v>63</v>
      </c>
      <c r="J106" s="13" t="s">
        <v>197</v>
      </c>
      <c r="K106" s="14" t="s">
        <v>198</v>
      </c>
      <c r="L106" s="14" t="s">
        <v>66</v>
      </c>
      <c r="M106" s="14" t="s">
        <v>199</v>
      </c>
      <c r="N106" s="14" t="s">
        <v>200</v>
      </c>
      <c r="O106" s="13">
        <v>7</v>
      </c>
      <c r="P106" s="16">
        <v>50</v>
      </c>
      <c r="Q106" s="13">
        <v>5</v>
      </c>
      <c r="R106" s="13">
        <v>5</v>
      </c>
      <c r="S106" s="16">
        <v>349</v>
      </c>
      <c r="T106" s="14" t="s">
        <v>115</v>
      </c>
      <c r="U106" s="15" t="s">
        <v>261</v>
      </c>
      <c r="V106" s="218" t="s">
        <v>190</v>
      </c>
    </row>
    <row r="107" spans="1:22" ht="15.75" customHeight="1">
      <c r="A107" s="216" t="s">
        <v>705</v>
      </c>
      <c r="B107" s="18" t="s">
        <v>706</v>
      </c>
      <c r="C107" s="18" t="s">
        <v>106</v>
      </c>
      <c r="D107" s="17" t="s">
        <v>707</v>
      </c>
      <c r="E107" s="18" t="s">
        <v>708</v>
      </c>
      <c r="F107" s="18" t="s">
        <v>709</v>
      </c>
      <c r="G107" s="18" t="s">
        <v>248</v>
      </c>
      <c r="H107" s="17" t="s">
        <v>249</v>
      </c>
      <c r="I107" s="17" t="s">
        <v>123</v>
      </c>
      <c r="J107" s="17" t="s">
        <v>347</v>
      </c>
      <c r="K107" s="18" t="s">
        <v>348</v>
      </c>
      <c r="L107" s="18" t="s">
        <v>139</v>
      </c>
      <c r="M107" s="18" t="s">
        <v>349</v>
      </c>
      <c r="N107" s="18" t="s">
        <v>350</v>
      </c>
      <c r="O107" s="17">
        <v>9</v>
      </c>
      <c r="P107" s="19">
        <v>3200</v>
      </c>
      <c r="Q107" s="17">
        <v>8</v>
      </c>
      <c r="R107" s="17">
        <v>18</v>
      </c>
      <c r="S107" s="19">
        <v>31265</v>
      </c>
      <c r="T107" s="18" t="s">
        <v>69</v>
      </c>
      <c r="U107" s="18" t="s">
        <v>143</v>
      </c>
      <c r="V107" s="219" t="s">
        <v>212</v>
      </c>
    </row>
    <row r="108" spans="1:22" ht="15.75" customHeight="1">
      <c r="A108" s="215" t="s">
        <v>710</v>
      </c>
      <c r="B108" s="14" t="s">
        <v>711</v>
      </c>
      <c r="C108" s="14" t="s">
        <v>712</v>
      </c>
      <c r="D108" s="13" t="s">
        <v>713</v>
      </c>
      <c r="E108" s="14" t="s">
        <v>714</v>
      </c>
      <c r="F108" s="14" t="s">
        <v>715</v>
      </c>
      <c r="G108" s="14" t="s">
        <v>95</v>
      </c>
      <c r="H108" s="13" t="s">
        <v>96</v>
      </c>
      <c r="I108" s="13" t="s">
        <v>63</v>
      </c>
      <c r="J108" s="13" t="s">
        <v>257</v>
      </c>
      <c r="K108" s="14" t="s">
        <v>258</v>
      </c>
      <c r="L108" s="14" t="s">
        <v>139</v>
      </c>
      <c r="M108" s="14" t="s">
        <v>259</v>
      </c>
      <c r="N108" s="14" t="s">
        <v>260</v>
      </c>
      <c r="O108" s="13">
        <v>1</v>
      </c>
      <c r="P108" s="16">
        <v>299</v>
      </c>
      <c r="Q108" s="13">
        <v>10</v>
      </c>
      <c r="R108" s="13">
        <v>18</v>
      </c>
      <c r="S108" s="16">
        <v>318</v>
      </c>
      <c r="T108" s="14" t="s">
        <v>69</v>
      </c>
      <c r="U108" s="15" t="s">
        <v>174</v>
      </c>
      <c r="V108" s="218" t="s">
        <v>88</v>
      </c>
    </row>
    <row r="109" spans="1:22" ht="15.75" customHeight="1">
      <c r="A109" s="216" t="s">
        <v>716</v>
      </c>
      <c r="B109" s="18" t="s">
        <v>717</v>
      </c>
      <c r="C109" s="18" t="s">
        <v>291</v>
      </c>
      <c r="D109" s="17" t="s">
        <v>718</v>
      </c>
      <c r="E109" s="18" t="s">
        <v>719</v>
      </c>
      <c r="F109" s="18" t="s">
        <v>720</v>
      </c>
      <c r="G109" s="18" t="s">
        <v>341</v>
      </c>
      <c r="H109" s="17" t="s">
        <v>62</v>
      </c>
      <c r="I109" s="17" t="s">
        <v>63</v>
      </c>
      <c r="J109" s="17" t="s">
        <v>376</v>
      </c>
      <c r="K109" s="18" t="s">
        <v>377</v>
      </c>
      <c r="L109" s="15" t="s">
        <v>721</v>
      </c>
      <c r="M109" s="18" t="s">
        <v>113</v>
      </c>
      <c r="N109" s="18" t="s">
        <v>378</v>
      </c>
      <c r="O109" s="17">
        <v>2</v>
      </c>
      <c r="P109" s="19">
        <v>8500</v>
      </c>
      <c r="Q109" s="17">
        <v>10</v>
      </c>
      <c r="R109" s="17">
        <v>18</v>
      </c>
      <c r="S109" s="19">
        <v>18054</v>
      </c>
      <c r="T109" s="18" t="s">
        <v>183</v>
      </c>
      <c r="U109" s="15" t="s">
        <v>154</v>
      </c>
      <c r="V109" s="218" t="s">
        <v>190</v>
      </c>
    </row>
    <row r="110" spans="1:22" ht="15.75" customHeight="1">
      <c r="A110" s="215" t="s">
        <v>722</v>
      </c>
      <c r="B110" s="14" t="s">
        <v>723</v>
      </c>
      <c r="C110" s="15" t="s">
        <v>244</v>
      </c>
      <c r="D110" s="13" t="s">
        <v>724</v>
      </c>
      <c r="E110" s="14" t="s">
        <v>498</v>
      </c>
      <c r="F110" s="14" t="s">
        <v>725</v>
      </c>
      <c r="G110" s="14" t="s">
        <v>485</v>
      </c>
      <c r="H110" s="13" t="s">
        <v>305</v>
      </c>
      <c r="I110" s="13" t="s">
        <v>306</v>
      </c>
      <c r="J110" s="13" t="s">
        <v>257</v>
      </c>
      <c r="K110" s="14" t="s">
        <v>258</v>
      </c>
      <c r="L110" s="14" t="s">
        <v>139</v>
      </c>
      <c r="M110" s="14" t="s">
        <v>259</v>
      </c>
      <c r="N110" s="14" t="s">
        <v>260</v>
      </c>
      <c r="O110" s="13">
        <v>6</v>
      </c>
      <c r="P110" s="16">
        <v>299</v>
      </c>
      <c r="Q110" s="13">
        <v>20</v>
      </c>
      <c r="R110" s="13">
        <v>18</v>
      </c>
      <c r="S110" s="16">
        <v>1694</v>
      </c>
      <c r="T110" s="14" t="s">
        <v>115</v>
      </c>
      <c r="U110" s="15" t="s">
        <v>174</v>
      </c>
      <c r="V110" s="217" t="s">
        <v>144</v>
      </c>
    </row>
    <row r="111" spans="1:22" ht="15.75" customHeight="1">
      <c r="A111" s="216" t="s">
        <v>726</v>
      </c>
      <c r="B111" s="18" t="s">
        <v>727</v>
      </c>
      <c r="C111" s="18" t="s">
        <v>728</v>
      </c>
      <c r="D111" s="17" t="s">
        <v>729</v>
      </c>
      <c r="E111" s="18" t="s">
        <v>730</v>
      </c>
      <c r="F111" s="18" t="s">
        <v>731</v>
      </c>
      <c r="G111" s="15" t="s">
        <v>304</v>
      </c>
      <c r="H111" s="17" t="s">
        <v>305</v>
      </c>
      <c r="I111" s="20" t="s">
        <v>732</v>
      </c>
      <c r="J111" s="17" t="s">
        <v>275</v>
      </c>
      <c r="K111" s="18" t="s">
        <v>276</v>
      </c>
      <c r="L111" s="18" t="s">
        <v>99</v>
      </c>
      <c r="M111" s="18" t="s">
        <v>277</v>
      </c>
      <c r="N111" s="18" t="s">
        <v>126</v>
      </c>
      <c r="O111" s="17">
        <v>8</v>
      </c>
      <c r="P111" s="19">
        <v>35000</v>
      </c>
      <c r="Q111" s="17">
        <v>8</v>
      </c>
      <c r="R111" s="17">
        <v>18</v>
      </c>
      <c r="S111" s="19">
        <v>303968</v>
      </c>
      <c r="T111" s="18" t="s">
        <v>127</v>
      </c>
      <c r="U111" s="18" t="s">
        <v>211</v>
      </c>
      <c r="V111" s="218" t="s">
        <v>201</v>
      </c>
    </row>
    <row r="112" spans="1:22" ht="15.75" customHeight="1">
      <c r="A112" s="215" t="s">
        <v>733</v>
      </c>
      <c r="B112" s="14" t="s">
        <v>633</v>
      </c>
      <c r="C112" s="15" t="s">
        <v>447</v>
      </c>
      <c r="D112" s="13" t="s">
        <v>734</v>
      </c>
      <c r="E112" s="14" t="s">
        <v>449</v>
      </c>
      <c r="F112" s="14" t="s">
        <v>735</v>
      </c>
      <c r="G112" s="15" t="s">
        <v>268</v>
      </c>
      <c r="H112" s="13" t="s">
        <v>122</v>
      </c>
      <c r="I112" s="13" t="s">
        <v>123</v>
      </c>
      <c r="J112" s="13" t="s">
        <v>477</v>
      </c>
      <c r="K112" s="14" t="s">
        <v>478</v>
      </c>
      <c r="L112" s="14" t="s">
        <v>139</v>
      </c>
      <c r="M112" s="14" t="s">
        <v>349</v>
      </c>
      <c r="N112" s="14" t="s">
        <v>479</v>
      </c>
      <c r="O112" s="13">
        <v>1</v>
      </c>
      <c r="P112" s="16">
        <v>2200</v>
      </c>
      <c r="Q112" s="13">
        <v>10</v>
      </c>
      <c r="R112" s="13">
        <v>12</v>
      </c>
      <c r="S112" s="16">
        <v>2218</v>
      </c>
      <c r="T112" s="14" t="s">
        <v>86</v>
      </c>
      <c r="U112" s="14" t="s">
        <v>143</v>
      </c>
      <c r="V112" s="217" t="s">
        <v>71</v>
      </c>
    </row>
    <row r="113" spans="1:22" ht="15.75" customHeight="1">
      <c r="A113" s="216" t="s">
        <v>736</v>
      </c>
      <c r="B113" s="18" t="s">
        <v>737</v>
      </c>
      <c r="C113" s="15" t="s">
        <v>147</v>
      </c>
      <c r="D113" s="17" t="s">
        <v>738</v>
      </c>
      <c r="E113" s="18" t="s">
        <v>651</v>
      </c>
      <c r="F113" s="18" t="s">
        <v>739</v>
      </c>
      <c r="G113" s="18" t="s">
        <v>485</v>
      </c>
      <c r="H113" s="17" t="s">
        <v>305</v>
      </c>
      <c r="I113" s="17" t="s">
        <v>306</v>
      </c>
      <c r="J113" s="17" t="s">
        <v>238</v>
      </c>
      <c r="K113" s="18" t="s">
        <v>239</v>
      </c>
      <c r="L113" s="18" t="s">
        <v>112</v>
      </c>
      <c r="M113" s="18" t="s">
        <v>240</v>
      </c>
      <c r="N113" s="18" t="s">
        <v>241</v>
      </c>
      <c r="O113" s="17">
        <v>10</v>
      </c>
      <c r="P113" s="19">
        <v>2500</v>
      </c>
      <c r="Q113" s="17">
        <v>12</v>
      </c>
      <c r="R113" s="17">
        <v>5</v>
      </c>
      <c r="S113" s="19">
        <v>23100</v>
      </c>
      <c r="T113" s="18" t="s">
        <v>153</v>
      </c>
      <c r="U113" s="18" t="s">
        <v>184</v>
      </c>
      <c r="V113" s="218" t="s">
        <v>250</v>
      </c>
    </row>
    <row r="114" spans="1:22" ht="15.75" customHeight="1">
      <c r="A114" s="215" t="s">
        <v>740</v>
      </c>
      <c r="B114" s="14" t="s">
        <v>741</v>
      </c>
      <c r="C114" s="15" t="s">
        <v>605</v>
      </c>
      <c r="D114" s="13" t="s">
        <v>742</v>
      </c>
      <c r="E114" s="14" t="s">
        <v>607</v>
      </c>
      <c r="F114" s="14" t="s">
        <v>743</v>
      </c>
      <c r="G114" s="14" t="s">
        <v>744</v>
      </c>
      <c r="H114" s="13" t="s">
        <v>79</v>
      </c>
      <c r="I114" s="13" t="s">
        <v>80</v>
      </c>
      <c r="J114" s="13" t="s">
        <v>420</v>
      </c>
      <c r="K114" s="14" t="s">
        <v>421</v>
      </c>
      <c r="L114" s="14" t="s">
        <v>112</v>
      </c>
      <c r="M114" s="14" t="s">
        <v>422</v>
      </c>
      <c r="N114" s="14" t="s">
        <v>423</v>
      </c>
      <c r="O114" s="13">
        <v>7</v>
      </c>
      <c r="P114" s="16">
        <v>4800</v>
      </c>
      <c r="Q114" s="13">
        <v>12</v>
      </c>
      <c r="R114" s="13">
        <v>18</v>
      </c>
      <c r="S114" s="16">
        <v>34890</v>
      </c>
      <c r="T114" s="14" t="s">
        <v>142</v>
      </c>
      <c r="U114" s="15" t="s">
        <v>383</v>
      </c>
      <c r="V114" s="217" t="s">
        <v>155</v>
      </c>
    </row>
    <row r="115" spans="1:22" ht="15.75" customHeight="1">
      <c r="A115" s="216" t="s">
        <v>745</v>
      </c>
      <c r="B115" s="18" t="s">
        <v>746</v>
      </c>
      <c r="C115" s="15" t="s">
        <v>747</v>
      </c>
      <c r="D115" s="17" t="s">
        <v>748</v>
      </c>
      <c r="E115" s="18" t="s">
        <v>749</v>
      </c>
      <c r="F115" s="18" t="s">
        <v>750</v>
      </c>
      <c r="G115" s="18" t="s">
        <v>172</v>
      </c>
      <c r="H115" s="17" t="s">
        <v>96</v>
      </c>
      <c r="I115" s="17" t="s">
        <v>63</v>
      </c>
      <c r="J115" s="17" t="s">
        <v>595</v>
      </c>
      <c r="K115" s="18" t="s">
        <v>596</v>
      </c>
      <c r="L115" s="18" t="s">
        <v>112</v>
      </c>
      <c r="M115" s="18" t="s">
        <v>240</v>
      </c>
      <c r="N115" s="18" t="s">
        <v>597</v>
      </c>
      <c r="O115" s="17">
        <v>10</v>
      </c>
      <c r="P115" s="19">
        <v>1200</v>
      </c>
      <c r="Q115" s="17">
        <v>0</v>
      </c>
      <c r="R115" s="17">
        <v>5</v>
      </c>
      <c r="S115" s="19">
        <v>12600</v>
      </c>
      <c r="T115" s="18" t="s">
        <v>153</v>
      </c>
      <c r="U115" s="18" t="s">
        <v>184</v>
      </c>
      <c r="V115" s="219" t="s">
        <v>71</v>
      </c>
    </row>
    <row r="116" spans="1:22" ht="15.75" customHeight="1">
      <c r="A116" s="215" t="s">
        <v>670</v>
      </c>
      <c r="B116" s="14" t="s">
        <v>671</v>
      </c>
      <c r="C116" s="15" t="s">
        <v>253</v>
      </c>
      <c r="D116" s="13" t="s">
        <v>672</v>
      </c>
      <c r="E116" s="14" t="s">
        <v>255</v>
      </c>
      <c r="F116" s="14" t="s">
        <v>673</v>
      </c>
      <c r="G116" s="15" t="s">
        <v>268</v>
      </c>
      <c r="H116" s="13" t="s">
        <v>122</v>
      </c>
      <c r="I116" s="13" t="s">
        <v>123</v>
      </c>
      <c r="J116" s="13" t="s">
        <v>238</v>
      </c>
      <c r="K116" s="14" t="s">
        <v>239</v>
      </c>
      <c r="L116" s="14" t="s">
        <v>112</v>
      </c>
      <c r="M116" s="14" t="s">
        <v>240</v>
      </c>
      <c r="N116" s="14" t="s">
        <v>241</v>
      </c>
      <c r="O116" s="13">
        <v>2</v>
      </c>
      <c r="P116" s="16">
        <v>2500</v>
      </c>
      <c r="Q116" s="13">
        <v>10</v>
      </c>
      <c r="R116" s="13">
        <v>5</v>
      </c>
      <c r="S116" s="16">
        <v>4725</v>
      </c>
      <c r="T116" s="14" t="s">
        <v>102</v>
      </c>
      <c r="U116" s="14" t="s">
        <v>211</v>
      </c>
      <c r="V116" s="217" t="s">
        <v>212</v>
      </c>
    </row>
    <row r="117" spans="1:22" ht="15.75" customHeight="1">
      <c r="A117" s="216" t="s">
        <v>751</v>
      </c>
      <c r="B117" s="18" t="s">
        <v>752</v>
      </c>
      <c r="C117" s="15" t="s">
        <v>317</v>
      </c>
      <c r="D117" s="17" t="s">
        <v>753</v>
      </c>
      <c r="E117" s="18" t="s">
        <v>489</v>
      </c>
      <c r="F117" s="18" t="s">
        <v>754</v>
      </c>
      <c r="G117" s="18" t="s">
        <v>485</v>
      </c>
      <c r="H117" s="17" t="s">
        <v>305</v>
      </c>
      <c r="I117" s="17" t="s">
        <v>306</v>
      </c>
      <c r="J117" s="17" t="s">
        <v>207</v>
      </c>
      <c r="K117" s="18" t="s">
        <v>208</v>
      </c>
      <c r="L117" s="18" t="s">
        <v>99</v>
      </c>
      <c r="M117" s="18" t="s">
        <v>209</v>
      </c>
      <c r="N117" s="18" t="s">
        <v>210</v>
      </c>
      <c r="O117" s="17">
        <v>3</v>
      </c>
      <c r="P117" s="19">
        <v>55000</v>
      </c>
      <c r="Q117" s="17">
        <v>20</v>
      </c>
      <c r="R117" s="17">
        <v>18</v>
      </c>
      <c r="S117" s="19">
        <v>189281</v>
      </c>
      <c r="T117" s="18" t="s">
        <v>115</v>
      </c>
      <c r="U117" s="15" t="s">
        <v>87</v>
      </c>
      <c r="V117" s="218" t="s">
        <v>88</v>
      </c>
    </row>
    <row r="118" spans="1:22" ht="15.75" customHeight="1">
      <c r="A118" s="215" t="s">
        <v>755</v>
      </c>
      <c r="B118" s="14" t="s">
        <v>460</v>
      </c>
      <c r="C118" s="15" t="s">
        <v>147</v>
      </c>
      <c r="D118" s="13" t="s">
        <v>756</v>
      </c>
      <c r="E118" s="14" t="s">
        <v>757</v>
      </c>
      <c r="F118" s="14" t="s">
        <v>758</v>
      </c>
      <c r="G118" s="14" t="s">
        <v>439</v>
      </c>
      <c r="H118" s="13" t="s">
        <v>364</v>
      </c>
      <c r="I118" s="13" t="s">
        <v>63</v>
      </c>
      <c r="J118" s="13" t="s">
        <v>64</v>
      </c>
      <c r="K118" s="14" t="s">
        <v>65</v>
      </c>
      <c r="L118" s="14" t="s">
        <v>66</v>
      </c>
      <c r="M118" s="14" t="s">
        <v>67</v>
      </c>
      <c r="N118" s="14" t="s">
        <v>68</v>
      </c>
      <c r="O118" s="13">
        <v>5</v>
      </c>
      <c r="P118" s="16">
        <v>450</v>
      </c>
      <c r="Q118" s="13">
        <v>8</v>
      </c>
      <c r="R118" s="13">
        <v>5</v>
      </c>
      <c r="S118" s="16">
        <v>2174</v>
      </c>
      <c r="T118" s="14" t="s">
        <v>115</v>
      </c>
      <c r="U118" s="15" t="s">
        <v>174</v>
      </c>
      <c r="V118" s="218" t="s">
        <v>190</v>
      </c>
    </row>
    <row r="119" spans="1:22" ht="15.75" customHeight="1">
      <c r="A119" s="216" t="s">
        <v>759</v>
      </c>
      <c r="B119" s="18" t="s">
        <v>760</v>
      </c>
      <c r="C119" s="15" t="s">
        <v>253</v>
      </c>
      <c r="D119" s="17" t="s">
        <v>761</v>
      </c>
      <c r="E119" s="18" t="s">
        <v>395</v>
      </c>
      <c r="F119" s="18" t="s">
        <v>762</v>
      </c>
      <c r="G119" s="18" t="s">
        <v>439</v>
      </c>
      <c r="H119" s="17" t="s">
        <v>364</v>
      </c>
      <c r="I119" s="17" t="s">
        <v>63</v>
      </c>
      <c r="J119" s="17" t="s">
        <v>110</v>
      </c>
      <c r="K119" s="18" t="s">
        <v>111</v>
      </c>
      <c r="L119" s="18" t="s">
        <v>112</v>
      </c>
      <c r="M119" s="18" t="s">
        <v>113</v>
      </c>
      <c r="N119" s="18" t="s">
        <v>114</v>
      </c>
      <c r="O119" s="17">
        <v>4</v>
      </c>
      <c r="P119" s="19">
        <v>3500</v>
      </c>
      <c r="Q119" s="17">
        <v>12</v>
      </c>
      <c r="R119" s="17">
        <v>18</v>
      </c>
      <c r="S119" s="19">
        <v>14538</v>
      </c>
      <c r="T119" s="18" t="s">
        <v>102</v>
      </c>
      <c r="U119" s="18" t="s">
        <v>288</v>
      </c>
      <c r="V119" s="218" t="s">
        <v>88</v>
      </c>
    </row>
    <row r="120" spans="1:22" ht="15.75" customHeight="1">
      <c r="A120" s="215" t="s">
        <v>763</v>
      </c>
      <c r="B120" s="14" t="s">
        <v>764</v>
      </c>
      <c r="C120" s="14" t="s">
        <v>372</v>
      </c>
      <c r="D120" s="13" t="s">
        <v>765</v>
      </c>
      <c r="E120" s="14" t="s">
        <v>427</v>
      </c>
      <c r="F120" s="14" t="s">
        <v>766</v>
      </c>
      <c r="G120" s="15" t="s">
        <v>407</v>
      </c>
      <c r="H120" s="13" t="s">
        <v>152</v>
      </c>
      <c r="I120" s="13" t="s">
        <v>80</v>
      </c>
      <c r="J120" s="13" t="s">
        <v>64</v>
      </c>
      <c r="K120" s="14" t="s">
        <v>65</v>
      </c>
      <c r="L120" s="14" t="s">
        <v>66</v>
      </c>
      <c r="M120" s="14" t="s">
        <v>67</v>
      </c>
      <c r="N120" s="14" t="s">
        <v>68</v>
      </c>
      <c r="O120" s="13">
        <v>6</v>
      </c>
      <c r="P120" s="16">
        <v>450</v>
      </c>
      <c r="Q120" s="13">
        <v>15</v>
      </c>
      <c r="R120" s="13">
        <v>5</v>
      </c>
      <c r="S120" s="16">
        <v>2410</v>
      </c>
      <c r="T120" s="14" t="s">
        <v>153</v>
      </c>
      <c r="U120" s="14" t="s">
        <v>211</v>
      </c>
      <c r="V120" s="217" t="s">
        <v>212</v>
      </c>
    </row>
    <row r="121" spans="1:22" ht="15.75" customHeight="1">
      <c r="A121" s="216" t="s">
        <v>767</v>
      </c>
      <c r="B121" s="18" t="s">
        <v>768</v>
      </c>
      <c r="C121" s="15" t="s">
        <v>193</v>
      </c>
      <c r="D121" s="17" t="s">
        <v>769</v>
      </c>
      <c r="E121" s="18" t="s">
        <v>195</v>
      </c>
      <c r="F121" s="18" t="s">
        <v>770</v>
      </c>
      <c r="G121" s="18" t="s">
        <v>172</v>
      </c>
      <c r="H121" s="17" t="s">
        <v>96</v>
      </c>
      <c r="I121" s="17" t="s">
        <v>63</v>
      </c>
      <c r="J121" s="17" t="s">
        <v>376</v>
      </c>
      <c r="K121" s="18" t="s">
        <v>377</v>
      </c>
      <c r="L121" s="18" t="s">
        <v>112</v>
      </c>
      <c r="M121" s="18" t="s">
        <v>113</v>
      </c>
      <c r="N121" s="18" t="s">
        <v>378</v>
      </c>
      <c r="O121" s="17">
        <v>5</v>
      </c>
      <c r="P121" s="19">
        <v>8500</v>
      </c>
      <c r="Q121" s="17">
        <v>15</v>
      </c>
      <c r="R121" s="17">
        <v>18</v>
      </c>
      <c r="S121" s="19">
        <v>42628</v>
      </c>
      <c r="T121" s="18" t="s">
        <v>102</v>
      </c>
      <c r="U121" s="15" t="s">
        <v>154</v>
      </c>
      <c r="V121" s="219" t="s">
        <v>212</v>
      </c>
    </row>
    <row r="122" spans="1:22" ht="15.75" customHeight="1">
      <c r="A122" s="215" t="s">
        <v>771</v>
      </c>
      <c r="B122" s="14" t="s">
        <v>214</v>
      </c>
      <c r="C122" s="15" t="s">
        <v>57</v>
      </c>
      <c r="D122" s="13" t="s">
        <v>772</v>
      </c>
      <c r="E122" s="14" t="s">
        <v>59</v>
      </c>
      <c r="F122" s="14" t="s">
        <v>773</v>
      </c>
      <c r="G122" s="14" t="s">
        <v>341</v>
      </c>
      <c r="H122" s="13" t="s">
        <v>62</v>
      </c>
      <c r="I122" s="13" t="s">
        <v>63</v>
      </c>
      <c r="J122" s="13" t="s">
        <v>219</v>
      </c>
      <c r="K122" s="14" t="s">
        <v>220</v>
      </c>
      <c r="L122" s="14" t="s">
        <v>99</v>
      </c>
      <c r="M122" s="14" t="s">
        <v>100</v>
      </c>
      <c r="N122" s="14" t="s">
        <v>221</v>
      </c>
      <c r="O122" s="13">
        <v>3</v>
      </c>
      <c r="P122" s="16">
        <v>89000</v>
      </c>
      <c r="Q122" s="13">
        <v>12</v>
      </c>
      <c r="R122" s="13">
        <v>18</v>
      </c>
      <c r="S122" s="16">
        <v>277253</v>
      </c>
      <c r="T122" s="14" t="s">
        <v>127</v>
      </c>
      <c r="U122" s="14" t="s">
        <v>143</v>
      </c>
      <c r="V122" s="217" t="s">
        <v>155</v>
      </c>
    </row>
    <row r="123" spans="1:22" ht="15.75" customHeight="1">
      <c r="A123" s="216" t="s">
        <v>774</v>
      </c>
      <c r="B123" s="18" t="s">
        <v>621</v>
      </c>
      <c r="C123" s="18" t="s">
        <v>482</v>
      </c>
      <c r="D123" s="17" t="s">
        <v>775</v>
      </c>
      <c r="E123" s="18" t="s">
        <v>776</v>
      </c>
      <c r="F123" s="18" t="s">
        <v>777</v>
      </c>
      <c r="G123" s="15" t="s">
        <v>407</v>
      </c>
      <c r="H123" s="17" t="s">
        <v>152</v>
      </c>
      <c r="I123" s="17" t="s">
        <v>80</v>
      </c>
      <c r="J123" s="17" t="s">
        <v>197</v>
      </c>
      <c r="K123" s="18" t="s">
        <v>198</v>
      </c>
      <c r="L123" s="18" t="s">
        <v>66</v>
      </c>
      <c r="M123" s="18" t="s">
        <v>199</v>
      </c>
      <c r="N123" s="18" t="s">
        <v>200</v>
      </c>
      <c r="O123" s="17">
        <v>2</v>
      </c>
      <c r="P123" s="19">
        <v>50</v>
      </c>
      <c r="Q123" s="17">
        <v>0</v>
      </c>
      <c r="R123" s="17">
        <v>5</v>
      </c>
      <c r="S123" s="19">
        <v>105</v>
      </c>
      <c r="T123" s="18" t="s">
        <v>142</v>
      </c>
      <c r="U123" s="15" t="s">
        <v>383</v>
      </c>
      <c r="V123" s="218" t="s">
        <v>250</v>
      </c>
    </row>
    <row r="124" spans="1:22" ht="15.75" customHeight="1">
      <c r="A124" s="215" t="s">
        <v>778</v>
      </c>
      <c r="B124" s="14" t="s">
        <v>779</v>
      </c>
      <c r="C124" s="15" t="s">
        <v>522</v>
      </c>
      <c r="D124" s="13" t="s">
        <v>780</v>
      </c>
      <c r="E124" s="14" t="s">
        <v>76</v>
      </c>
      <c r="F124" s="14" t="s">
        <v>781</v>
      </c>
      <c r="G124" s="14" t="s">
        <v>744</v>
      </c>
      <c r="H124" s="13" t="s">
        <v>79</v>
      </c>
      <c r="I124" s="13" t="s">
        <v>80</v>
      </c>
      <c r="J124" s="13" t="s">
        <v>347</v>
      </c>
      <c r="K124" s="14" t="s">
        <v>348</v>
      </c>
      <c r="L124" s="14" t="s">
        <v>139</v>
      </c>
      <c r="M124" s="14" t="s">
        <v>349</v>
      </c>
      <c r="N124" s="14" t="s">
        <v>350</v>
      </c>
      <c r="O124" s="13">
        <v>2</v>
      </c>
      <c r="P124" s="16">
        <v>3200</v>
      </c>
      <c r="Q124" s="13">
        <v>0</v>
      </c>
      <c r="R124" s="13">
        <v>18</v>
      </c>
      <c r="S124" s="16">
        <v>7552</v>
      </c>
      <c r="T124" s="14" t="s">
        <v>127</v>
      </c>
      <c r="U124" s="14" t="s">
        <v>288</v>
      </c>
      <c r="V124" s="218" t="s">
        <v>190</v>
      </c>
    </row>
    <row r="125" spans="1:22" ht="15.75" customHeight="1">
      <c r="A125" s="216" t="s">
        <v>782</v>
      </c>
      <c r="B125" s="18" t="s">
        <v>398</v>
      </c>
      <c r="C125" s="15" t="s">
        <v>244</v>
      </c>
      <c r="D125" s="17" t="s">
        <v>783</v>
      </c>
      <c r="E125" s="18" t="s">
        <v>784</v>
      </c>
      <c r="F125" s="18" t="s">
        <v>785</v>
      </c>
      <c r="G125" s="18" t="s">
        <v>744</v>
      </c>
      <c r="H125" s="17" t="s">
        <v>79</v>
      </c>
      <c r="I125" s="17" t="s">
        <v>80</v>
      </c>
      <c r="J125" s="17" t="s">
        <v>110</v>
      </c>
      <c r="K125" s="18" t="s">
        <v>111</v>
      </c>
      <c r="L125" s="18" t="s">
        <v>112</v>
      </c>
      <c r="M125" s="18" t="s">
        <v>113</v>
      </c>
      <c r="N125" s="18" t="s">
        <v>114</v>
      </c>
      <c r="O125" s="17">
        <v>9</v>
      </c>
      <c r="P125" s="20"/>
      <c r="Q125" s="17">
        <v>10</v>
      </c>
      <c r="R125" s="17">
        <v>18</v>
      </c>
      <c r="S125" s="19">
        <v>0</v>
      </c>
      <c r="T125" s="18" t="s">
        <v>465</v>
      </c>
      <c r="U125" s="15" t="s">
        <v>383</v>
      </c>
      <c r="V125" s="219" t="s">
        <v>155</v>
      </c>
    </row>
    <row r="126" spans="1:22" ht="15.75" customHeight="1">
      <c r="A126" s="215" t="s">
        <v>786</v>
      </c>
      <c r="B126" s="14" t="s">
        <v>787</v>
      </c>
      <c r="C126" s="15" t="s">
        <v>522</v>
      </c>
      <c r="D126" s="13" t="s">
        <v>788</v>
      </c>
      <c r="E126" s="14" t="s">
        <v>789</v>
      </c>
      <c r="F126" s="14" t="s">
        <v>790</v>
      </c>
      <c r="G126" s="15" t="s">
        <v>407</v>
      </c>
      <c r="H126" s="13" t="s">
        <v>152</v>
      </c>
      <c r="I126" s="13" t="s">
        <v>80</v>
      </c>
      <c r="J126" s="13" t="s">
        <v>389</v>
      </c>
      <c r="K126" s="14" t="s">
        <v>390</v>
      </c>
      <c r="L126" s="14" t="s">
        <v>99</v>
      </c>
      <c r="M126" s="14" t="s">
        <v>164</v>
      </c>
      <c r="N126" s="14" t="s">
        <v>391</v>
      </c>
      <c r="O126" s="13">
        <v>9</v>
      </c>
      <c r="P126" s="16">
        <v>1500</v>
      </c>
      <c r="Q126" s="13">
        <v>5</v>
      </c>
      <c r="R126" s="13">
        <v>18</v>
      </c>
      <c r="S126" s="16">
        <v>15134</v>
      </c>
      <c r="T126" s="14" t="s">
        <v>326</v>
      </c>
      <c r="U126" s="15" t="s">
        <v>87</v>
      </c>
      <c r="V126" s="217" t="s">
        <v>155</v>
      </c>
    </row>
    <row r="127" spans="1:22" ht="15.75" customHeight="1">
      <c r="A127" s="216" t="s">
        <v>791</v>
      </c>
      <c r="B127" s="18" t="s">
        <v>792</v>
      </c>
      <c r="C127" s="15" t="s">
        <v>605</v>
      </c>
      <c r="D127" s="17" t="s">
        <v>793</v>
      </c>
      <c r="E127" s="18" t="s">
        <v>794</v>
      </c>
      <c r="F127" s="15"/>
      <c r="G127" s="18" t="s">
        <v>248</v>
      </c>
      <c r="H127" s="17" t="s">
        <v>249</v>
      </c>
      <c r="I127" s="17" t="s">
        <v>123</v>
      </c>
      <c r="J127" s="17" t="s">
        <v>64</v>
      </c>
      <c r="K127" s="18" t="s">
        <v>65</v>
      </c>
      <c r="L127" s="18" t="s">
        <v>66</v>
      </c>
      <c r="M127" s="18" t="s">
        <v>67</v>
      </c>
      <c r="N127" s="18" t="s">
        <v>68</v>
      </c>
      <c r="O127" s="17">
        <v>3</v>
      </c>
      <c r="P127" s="19">
        <v>450</v>
      </c>
      <c r="Q127" s="17">
        <v>15</v>
      </c>
      <c r="R127" s="17">
        <v>5</v>
      </c>
      <c r="S127" s="19">
        <v>1205</v>
      </c>
      <c r="T127" s="18" t="s">
        <v>127</v>
      </c>
      <c r="U127" s="18" t="s">
        <v>143</v>
      </c>
      <c r="V127" s="219" t="s">
        <v>212</v>
      </c>
    </row>
    <row r="128" spans="1:22" ht="15.75" customHeight="1">
      <c r="A128" s="215" t="s">
        <v>795</v>
      </c>
      <c r="B128" s="14" t="s">
        <v>796</v>
      </c>
      <c r="C128" s="15" t="s">
        <v>605</v>
      </c>
      <c r="D128" s="13" t="s">
        <v>797</v>
      </c>
      <c r="E128" s="14" t="s">
        <v>798</v>
      </c>
      <c r="F128" s="14" t="s">
        <v>799</v>
      </c>
      <c r="G128" s="14" t="s">
        <v>439</v>
      </c>
      <c r="H128" s="13" t="s">
        <v>364</v>
      </c>
      <c r="I128" s="13" t="s">
        <v>63</v>
      </c>
      <c r="J128" s="13" t="s">
        <v>64</v>
      </c>
      <c r="K128" s="14" t="s">
        <v>65</v>
      </c>
      <c r="L128" s="14" t="s">
        <v>66</v>
      </c>
      <c r="M128" s="14" t="s">
        <v>67</v>
      </c>
      <c r="N128" s="14" t="s">
        <v>68</v>
      </c>
      <c r="O128" s="13">
        <v>3</v>
      </c>
      <c r="P128" s="16">
        <v>450</v>
      </c>
      <c r="Q128" s="13">
        <v>10</v>
      </c>
      <c r="R128" s="13">
        <v>5</v>
      </c>
      <c r="S128" s="16">
        <v>1276</v>
      </c>
      <c r="T128" s="14" t="s">
        <v>153</v>
      </c>
      <c r="U128" s="14" t="s">
        <v>211</v>
      </c>
      <c r="V128" s="217" t="s">
        <v>155</v>
      </c>
    </row>
    <row r="129" spans="1:22" ht="15.75" customHeight="1">
      <c r="A129" s="216" t="s">
        <v>800</v>
      </c>
      <c r="B129" s="18" t="s">
        <v>801</v>
      </c>
      <c r="C129" s="18" t="s">
        <v>461</v>
      </c>
      <c r="D129" s="17" t="s">
        <v>802</v>
      </c>
      <c r="E129" s="18" t="s">
        <v>803</v>
      </c>
      <c r="F129" s="18" t="s">
        <v>804</v>
      </c>
      <c r="G129" s="15" t="s">
        <v>274</v>
      </c>
      <c r="H129" s="17" t="s">
        <v>96</v>
      </c>
      <c r="I129" s="17" t="s">
        <v>63</v>
      </c>
      <c r="J129" s="17" t="s">
        <v>491</v>
      </c>
      <c r="K129" s="18" t="s">
        <v>492</v>
      </c>
      <c r="L129" s="15" t="s">
        <v>805</v>
      </c>
      <c r="M129" s="18" t="s">
        <v>493</v>
      </c>
      <c r="N129" s="18" t="s">
        <v>494</v>
      </c>
      <c r="O129" s="17">
        <v>2</v>
      </c>
      <c r="P129" s="19">
        <v>4500</v>
      </c>
      <c r="Q129" s="17">
        <v>25</v>
      </c>
      <c r="R129" s="17">
        <v>5</v>
      </c>
      <c r="S129" s="19">
        <v>7088</v>
      </c>
      <c r="T129" s="18" t="s">
        <v>69</v>
      </c>
      <c r="U129" s="15" t="s">
        <v>174</v>
      </c>
      <c r="V129" s="219" t="s">
        <v>155</v>
      </c>
    </row>
    <row r="130" spans="1:22" ht="15.75" customHeight="1">
      <c r="A130" s="215" t="s">
        <v>806</v>
      </c>
      <c r="B130" s="14" t="s">
        <v>807</v>
      </c>
      <c r="C130" s="14" t="s">
        <v>131</v>
      </c>
      <c r="D130" s="13" t="s">
        <v>808</v>
      </c>
      <c r="E130" s="14" t="s">
        <v>133</v>
      </c>
      <c r="F130" s="14" t="s">
        <v>809</v>
      </c>
      <c r="G130" s="14" t="s">
        <v>228</v>
      </c>
      <c r="H130" s="13" t="s">
        <v>152</v>
      </c>
      <c r="I130" s="13" t="s">
        <v>80</v>
      </c>
      <c r="J130" s="13" t="s">
        <v>124</v>
      </c>
      <c r="K130" s="14" t="s">
        <v>125</v>
      </c>
      <c r="L130" s="14" t="s">
        <v>99</v>
      </c>
      <c r="M130" s="14" t="s">
        <v>100</v>
      </c>
      <c r="N130" s="14" t="s">
        <v>126</v>
      </c>
      <c r="O130" s="13">
        <v>1</v>
      </c>
      <c r="P130" s="16">
        <v>14000</v>
      </c>
      <c r="Q130" s="13">
        <v>10</v>
      </c>
      <c r="R130" s="13">
        <v>18</v>
      </c>
      <c r="S130" s="16">
        <v>14868</v>
      </c>
      <c r="T130" s="14" t="s">
        <v>69</v>
      </c>
      <c r="U130" s="15" t="s">
        <v>383</v>
      </c>
      <c r="V130" s="217" t="s">
        <v>71</v>
      </c>
    </row>
    <row r="131" spans="1:22" ht="15.75" customHeight="1">
      <c r="A131" s="216" t="s">
        <v>810</v>
      </c>
      <c r="B131" s="18" t="s">
        <v>811</v>
      </c>
      <c r="C131" s="15" t="s">
        <v>271</v>
      </c>
      <c r="D131" s="17" t="s">
        <v>812</v>
      </c>
      <c r="E131" s="18" t="s">
        <v>273</v>
      </c>
      <c r="F131" s="18" t="s">
        <v>813</v>
      </c>
      <c r="G131" s="18" t="s">
        <v>248</v>
      </c>
      <c r="H131" s="17" t="s">
        <v>249</v>
      </c>
      <c r="I131" s="17" t="s">
        <v>123</v>
      </c>
      <c r="J131" s="17" t="s">
        <v>275</v>
      </c>
      <c r="K131" s="18" t="s">
        <v>276</v>
      </c>
      <c r="L131" s="18" t="s">
        <v>99</v>
      </c>
      <c r="M131" s="18" t="s">
        <v>277</v>
      </c>
      <c r="N131" s="18" t="s">
        <v>126</v>
      </c>
      <c r="O131" s="17">
        <v>9</v>
      </c>
      <c r="P131" s="19">
        <v>35000</v>
      </c>
      <c r="Q131" s="17">
        <v>10</v>
      </c>
      <c r="R131" s="17">
        <v>18</v>
      </c>
      <c r="S131" s="19">
        <v>334530</v>
      </c>
      <c r="T131" s="18" t="s">
        <v>465</v>
      </c>
      <c r="U131" s="18" t="s">
        <v>70</v>
      </c>
      <c r="V131" s="218" t="s">
        <v>250</v>
      </c>
    </row>
    <row r="132" spans="1:22" ht="15.75" customHeight="1">
      <c r="A132" s="215" t="s">
        <v>678</v>
      </c>
      <c r="B132" s="14" t="s">
        <v>679</v>
      </c>
      <c r="C132" s="14" t="s">
        <v>106</v>
      </c>
      <c r="D132" s="13" t="s">
        <v>680</v>
      </c>
      <c r="E132" s="14" t="s">
        <v>281</v>
      </c>
      <c r="F132" s="15"/>
      <c r="G132" s="14" t="s">
        <v>122</v>
      </c>
      <c r="H132" s="13" t="s">
        <v>122</v>
      </c>
      <c r="I132" s="13" t="s">
        <v>123</v>
      </c>
      <c r="J132" s="13" t="s">
        <v>110</v>
      </c>
      <c r="K132" s="14" t="s">
        <v>111</v>
      </c>
      <c r="L132" s="14" t="s">
        <v>112</v>
      </c>
      <c r="M132" s="14" t="s">
        <v>113</v>
      </c>
      <c r="N132" s="14" t="s">
        <v>114</v>
      </c>
      <c r="O132" s="13">
        <v>6</v>
      </c>
      <c r="P132" s="16">
        <v>3500</v>
      </c>
      <c r="Q132" s="13">
        <v>5</v>
      </c>
      <c r="R132" s="13">
        <v>18</v>
      </c>
      <c r="S132" s="16">
        <v>23541</v>
      </c>
      <c r="T132" s="14" t="s">
        <v>69</v>
      </c>
      <c r="U132" s="14" t="s">
        <v>70</v>
      </c>
      <c r="V132" s="217" t="s">
        <v>212</v>
      </c>
    </row>
    <row r="133" spans="1:22" ht="15.75" customHeight="1">
      <c r="A133" s="216" t="s">
        <v>814</v>
      </c>
      <c r="B133" s="18" t="s">
        <v>675</v>
      </c>
      <c r="C133" s="18" t="s">
        <v>627</v>
      </c>
      <c r="D133" s="17" t="s">
        <v>815</v>
      </c>
      <c r="E133" s="18" t="s">
        <v>76</v>
      </c>
      <c r="F133" s="18" t="s">
        <v>816</v>
      </c>
      <c r="G133" s="18" t="s">
        <v>61</v>
      </c>
      <c r="H133" s="17" t="s">
        <v>62</v>
      </c>
      <c r="I133" s="17" t="s">
        <v>63</v>
      </c>
      <c r="J133" s="17" t="s">
        <v>197</v>
      </c>
      <c r="K133" s="18" t="s">
        <v>198</v>
      </c>
      <c r="L133" s="18" t="s">
        <v>66</v>
      </c>
      <c r="M133" s="18" t="s">
        <v>199</v>
      </c>
      <c r="N133" s="18" t="s">
        <v>200</v>
      </c>
      <c r="O133" s="17">
        <v>8</v>
      </c>
      <c r="P133" s="20"/>
      <c r="Q133" s="20" t="s">
        <v>817</v>
      </c>
      <c r="R133" s="17">
        <v>5</v>
      </c>
      <c r="S133" s="20"/>
      <c r="T133" s="18" t="s">
        <v>413</v>
      </c>
      <c r="U133" s="18" t="s">
        <v>184</v>
      </c>
      <c r="V133" s="218" t="s">
        <v>190</v>
      </c>
    </row>
    <row r="134" spans="1:22" ht="15.75" customHeight="1">
      <c r="A134" s="215" t="s">
        <v>818</v>
      </c>
      <c r="B134" s="14" t="s">
        <v>819</v>
      </c>
      <c r="C134" s="15" t="s">
        <v>57</v>
      </c>
      <c r="D134" s="13" t="s">
        <v>820</v>
      </c>
      <c r="E134" s="14" t="s">
        <v>821</v>
      </c>
      <c r="F134" s="14" t="s">
        <v>822</v>
      </c>
      <c r="G134" s="15" t="s">
        <v>268</v>
      </c>
      <c r="H134" s="13" t="s">
        <v>122</v>
      </c>
      <c r="I134" s="13" t="s">
        <v>123</v>
      </c>
      <c r="J134" s="13" t="s">
        <v>491</v>
      </c>
      <c r="K134" s="14" t="s">
        <v>492</v>
      </c>
      <c r="L134" s="14" t="s">
        <v>112</v>
      </c>
      <c r="M134" s="14" t="s">
        <v>493</v>
      </c>
      <c r="N134" s="14" t="s">
        <v>494</v>
      </c>
      <c r="O134" s="13">
        <v>5</v>
      </c>
      <c r="P134" s="16">
        <v>4500</v>
      </c>
      <c r="Q134" s="13">
        <v>25</v>
      </c>
      <c r="R134" s="13">
        <v>5</v>
      </c>
      <c r="S134" s="16">
        <v>17719</v>
      </c>
      <c r="T134" s="14" t="s">
        <v>326</v>
      </c>
      <c r="U134" s="15" t="s">
        <v>383</v>
      </c>
      <c r="V134" s="218" t="s">
        <v>88</v>
      </c>
    </row>
    <row r="135" spans="1:22" ht="15.75" customHeight="1">
      <c r="A135" s="216" t="s">
        <v>823</v>
      </c>
      <c r="B135" s="18" t="s">
        <v>824</v>
      </c>
      <c r="C135" s="15" t="s">
        <v>825</v>
      </c>
      <c r="D135" s="17" t="s">
        <v>826</v>
      </c>
      <c r="E135" s="18" t="s">
        <v>827</v>
      </c>
      <c r="F135" s="18" t="s">
        <v>828</v>
      </c>
      <c r="G135" s="18" t="s">
        <v>333</v>
      </c>
      <c r="H135" s="17" t="s">
        <v>334</v>
      </c>
      <c r="I135" s="17" t="s">
        <v>63</v>
      </c>
      <c r="J135" s="17" t="s">
        <v>81</v>
      </c>
      <c r="K135" s="18" t="s">
        <v>82</v>
      </c>
      <c r="L135" s="18" t="s">
        <v>83</v>
      </c>
      <c r="M135" s="18" t="s">
        <v>84</v>
      </c>
      <c r="N135" s="18" t="s">
        <v>85</v>
      </c>
      <c r="O135" s="17">
        <v>10</v>
      </c>
      <c r="P135" s="19">
        <v>25000</v>
      </c>
      <c r="Q135" s="17">
        <v>5</v>
      </c>
      <c r="R135" s="17">
        <v>3</v>
      </c>
      <c r="S135" s="19">
        <v>244625</v>
      </c>
      <c r="T135" s="18" t="s">
        <v>153</v>
      </c>
      <c r="U135" s="15" t="s">
        <v>154</v>
      </c>
      <c r="V135" s="218" t="s">
        <v>190</v>
      </c>
    </row>
    <row r="136" spans="1:22" ht="15.75" customHeight="1">
      <c r="A136" s="215" t="s">
        <v>829</v>
      </c>
      <c r="B136" s="14" t="s">
        <v>830</v>
      </c>
      <c r="C136" s="15" t="s">
        <v>253</v>
      </c>
      <c r="D136" s="13" t="s">
        <v>831</v>
      </c>
      <c r="E136" s="14" t="s">
        <v>832</v>
      </c>
      <c r="F136" s="14" t="s">
        <v>833</v>
      </c>
      <c r="G136" s="14" t="s">
        <v>61</v>
      </c>
      <c r="H136" s="13" t="s">
        <v>62</v>
      </c>
      <c r="I136" s="20" t="s">
        <v>834</v>
      </c>
      <c r="J136" s="13" t="s">
        <v>162</v>
      </c>
      <c r="K136" s="14" t="s">
        <v>163</v>
      </c>
      <c r="L136" s="14" t="s">
        <v>99</v>
      </c>
      <c r="M136" s="14" t="s">
        <v>164</v>
      </c>
      <c r="N136" s="14" t="s">
        <v>165</v>
      </c>
      <c r="O136" s="13">
        <v>6</v>
      </c>
      <c r="P136" s="16">
        <v>2800</v>
      </c>
      <c r="Q136" s="13">
        <v>10</v>
      </c>
      <c r="R136" s="13">
        <v>18</v>
      </c>
      <c r="S136" s="16">
        <v>17842</v>
      </c>
      <c r="T136" s="14" t="s">
        <v>127</v>
      </c>
      <c r="U136" s="14" t="s">
        <v>211</v>
      </c>
      <c r="V136" s="218" t="s">
        <v>190</v>
      </c>
    </row>
    <row r="137" spans="1:22" ht="15.75" customHeight="1">
      <c r="A137" s="216" t="s">
        <v>835</v>
      </c>
      <c r="B137" s="18" t="s">
        <v>836</v>
      </c>
      <c r="C137" s="15" t="s">
        <v>447</v>
      </c>
      <c r="D137" s="17" t="s">
        <v>837</v>
      </c>
      <c r="E137" s="18" t="s">
        <v>838</v>
      </c>
      <c r="F137" s="18" t="s">
        <v>839</v>
      </c>
      <c r="G137" s="18" t="s">
        <v>122</v>
      </c>
      <c r="H137" s="17" t="s">
        <v>122</v>
      </c>
      <c r="I137" s="17" t="s">
        <v>123</v>
      </c>
      <c r="J137" s="17" t="s">
        <v>124</v>
      </c>
      <c r="K137" s="18" t="s">
        <v>125</v>
      </c>
      <c r="L137" s="18" t="s">
        <v>99</v>
      </c>
      <c r="M137" s="18" t="s">
        <v>100</v>
      </c>
      <c r="N137" s="18" t="s">
        <v>126</v>
      </c>
      <c r="O137" s="17">
        <v>10</v>
      </c>
      <c r="P137" s="19">
        <v>14000</v>
      </c>
      <c r="Q137" s="17">
        <v>10</v>
      </c>
      <c r="R137" s="17">
        <v>18</v>
      </c>
      <c r="S137" s="19">
        <v>148680</v>
      </c>
      <c r="T137" s="18" t="s">
        <v>183</v>
      </c>
      <c r="U137" s="18" t="s">
        <v>288</v>
      </c>
      <c r="V137" s="218" t="s">
        <v>201</v>
      </c>
    </row>
    <row r="138" spans="1:22" ht="15.75" customHeight="1">
      <c r="A138" s="215" t="s">
        <v>840</v>
      </c>
      <c r="B138" s="14" t="s">
        <v>841</v>
      </c>
      <c r="C138" s="15" t="s">
        <v>842</v>
      </c>
      <c r="D138" s="13" t="s">
        <v>843</v>
      </c>
      <c r="E138" s="14" t="s">
        <v>844</v>
      </c>
      <c r="F138" s="14" t="s">
        <v>845</v>
      </c>
      <c r="G138" s="14" t="s">
        <v>135</v>
      </c>
      <c r="H138" s="13" t="s">
        <v>136</v>
      </c>
      <c r="I138" s="20" t="s">
        <v>576</v>
      </c>
      <c r="J138" s="13" t="s">
        <v>365</v>
      </c>
      <c r="K138" s="14" t="s">
        <v>366</v>
      </c>
      <c r="L138" s="14" t="s">
        <v>112</v>
      </c>
      <c r="M138" s="14" t="s">
        <v>367</v>
      </c>
      <c r="N138" s="14" t="s">
        <v>368</v>
      </c>
      <c r="O138" s="13">
        <v>4</v>
      </c>
      <c r="P138" s="16">
        <v>3500</v>
      </c>
      <c r="Q138" s="13">
        <v>12</v>
      </c>
      <c r="R138" s="13">
        <v>5</v>
      </c>
      <c r="S138" s="16">
        <v>12936</v>
      </c>
      <c r="T138" s="14" t="s">
        <v>127</v>
      </c>
      <c r="U138" s="14" t="s">
        <v>143</v>
      </c>
      <c r="V138" s="217" t="s">
        <v>144</v>
      </c>
    </row>
    <row r="139" spans="1:22" ht="15.75" customHeight="1">
      <c r="A139" s="216" t="s">
        <v>846</v>
      </c>
      <c r="B139" s="18" t="s">
        <v>847</v>
      </c>
      <c r="C139" s="18" t="s">
        <v>728</v>
      </c>
      <c r="D139" s="17" t="s">
        <v>848</v>
      </c>
      <c r="E139" s="18" t="s">
        <v>849</v>
      </c>
      <c r="F139" s="18" t="s">
        <v>850</v>
      </c>
      <c r="G139" s="18" t="s">
        <v>341</v>
      </c>
      <c r="H139" s="17" t="s">
        <v>62</v>
      </c>
      <c r="I139" s="17" t="s">
        <v>63</v>
      </c>
      <c r="J139" s="17" t="s">
        <v>207</v>
      </c>
      <c r="K139" s="18" t="s">
        <v>208</v>
      </c>
      <c r="L139" s="18" t="s">
        <v>99</v>
      </c>
      <c r="M139" s="18" t="s">
        <v>209</v>
      </c>
      <c r="N139" s="18" t="s">
        <v>210</v>
      </c>
      <c r="O139" s="17">
        <v>6</v>
      </c>
      <c r="P139" s="19">
        <v>55000</v>
      </c>
      <c r="Q139" s="17">
        <v>0</v>
      </c>
      <c r="R139" s="17">
        <v>18</v>
      </c>
      <c r="S139" s="19">
        <v>389400</v>
      </c>
      <c r="T139" s="18" t="s">
        <v>183</v>
      </c>
      <c r="U139" s="15" t="s">
        <v>154</v>
      </c>
      <c r="V139" s="219" t="s">
        <v>71</v>
      </c>
    </row>
    <row r="140" spans="1:22" ht="15.75" customHeight="1">
      <c r="A140" s="215" t="s">
        <v>851</v>
      </c>
      <c r="B140" s="14" t="s">
        <v>852</v>
      </c>
      <c r="C140" s="15" t="s">
        <v>193</v>
      </c>
      <c r="D140" s="13" t="s">
        <v>853</v>
      </c>
      <c r="E140" s="14" t="s">
        <v>854</v>
      </c>
      <c r="F140" s="14" t="s">
        <v>855</v>
      </c>
      <c r="G140" s="15" t="s">
        <v>274</v>
      </c>
      <c r="H140" s="13" t="s">
        <v>96</v>
      </c>
      <c r="I140" s="13" t="s">
        <v>63</v>
      </c>
      <c r="J140" s="13" t="s">
        <v>110</v>
      </c>
      <c r="K140" s="14" t="s">
        <v>111</v>
      </c>
      <c r="L140" s="14" t="s">
        <v>112</v>
      </c>
      <c r="M140" s="14" t="s">
        <v>113</v>
      </c>
      <c r="N140" s="14" t="s">
        <v>114</v>
      </c>
      <c r="O140" s="13">
        <v>3</v>
      </c>
      <c r="P140" s="16">
        <v>3500</v>
      </c>
      <c r="Q140" s="13">
        <v>0</v>
      </c>
      <c r="R140" s="13">
        <v>18</v>
      </c>
      <c r="S140" s="16">
        <v>12390</v>
      </c>
      <c r="T140" s="14" t="s">
        <v>102</v>
      </c>
      <c r="U140" s="14" t="s">
        <v>184</v>
      </c>
      <c r="V140" s="218" t="s">
        <v>201</v>
      </c>
    </row>
    <row r="141" spans="1:22" ht="15.75" customHeight="1">
      <c r="A141" s="216" t="s">
        <v>856</v>
      </c>
      <c r="B141" s="18" t="s">
        <v>857</v>
      </c>
      <c r="C141" s="15" t="s">
        <v>329</v>
      </c>
      <c r="D141" s="17" t="s">
        <v>858</v>
      </c>
      <c r="E141" s="18" t="s">
        <v>537</v>
      </c>
      <c r="F141" s="18" t="s">
        <v>859</v>
      </c>
      <c r="G141" s="18" t="s">
        <v>341</v>
      </c>
      <c r="H141" s="17" t="s">
        <v>62</v>
      </c>
      <c r="I141" s="17" t="s">
        <v>63</v>
      </c>
      <c r="J141" s="17" t="s">
        <v>275</v>
      </c>
      <c r="K141" s="18" t="s">
        <v>276</v>
      </c>
      <c r="L141" s="18" t="s">
        <v>99</v>
      </c>
      <c r="M141" s="18" t="s">
        <v>277</v>
      </c>
      <c r="N141" s="18" t="s">
        <v>126</v>
      </c>
      <c r="O141" s="17">
        <v>7</v>
      </c>
      <c r="P141" s="19">
        <v>35000</v>
      </c>
      <c r="Q141" s="17">
        <v>5</v>
      </c>
      <c r="R141" s="17">
        <v>18</v>
      </c>
      <c r="S141" s="19">
        <v>274645</v>
      </c>
      <c r="T141" s="18" t="s">
        <v>127</v>
      </c>
      <c r="U141" s="15" t="s">
        <v>103</v>
      </c>
      <c r="V141" s="218" t="s">
        <v>190</v>
      </c>
    </row>
    <row r="142" spans="1:22" ht="15.75" customHeight="1">
      <c r="A142" s="215" t="s">
        <v>860</v>
      </c>
      <c r="B142" s="14" t="s">
        <v>861</v>
      </c>
      <c r="C142" s="14" t="s">
        <v>264</v>
      </c>
      <c r="D142" s="13" t="s">
        <v>862</v>
      </c>
      <c r="E142" s="14" t="s">
        <v>266</v>
      </c>
      <c r="F142" s="14" t="s">
        <v>863</v>
      </c>
      <c r="G142" s="14" t="s">
        <v>333</v>
      </c>
      <c r="H142" s="13" t="s">
        <v>334</v>
      </c>
      <c r="I142" s="13" t="s">
        <v>63</v>
      </c>
      <c r="J142" s="13" t="s">
        <v>124</v>
      </c>
      <c r="K142" s="14" t="s">
        <v>125</v>
      </c>
      <c r="L142" s="14" t="s">
        <v>99</v>
      </c>
      <c r="M142" s="14" t="s">
        <v>100</v>
      </c>
      <c r="N142" s="14" t="s">
        <v>126</v>
      </c>
      <c r="O142" s="13">
        <v>4</v>
      </c>
      <c r="P142" s="16">
        <v>14000</v>
      </c>
      <c r="Q142" s="13">
        <v>15</v>
      </c>
      <c r="R142" s="13">
        <v>18</v>
      </c>
      <c r="S142" s="16">
        <v>56168</v>
      </c>
      <c r="T142" s="14" t="s">
        <v>142</v>
      </c>
      <c r="U142" s="15" t="s">
        <v>154</v>
      </c>
      <c r="V142" s="217" t="s">
        <v>212</v>
      </c>
    </row>
    <row r="143" spans="1:22" ht="15.75" customHeight="1">
      <c r="A143" s="216" t="s">
        <v>864</v>
      </c>
      <c r="B143" s="18" t="s">
        <v>865</v>
      </c>
      <c r="C143" s="15" t="s">
        <v>522</v>
      </c>
      <c r="D143" s="17" t="s">
        <v>866</v>
      </c>
      <c r="E143" s="18" t="s">
        <v>867</v>
      </c>
      <c r="F143" s="18" t="s">
        <v>868</v>
      </c>
      <c r="G143" s="15" t="s">
        <v>304</v>
      </c>
      <c r="H143" s="17" t="s">
        <v>305</v>
      </c>
      <c r="I143" s="17" t="s">
        <v>306</v>
      </c>
      <c r="J143" s="17" t="s">
        <v>238</v>
      </c>
      <c r="K143" s="18" t="s">
        <v>239</v>
      </c>
      <c r="L143" s="18" t="s">
        <v>112</v>
      </c>
      <c r="M143" s="18" t="s">
        <v>240</v>
      </c>
      <c r="N143" s="18" t="s">
        <v>241</v>
      </c>
      <c r="O143" s="17">
        <v>9</v>
      </c>
      <c r="P143" s="19">
        <v>2500</v>
      </c>
      <c r="Q143" s="17">
        <v>12</v>
      </c>
      <c r="R143" s="17">
        <v>5</v>
      </c>
      <c r="S143" s="19">
        <v>20790</v>
      </c>
      <c r="T143" s="18" t="s">
        <v>183</v>
      </c>
      <c r="U143" s="15" t="s">
        <v>87</v>
      </c>
      <c r="V143" s="219" t="s">
        <v>155</v>
      </c>
    </row>
    <row r="144" spans="1:22" ht="15.75" customHeight="1">
      <c r="A144" s="215" t="s">
        <v>869</v>
      </c>
      <c r="B144" s="14" t="s">
        <v>870</v>
      </c>
      <c r="C144" s="15" t="s">
        <v>842</v>
      </c>
      <c r="D144" s="13" t="s">
        <v>871</v>
      </c>
      <c r="E144" s="14" t="s">
        <v>646</v>
      </c>
      <c r="F144" s="14" t="s">
        <v>872</v>
      </c>
      <c r="G144" s="14" t="s">
        <v>135</v>
      </c>
      <c r="H144" s="13" t="s">
        <v>136</v>
      </c>
      <c r="I144" s="13" t="s">
        <v>63</v>
      </c>
      <c r="J144" s="13" t="s">
        <v>207</v>
      </c>
      <c r="K144" s="14" t="s">
        <v>208</v>
      </c>
      <c r="L144" s="14" t="s">
        <v>99</v>
      </c>
      <c r="M144" s="14" t="s">
        <v>209</v>
      </c>
      <c r="N144" s="14" t="s">
        <v>210</v>
      </c>
      <c r="O144" s="13">
        <v>1</v>
      </c>
      <c r="P144" s="16">
        <v>55000</v>
      </c>
      <c r="Q144" s="13">
        <v>25</v>
      </c>
      <c r="R144" s="13">
        <v>18</v>
      </c>
      <c r="S144" s="16">
        <v>48675</v>
      </c>
      <c r="T144" s="14" t="s">
        <v>127</v>
      </c>
      <c r="U144" s="14" t="s">
        <v>143</v>
      </c>
      <c r="V144" s="218" t="s">
        <v>201</v>
      </c>
    </row>
    <row r="145" spans="1:22" ht="15.75" customHeight="1">
      <c r="A145" s="216" t="s">
        <v>873</v>
      </c>
      <c r="B145" s="18" t="s">
        <v>874</v>
      </c>
      <c r="C145" s="15" t="s">
        <v>91</v>
      </c>
      <c r="D145" s="17" t="s">
        <v>875</v>
      </c>
      <c r="E145" s="18" t="s">
        <v>876</v>
      </c>
      <c r="F145" s="18" t="s">
        <v>877</v>
      </c>
      <c r="G145" s="18" t="s">
        <v>151</v>
      </c>
      <c r="H145" s="17" t="s">
        <v>152</v>
      </c>
      <c r="I145" s="17" t="s">
        <v>80</v>
      </c>
      <c r="J145" s="17" t="s">
        <v>347</v>
      </c>
      <c r="K145" s="18" t="s">
        <v>348</v>
      </c>
      <c r="L145" s="18" t="s">
        <v>139</v>
      </c>
      <c r="M145" s="18" t="s">
        <v>349</v>
      </c>
      <c r="N145" s="18" t="s">
        <v>350</v>
      </c>
      <c r="O145" s="17">
        <v>8</v>
      </c>
      <c r="P145" s="20" t="s">
        <v>878</v>
      </c>
      <c r="Q145" s="17">
        <v>12</v>
      </c>
      <c r="R145" s="17">
        <v>18</v>
      </c>
      <c r="S145" s="19">
        <v>26583</v>
      </c>
      <c r="T145" s="18" t="s">
        <v>102</v>
      </c>
      <c r="U145" s="18" t="s">
        <v>288</v>
      </c>
      <c r="V145" s="218" t="s">
        <v>250</v>
      </c>
    </row>
    <row r="146" spans="1:22" ht="15.75" customHeight="1">
      <c r="A146" s="215" t="s">
        <v>879</v>
      </c>
      <c r="B146" s="14" t="s">
        <v>621</v>
      </c>
      <c r="C146" s="15" t="s">
        <v>244</v>
      </c>
      <c r="D146" s="13" t="s">
        <v>880</v>
      </c>
      <c r="E146" s="14" t="s">
        <v>881</v>
      </c>
      <c r="F146" s="14" t="s">
        <v>882</v>
      </c>
      <c r="G146" s="14" t="s">
        <v>333</v>
      </c>
      <c r="H146" s="13" t="s">
        <v>334</v>
      </c>
      <c r="I146" s="13" t="s">
        <v>63</v>
      </c>
      <c r="J146" s="13" t="s">
        <v>275</v>
      </c>
      <c r="K146" s="14" t="s">
        <v>276</v>
      </c>
      <c r="L146" s="14" t="s">
        <v>99</v>
      </c>
      <c r="M146" s="14" t="s">
        <v>277</v>
      </c>
      <c r="N146" s="14" t="s">
        <v>126</v>
      </c>
      <c r="O146" s="13">
        <v>10</v>
      </c>
      <c r="P146" s="16">
        <v>35000</v>
      </c>
      <c r="Q146" s="13">
        <v>12</v>
      </c>
      <c r="R146" s="13">
        <v>18</v>
      </c>
      <c r="S146" s="16">
        <v>363440</v>
      </c>
      <c r="T146" s="14" t="s">
        <v>102</v>
      </c>
      <c r="U146" s="14" t="s">
        <v>288</v>
      </c>
      <c r="V146" s="218" t="s">
        <v>88</v>
      </c>
    </row>
    <row r="147" spans="1:22" ht="15.75" customHeight="1">
      <c r="A147" s="216" t="s">
        <v>883</v>
      </c>
      <c r="B147" s="18" t="s">
        <v>884</v>
      </c>
      <c r="C147" s="15" t="s">
        <v>271</v>
      </c>
      <c r="D147" s="17" t="s">
        <v>885</v>
      </c>
      <c r="E147" s="18" t="s">
        <v>886</v>
      </c>
      <c r="F147" s="18" t="s">
        <v>887</v>
      </c>
      <c r="G147" s="15" t="s">
        <v>407</v>
      </c>
      <c r="H147" s="17" t="s">
        <v>152</v>
      </c>
      <c r="I147" s="17" t="s">
        <v>80</v>
      </c>
      <c r="J147" s="17" t="s">
        <v>207</v>
      </c>
      <c r="K147" s="18" t="s">
        <v>208</v>
      </c>
      <c r="L147" s="18" t="s">
        <v>99</v>
      </c>
      <c r="M147" s="18" t="s">
        <v>209</v>
      </c>
      <c r="N147" s="18" t="s">
        <v>210</v>
      </c>
      <c r="O147" s="17">
        <v>10</v>
      </c>
      <c r="P147" s="19">
        <v>55000</v>
      </c>
      <c r="Q147" s="17">
        <v>25</v>
      </c>
      <c r="R147" s="17">
        <v>18</v>
      </c>
      <c r="S147" s="19">
        <v>486750</v>
      </c>
      <c r="T147" s="18" t="s">
        <v>115</v>
      </c>
      <c r="U147" s="15" t="s">
        <v>154</v>
      </c>
      <c r="V147" s="219" t="s">
        <v>144</v>
      </c>
    </row>
    <row r="148" spans="1:22" ht="15.75" customHeight="1">
      <c r="A148" s="215" t="s">
        <v>888</v>
      </c>
      <c r="B148" s="14" t="s">
        <v>889</v>
      </c>
      <c r="C148" s="15" t="s">
        <v>410</v>
      </c>
      <c r="D148" s="13" t="s">
        <v>890</v>
      </c>
      <c r="E148" s="14" t="s">
        <v>412</v>
      </c>
      <c r="F148" s="14" t="s">
        <v>891</v>
      </c>
      <c r="G148" s="14" t="s">
        <v>248</v>
      </c>
      <c r="H148" s="13" t="s">
        <v>249</v>
      </c>
      <c r="I148" s="13" t="s">
        <v>123</v>
      </c>
      <c r="J148" s="13" t="s">
        <v>64</v>
      </c>
      <c r="K148" s="14" t="s">
        <v>65</v>
      </c>
      <c r="L148" s="14" t="s">
        <v>66</v>
      </c>
      <c r="M148" s="14" t="s">
        <v>67</v>
      </c>
      <c r="N148" s="14" t="s">
        <v>68</v>
      </c>
      <c r="O148" s="13">
        <v>6</v>
      </c>
      <c r="P148" s="16">
        <v>450</v>
      </c>
      <c r="Q148" s="13">
        <v>0</v>
      </c>
      <c r="R148" s="13">
        <v>5</v>
      </c>
      <c r="S148" s="16">
        <v>2835</v>
      </c>
      <c r="T148" s="14" t="s">
        <v>153</v>
      </c>
      <c r="U148" s="15" t="s">
        <v>174</v>
      </c>
      <c r="V148" s="218" t="s">
        <v>88</v>
      </c>
    </row>
    <row r="149" spans="1:22" ht="15.75" customHeight="1">
      <c r="A149" s="216" t="s">
        <v>892</v>
      </c>
      <c r="B149" s="18" t="s">
        <v>893</v>
      </c>
      <c r="C149" s="18" t="s">
        <v>131</v>
      </c>
      <c r="D149" s="17" t="s">
        <v>894</v>
      </c>
      <c r="E149" s="18" t="s">
        <v>895</v>
      </c>
      <c r="F149" s="18" t="s">
        <v>896</v>
      </c>
      <c r="G149" s="18" t="s">
        <v>439</v>
      </c>
      <c r="H149" s="17" t="s">
        <v>364</v>
      </c>
      <c r="I149" s="17" t="s">
        <v>63</v>
      </c>
      <c r="J149" s="17" t="s">
        <v>897</v>
      </c>
      <c r="K149" s="18" t="s">
        <v>898</v>
      </c>
      <c r="L149" s="18" t="s">
        <v>139</v>
      </c>
      <c r="M149" s="18" t="s">
        <v>140</v>
      </c>
      <c r="N149" s="18" t="s">
        <v>899</v>
      </c>
      <c r="O149" s="17">
        <v>6</v>
      </c>
      <c r="P149" s="19">
        <v>38000</v>
      </c>
      <c r="Q149" s="17">
        <v>8</v>
      </c>
      <c r="R149" s="17">
        <v>18</v>
      </c>
      <c r="S149" s="19">
        <v>247517</v>
      </c>
      <c r="T149" s="18" t="s">
        <v>413</v>
      </c>
      <c r="U149" s="18" t="s">
        <v>184</v>
      </c>
      <c r="V149" s="218" t="s">
        <v>128</v>
      </c>
    </row>
    <row r="150" spans="1:22" ht="15.75" customHeight="1">
      <c r="A150" s="215" t="s">
        <v>900</v>
      </c>
      <c r="B150" s="14" t="s">
        <v>901</v>
      </c>
      <c r="C150" s="15" t="s">
        <v>224</v>
      </c>
      <c r="D150" s="13" t="s">
        <v>902</v>
      </c>
      <c r="E150" s="14" t="s">
        <v>528</v>
      </c>
      <c r="F150" s="14" t="s">
        <v>903</v>
      </c>
      <c r="G150" s="14" t="s">
        <v>61</v>
      </c>
      <c r="H150" s="13" t="s">
        <v>62</v>
      </c>
      <c r="I150" s="20" t="s">
        <v>904</v>
      </c>
      <c r="J150" s="13" t="s">
        <v>162</v>
      </c>
      <c r="K150" s="14"/>
      <c r="L150" s="14" t="s">
        <v>99</v>
      </c>
      <c r="M150" s="14" t="s">
        <v>164</v>
      </c>
      <c r="N150" s="14" t="s">
        <v>165</v>
      </c>
      <c r="O150" s="20">
        <v>-1</v>
      </c>
      <c r="P150" s="16">
        <v>2800</v>
      </c>
      <c r="Q150" s="13">
        <v>15</v>
      </c>
      <c r="R150" s="13">
        <v>18</v>
      </c>
      <c r="S150" s="21">
        <v>-2808</v>
      </c>
      <c r="T150" s="14" t="s">
        <v>127</v>
      </c>
      <c r="U150" s="14" t="s">
        <v>184</v>
      </c>
      <c r="V150" s="217" t="s">
        <v>212</v>
      </c>
    </row>
    <row r="151" spans="1:22" ht="15.75" customHeight="1">
      <c r="A151" s="216" t="s">
        <v>905</v>
      </c>
      <c r="B151" s="18" t="s">
        <v>906</v>
      </c>
      <c r="C151" s="15" t="s">
        <v>147</v>
      </c>
      <c r="D151" s="17" t="s">
        <v>907</v>
      </c>
      <c r="E151" s="18" t="s">
        <v>908</v>
      </c>
      <c r="F151" s="18" t="s">
        <v>909</v>
      </c>
      <c r="G151" s="18" t="s">
        <v>439</v>
      </c>
      <c r="H151" s="17" t="s">
        <v>364</v>
      </c>
      <c r="I151" s="17" t="s">
        <v>63</v>
      </c>
      <c r="J151" s="17" t="s">
        <v>595</v>
      </c>
      <c r="K151" s="18" t="s">
        <v>596</v>
      </c>
      <c r="L151" s="18" t="s">
        <v>112</v>
      </c>
      <c r="M151" s="18" t="s">
        <v>240</v>
      </c>
      <c r="N151" s="18" t="s">
        <v>597</v>
      </c>
      <c r="O151" s="20">
        <v>-2</v>
      </c>
      <c r="P151" s="19">
        <v>1200</v>
      </c>
      <c r="Q151" s="17">
        <v>8</v>
      </c>
      <c r="R151" s="17">
        <v>5</v>
      </c>
      <c r="S151" s="21">
        <v>-2318</v>
      </c>
      <c r="T151" s="18" t="s">
        <v>69</v>
      </c>
      <c r="U151" s="15" t="s">
        <v>154</v>
      </c>
      <c r="V151" s="218" t="s">
        <v>201</v>
      </c>
    </row>
    <row r="152" spans="1:22" ht="15.75" customHeight="1">
      <c r="A152" s="215" t="s">
        <v>910</v>
      </c>
      <c r="B152" s="14" t="s">
        <v>192</v>
      </c>
      <c r="C152" s="15" t="s">
        <v>842</v>
      </c>
      <c r="D152" s="13" t="s">
        <v>911</v>
      </c>
      <c r="E152" s="14" t="s">
        <v>912</v>
      </c>
      <c r="F152" s="14" t="s">
        <v>913</v>
      </c>
      <c r="G152" s="14" t="s">
        <v>95</v>
      </c>
      <c r="H152" s="13" t="s">
        <v>96</v>
      </c>
      <c r="I152" s="13" t="s">
        <v>63</v>
      </c>
      <c r="J152" s="13" t="s">
        <v>376</v>
      </c>
      <c r="K152" s="14" t="s">
        <v>377</v>
      </c>
      <c r="L152" s="14" t="s">
        <v>112</v>
      </c>
      <c r="M152" s="14" t="s">
        <v>113</v>
      </c>
      <c r="N152" s="14" t="s">
        <v>378</v>
      </c>
      <c r="O152" s="13">
        <v>1</v>
      </c>
      <c r="P152" s="16">
        <v>8500</v>
      </c>
      <c r="Q152" s="13">
        <v>8</v>
      </c>
      <c r="R152" s="13">
        <v>18</v>
      </c>
      <c r="S152" s="16">
        <v>9228</v>
      </c>
      <c r="T152" s="14" t="s">
        <v>326</v>
      </c>
      <c r="U152" s="14" t="s">
        <v>143</v>
      </c>
      <c r="V152" s="218" t="s">
        <v>201</v>
      </c>
    </row>
    <row r="153" spans="1:22" ht="15.75" customHeight="1">
      <c r="A153" s="216" t="s">
        <v>914</v>
      </c>
      <c r="B153" s="18" t="s">
        <v>915</v>
      </c>
      <c r="C153" s="18" t="s">
        <v>291</v>
      </c>
      <c r="D153" s="17" t="s">
        <v>916</v>
      </c>
      <c r="E153" s="18" t="s">
        <v>664</v>
      </c>
      <c r="F153" s="18" t="s">
        <v>917</v>
      </c>
      <c r="G153" s="18" t="s">
        <v>135</v>
      </c>
      <c r="H153" s="17" t="s">
        <v>136</v>
      </c>
      <c r="I153" s="17" t="s">
        <v>63</v>
      </c>
      <c r="J153" s="17" t="s">
        <v>365</v>
      </c>
      <c r="K153" s="18" t="s">
        <v>366</v>
      </c>
      <c r="L153" s="18" t="s">
        <v>112</v>
      </c>
      <c r="M153" s="18" t="s">
        <v>367</v>
      </c>
      <c r="N153" s="18" t="s">
        <v>368</v>
      </c>
      <c r="O153" s="20" t="s">
        <v>440</v>
      </c>
      <c r="P153" s="19">
        <v>3500</v>
      </c>
      <c r="Q153" s="17">
        <v>25</v>
      </c>
      <c r="R153" s="17">
        <v>5</v>
      </c>
      <c r="S153" s="19">
        <v>2756</v>
      </c>
      <c r="T153" s="18" t="s">
        <v>153</v>
      </c>
      <c r="U153" s="18" t="s">
        <v>288</v>
      </c>
      <c r="V153" s="218" t="s">
        <v>88</v>
      </c>
    </row>
    <row r="154" spans="1:22" ht="15.75" customHeight="1">
      <c r="A154" s="215" t="s">
        <v>918</v>
      </c>
      <c r="B154" s="14" t="s">
        <v>919</v>
      </c>
      <c r="C154" s="14" t="s">
        <v>337</v>
      </c>
      <c r="D154" s="13" t="s">
        <v>920</v>
      </c>
      <c r="E154" s="14" t="s">
        <v>339</v>
      </c>
      <c r="F154" s="14" t="s">
        <v>921</v>
      </c>
      <c r="G154" s="14" t="s">
        <v>135</v>
      </c>
      <c r="H154" s="13" t="s">
        <v>136</v>
      </c>
      <c r="I154" s="13" t="s">
        <v>63</v>
      </c>
      <c r="J154" s="13" t="s">
        <v>897</v>
      </c>
      <c r="K154" s="14" t="s">
        <v>898</v>
      </c>
      <c r="L154" s="14" t="s">
        <v>139</v>
      </c>
      <c r="M154" s="14" t="s">
        <v>140</v>
      </c>
      <c r="N154" s="14" t="s">
        <v>899</v>
      </c>
      <c r="O154" s="13">
        <v>1</v>
      </c>
      <c r="P154" s="16">
        <v>38000</v>
      </c>
      <c r="Q154" s="13">
        <v>25</v>
      </c>
      <c r="R154" s="13">
        <v>18</v>
      </c>
      <c r="S154" s="16">
        <v>33630</v>
      </c>
      <c r="T154" s="14" t="s">
        <v>86</v>
      </c>
      <c r="U154" s="15" t="s">
        <v>383</v>
      </c>
      <c r="V154" s="218" t="s">
        <v>128</v>
      </c>
    </row>
    <row r="155" spans="1:22" ht="15.75" customHeight="1">
      <c r="A155" s="216" t="s">
        <v>922</v>
      </c>
      <c r="B155" s="18" t="s">
        <v>923</v>
      </c>
      <c r="C155" s="18" t="s">
        <v>712</v>
      </c>
      <c r="D155" s="17" t="s">
        <v>924</v>
      </c>
      <c r="E155" s="18" t="s">
        <v>714</v>
      </c>
      <c r="F155" s="18" t="s">
        <v>925</v>
      </c>
      <c r="G155" s="18" t="s">
        <v>172</v>
      </c>
      <c r="H155" s="17" t="s">
        <v>96</v>
      </c>
      <c r="I155" s="17" t="s">
        <v>63</v>
      </c>
      <c r="J155" s="17" t="s">
        <v>356</v>
      </c>
      <c r="K155" s="18" t="s">
        <v>357</v>
      </c>
      <c r="L155" s="18" t="s">
        <v>139</v>
      </c>
      <c r="M155" s="18" t="s">
        <v>140</v>
      </c>
      <c r="N155" s="18" t="s">
        <v>358</v>
      </c>
      <c r="O155" s="17">
        <v>3</v>
      </c>
      <c r="P155" s="19">
        <v>42000</v>
      </c>
      <c r="Q155" s="17">
        <v>25</v>
      </c>
      <c r="R155" s="17">
        <v>18</v>
      </c>
      <c r="S155" s="19">
        <v>111510</v>
      </c>
      <c r="T155" s="18" t="s">
        <v>465</v>
      </c>
      <c r="U155" s="15" t="s">
        <v>154</v>
      </c>
      <c r="V155" s="218" t="s">
        <v>128</v>
      </c>
    </row>
    <row r="156" spans="1:22" ht="15.75" customHeight="1">
      <c r="A156" s="215" t="s">
        <v>926</v>
      </c>
      <c r="B156" s="14" t="s">
        <v>927</v>
      </c>
      <c r="C156" s="15" t="s">
        <v>605</v>
      </c>
      <c r="D156" s="13" t="s">
        <v>928</v>
      </c>
      <c r="E156" s="14" t="s">
        <v>798</v>
      </c>
      <c r="F156" s="14" t="s">
        <v>929</v>
      </c>
      <c r="G156" s="14" t="s">
        <v>61</v>
      </c>
      <c r="H156" s="13" t="s">
        <v>62</v>
      </c>
      <c r="I156" s="13" t="s">
        <v>63</v>
      </c>
      <c r="J156" s="13" t="s">
        <v>420</v>
      </c>
      <c r="K156" s="14" t="s">
        <v>421</v>
      </c>
      <c r="L156" s="14" t="s">
        <v>112</v>
      </c>
      <c r="M156" s="14" t="s">
        <v>422</v>
      </c>
      <c r="N156" s="14" t="s">
        <v>423</v>
      </c>
      <c r="O156" s="13">
        <v>6</v>
      </c>
      <c r="P156" s="16">
        <v>4800</v>
      </c>
      <c r="Q156" s="13">
        <v>10</v>
      </c>
      <c r="R156" s="13">
        <v>18</v>
      </c>
      <c r="S156" s="16">
        <v>30586</v>
      </c>
      <c r="T156" s="14" t="s">
        <v>115</v>
      </c>
      <c r="U156" s="15" t="s">
        <v>103</v>
      </c>
      <c r="V156" s="217" t="s">
        <v>155</v>
      </c>
    </row>
    <row r="157" spans="1:22" ht="15.75" customHeight="1">
      <c r="A157" s="216" t="s">
        <v>930</v>
      </c>
      <c r="B157" s="18" t="s">
        <v>671</v>
      </c>
      <c r="C157" s="15" t="s">
        <v>158</v>
      </c>
      <c r="D157" s="17" t="s">
        <v>931</v>
      </c>
      <c r="E157" s="18" t="s">
        <v>646</v>
      </c>
      <c r="F157" s="15"/>
      <c r="G157" s="18" t="s">
        <v>248</v>
      </c>
      <c r="H157" s="17" t="s">
        <v>249</v>
      </c>
      <c r="I157" s="17" t="s">
        <v>123</v>
      </c>
      <c r="J157" s="17" t="s">
        <v>207</v>
      </c>
      <c r="K157" s="18" t="s">
        <v>208</v>
      </c>
      <c r="L157" s="18" t="s">
        <v>99</v>
      </c>
      <c r="M157" s="18" t="s">
        <v>209</v>
      </c>
      <c r="N157" s="18" t="s">
        <v>210</v>
      </c>
      <c r="O157" s="17">
        <v>4</v>
      </c>
      <c r="P157" s="19">
        <v>55000</v>
      </c>
      <c r="Q157" s="17">
        <v>25</v>
      </c>
      <c r="R157" s="17">
        <v>18</v>
      </c>
      <c r="S157" s="19">
        <v>194700</v>
      </c>
      <c r="T157" s="18" t="s">
        <v>102</v>
      </c>
      <c r="U157" s="18" t="s">
        <v>211</v>
      </c>
      <c r="V157" s="219" t="s">
        <v>212</v>
      </c>
    </row>
    <row r="158" spans="1:22" ht="15.75" customHeight="1">
      <c r="A158" s="215" t="s">
        <v>932</v>
      </c>
      <c r="B158" s="14" t="s">
        <v>933</v>
      </c>
      <c r="C158" s="14" t="s">
        <v>461</v>
      </c>
      <c r="D158" s="13" t="s">
        <v>934</v>
      </c>
      <c r="E158" s="14" t="s">
        <v>463</v>
      </c>
      <c r="F158" s="14" t="s">
        <v>935</v>
      </c>
      <c r="G158" s="15" t="s">
        <v>304</v>
      </c>
      <c r="H158" s="13" t="s">
        <v>305</v>
      </c>
      <c r="I158" s="13" t="s">
        <v>306</v>
      </c>
      <c r="J158" s="13" t="s">
        <v>295</v>
      </c>
      <c r="K158" s="14" t="s">
        <v>296</v>
      </c>
      <c r="L158" s="14" t="s">
        <v>66</v>
      </c>
      <c r="M158" s="14" t="s">
        <v>297</v>
      </c>
      <c r="N158" s="14" t="s">
        <v>298</v>
      </c>
      <c r="O158" s="13">
        <v>6</v>
      </c>
      <c r="P158" s="16">
        <v>280</v>
      </c>
      <c r="Q158" s="13">
        <v>25</v>
      </c>
      <c r="R158" s="13">
        <v>5</v>
      </c>
      <c r="S158" s="16">
        <v>1323</v>
      </c>
      <c r="T158" s="14" t="s">
        <v>153</v>
      </c>
      <c r="U158" s="15" t="s">
        <v>154</v>
      </c>
      <c r="V158" s="218" t="s">
        <v>88</v>
      </c>
    </row>
    <row r="159" spans="1:22" ht="15.75" customHeight="1">
      <c r="A159" s="216" t="s">
        <v>936</v>
      </c>
      <c r="B159" s="18" t="s">
        <v>937</v>
      </c>
      <c r="C159" s="15" t="s">
        <v>215</v>
      </c>
      <c r="D159" s="17" t="s">
        <v>938</v>
      </c>
      <c r="E159" s="18" t="s">
        <v>286</v>
      </c>
      <c r="F159" s="18" t="s">
        <v>939</v>
      </c>
      <c r="G159" s="18" t="s">
        <v>485</v>
      </c>
      <c r="H159" s="17" t="s">
        <v>305</v>
      </c>
      <c r="I159" s="17" t="s">
        <v>306</v>
      </c>
      <c r="J159" s="17" t="s">
        <v>257</v>
      </c>
      <c r="K159" s="18" t="s">
        <v>258</v>
      </c>
      <c r="L159" s="18" t="s">
        <v>139</v>
      </c>
      <c r="M159" s="18" t="s">
        <v>259</v>
      </c>
      <c r="N159" s="18" t="s">
        <v>260</v>
      </c>
      <c r="O159" s="17">
        <v>2</v>
      </c>
      <c r="P159" s="19">
        <v>299</v>
      </c>
      <c r="Q159" s="17">
        <v>15</v>
      </c>
      <c r="R159" s="17">
        <v>18</v>
      </c>
      <c r="S159" s="19">
        <v>600</v>
      </c>
      <c r="T159" s="18" t="s">
        <v>102</v>
      </c>
      <c r="U159" s="15" t="s">
        <v>87</v>
      </c>
      <c r="V159" s="219" t="s">
        <v>212</v>
      </c>
    </row>
    <row r="160" spans="1:22" ht="15.75" customHeight="1">
      <c r="A160" s="215" t="s">
        <v>940</v>
      </c>
      <c r="B160" s="14" t="s">
        <v>941</v>
      </c>
      <c r="C160" s="15" t="s">
        <v>842</v>
      </c>
      <c r="D160" s="13" t="s">
        <v>942</v>
      </c>
      <c r="E160" s="14" t="s">
        <v>943</v>
      </c>
      <c r="F160" s="14" t="s">
        <v>944</v>
      </c>
      <c r="G160" s="15" t="s">
        <v>363</v>
      </c>
      <c r="H160" s="13" t="s">
        <v>364</v>
      </c>
      <c r="I160" s="13" t="s">
        <v>63</v>
      </c>
      <c r="J160" s="13" t="s">
        <v>110</v>
      </c>
      <c r="K160" s="14" t="s">
        <v>111</v>
      </c>
      <c r="L160" s="14" t="s">
        <v>112</v>
      </c>
      <c r="M160" s="14" t="s">
        <v>113</v>
      </c>
      <c r="N160" s="14" t="s">
        <v>114</v>
      </c>
      <c r="O160" s="13">
        <v>10</v>
      </c>
      <c r="P160" s="16">
        <v>3500</v>
      </c>
      <c r="Q160" s="13">
        <v>15</v>
      </c>
      <c r="R160" s="13">
        <v>18</v>
      </c>
      <c r="S160" s="16">
        <v>35105</v>
      </c>
      <c r="T160" s="14" t="s">
        <v>413</v>
      </c>
      <c r="U160" s="14" t="s">
        <v>288</v>
      </c>
      <c r="V160" s="218" t="s">
        <v>250</v>
      </c>
    </row>
    <row r="161" spans="1:22" ht="15.75" customHeight="1">
      <c r="A161" s="216" t="s">
        <v>945</v>
      </c>
      <c r="B161" s="18" t="s">
        <v>946</v>
      </c>
      <c r="C161" s="15" t="s">
        <v>193</v>
      </c>
      <c r="D161" s="17" t="s">
        <v>947</v>
      </c>
      <c r="E161" s="18" t="s">
        <v>854</v>
      </c>
      <c r="F161" s="18" t="s">
        <v>948</v>
      </c>
      <c r="G161" s="18" t="s">
        <v>181</v>
      </c>
      <c r="H161" s="17" t="s">
        <v>182</v>
      </c>
      <c r="I161" s="17" t="s">
        <v>123</v>
      </c>
      <c r="J161" s="17" t="s">
        <v>137</v>
      </c>
      <c r="K161" s="18" t="s">
        <v>138</v>
      </c>
      <c r="L161" s="18" t="s">
        <v>139</v>
      </c>
      <c r="M161" s="18" t="s">
        <v>140</v>
      </c>
      <c r="N161" s="18" t="s">
        <v>141</v>
      </c>
      <c r="O161" s="17">
        <v>4</v>
      </c>
      <c r="P161" s="19">
        <v>12000</v>
      </c>
      <c r="Q161" s="17">
        <v>8</v>
      </c>
      <c r="R161" s="17">
        <v>18</v>
      </c>
      <c r="S161" s="19">
        <v>52109</v>
      </c>
      <c r="T161" s="18" t="s">
        <v>183</v>
      </c>
      <c r="U161" s="15" t="s">
        <v>103</v>
      </c>
      <c r="V161" s="218" t="s">
        <v>190</v>
      </c>
    </row>
    <row r="162" spans="1:22" ht="15.75" customHeight="1">
      <c r="A162" s="215" t="s">
        <v>949</v>
      </c>
      <c r="B162" s="14" t="s">
        <v>950</v>
      </c>
      <c r="C162" s="15"/>
      <c r="D162" s="13" t="s">
        <v>951</v>
      </c>
      <c r="E162" s="14" t="s">
        <v>952</v>
      </c>
      <c r="F162" s="14" t="s">
        <v>953</v>
      </c>
      <c r="G162" s="14" t="s">
        <v>181</v>
      </c>
      <c r="H162" s="13" t="s">
        <v>182</v>
      </c>
      <c r="I162" s="13" t="s">
        <v>123</v>
      </c>
      <c r="J162" s="13" t="s">
        <v>347</v>
      </c>
      <c r="K162" s="14" t="s">
        <v>348</v>
      </c>
      <c r="L162" s="14" t="s">
        <v>139</v>
      </c>
      <c r="M162" s="14" t="s">
        <v>349</v>
      </c>
      <c r="N162" s="14" t="s">
        <v>350</v>
      </c>
      <c r="O162" s="13">
        <v>1</v>
      </c>
      <c r="P162" s="16">
        <v>3200</v>
      </c>
      <c r="Q162" s="13">
        <v>12</v>
      </c>
      <c r="R162" s="13">
        <v>18</v>
      </c>
      <c r="S162" s="16">
        <v>3323</v>
      </c>
      <c r="T162" s="14" t="s">
        <v>413</v>
      </c>
      <c r="U162" s="15" t="s">
        <v>103</v>
      </c>
      <c r="V162" s="217" t="s">
        <v>155</v>
      </c>
    </row>
    <row r="163" spans="1:22" ht="15.75" customHeight="1">
      <c r="A163" s="216" t="s">
        <v>954</v>
      </c>
      <c r="B163" s="18" t="s">
        <v>955</v>
      </c>
      <c r="C163" s="15" t="s">
        <v>224</v>
      </c>
      <c r="D163" s="17" t="s">
        <v>956</v>
      </c>
      <c r="E163" s="18" t="s">
        <v>957</v>
      </c>
      <c r="F163" s="18" t="s">
        <v>958</v>
      </c>
      <c r="G163" s="18" t="s">
        <v>744</v>
      </c>
      <c r="H163" s="17" t="s">
        <v>79</v>
      </c>
      <c r="I163" s="17" t="s">
        <v>80</v>
      </c>
      <c r="J163" s="17" t="s">
        <v>257</v>
      </c>
      <c r="K163" s="18" t="s">
        <v>258</v>
      </c>
      <c r="L163" s="18" t="s">
        <v>139</v>
      </c>
      <c r="M163" s="18" t="s">
        <v>259</v>
      </c>
      <c r="N163" s="18" t="s">
        <v>260</v>
      </c>
      <c r="O163" s="17">
        <v>6</v>
      </c>
      <c r="P163" s="19">
        <v>299</v>
      </c>
      <c r="Q163" s="17">
        <v>25</v>
      </c>
      <c r="R163" s="17">
        <v>18</v>
      </c>
      <c r="S163" s="19">
        <v>1588</v>
      </c>
      <c r="T163" s="18" t="s">
        <v>102</v>
      </c>
      <c r="U163" s="15" t="s">
        <v>383</v>
      </c>
      <c r="V163" s="219" t="s">
        <v>144</v>
      </c>
    </row>
    <row r="164" spans="1:22" ht="15.75" customHeight="1">
      <c r="A164" s="215" t="s">
        <v>959</v>
      </c>
      <c r="B164" s="14" t="s">
        <v>960</v>
      </c>
      <c r="C164" s="14" t="s">
        <v>482</v>
      </c>
      <c r="D164" s="13" t="s">
        <v>961</v>
      </c>
      <c r="E164" s="14" t="s">
        <v>962</v>
      </c>
      <c r="F164" s="14" t="s">
        <v>963</v>
      </c>
      <c r="G164" s="14" t="s">
        <v>485</v>
      </c>
      <c r="H164" s="13" t="s">
        <v>305</v>
      </c>
      <c r="I164" s="13" t="s">
        <v>306</v>
      </c>
      <c r="J164" s="13" t="s">
        <v>162</v>
      </c>
      <c r="K164" s="14" t="s">
        <v>163</v>
      </c>
      <c r="L164" s="14" t="s">
        <v>99</v>
      </c>
      <c r="M164" s="14" t="s">
        <v>164</v>
      </c>
      <c r="N164" s="14" t="s">
        <v>165</v>
      </c>
      <c r="O164" s="13">
        <v>3</v>
      </c>
      <c r="P164" s="20"/>
      <c r="Q164" s="13">
        <v>8</v>
      </c>
      <c r="R164" s="13">
        <v>18</v>
      </c>
      <c r="S164" s="16">
        <v>0</v>
      </c>
      <c r="T164" s="14" t="s">
        <v>102</v>
      </c>
      <c r="U164" s="15" t="s">
        <v>87</v>
      </c>
      <c r="V164" s="218" t="s">
        <v>201</v>
      </c>
    </row>
    <row r="165" spans="1:22" ht="15.75" customHeight="1">
      <c r="A165" s="216" t="s">
        <v>964</v>
      </c>
      <c r="B165" s="18" t="s">
        <v>252</v>
      </c>
      <c r="C165" s="18" t="s">
        <v>482</v>
      </c>
      <c r="D165" s="17" t="s">
        <v>965</v>
      </c>
      <c r="E165" s="18" t="s">
        <v>966</v>
      </c>
      <c r="F165" s="18" t="s">
        <v>967</v>
      </c>
      <c r="G165" s="15" t="s">
        <v>268</v>
      </c>
      <c r="H165" s="17" t="s">
        <v>122</v>
      </c>
      <c r="I165" s="17" t="s">
        <v>123</v>
      </c>
      <c r="J165" s="17" t="s">
        <v>137</v>
      </c>
      <c r="K165" s="18" t="s">
        <v>138</v>
      </c>
      <c r="L165" s="18" t="s">
        <v>139</v>
      </c>
      <c r="M165" s="18" t="s">
        <v>140</v>
      </c>
      <c r="N165" s="18" t="s">
        <v>141</v>
      </c>
      <c r="O165" s="17">
        <v>6</v>
      </c>
      <c r="P165" s="19">
        <v>12000</v>
      </c>
      <c r="Q165" s="17">
        <v>25</v>
      </c>
      <c r="R165" s="17">
        <v>18</v>
      </c>
      <c r="S165" s="19">
        <v>63720</v>
      </c>
      <c r="T165" s="18" t="s">
        <v>465</v>
      </c>
      <c r="U165" s="18" t="s">
        <v>143</v>
      </c>
      <c r="V165" s="218" t="s">
        <v>190</v>
      </c>
    </row>
    <row r="166" spans="1:22" ht="15.75" customHeight="1">
      <c r="A166" s="215" t="s">
        <v>968</v>
      </c>
      <c r="B166" s="14" t="s">
        <v>969</v>
      </c>
      <c r="C166" s="15" t="s">
        <v>605</v>
      </c>
      <c r="D166" s="13" t="s">
        <v>970</v>
      </c>
      <c r="E166" s="14" t="s">
        <v>971</v>
      </c>
      <c r="F166" s="14" t="s">
        <v>972</v>
      </c>
      <c r="G166" s="14" t="s">
        <v>333</v>
      </c>
      <c r="H166" s="13" t="s">
        <v>334</v>
      </c>
      <c r="I166" s="13" t="s">
        <v>63</v>
      </c>
      <c r="J166" s="13" t="s">
        <v>477</v>
      </c>
      <c r="K166" s="14" t="s">
        <v>478</v>
      </c>
      <c r="L166" s="14" t="s">
        <v>139</v>
      </c>
      <c r="M166" s="14" t="s">
        <v>349</v>
      </c>
      <c r="N166" s="14" t="s">
        <v>479</v>
      </c>
      <c r="O166" s="13">
        <v>6</v>
      </c>
      <c r="P166" s="16">
        <v>2200</v>
      </c>
      <c r="Q166" s="13">
        <v>10</v>
      </c>
      <c r="R166" s="13">
        <v>12</v>
      </c>
      <c r="S166" s="16">
        <v>13306</v>
      </c>
      <c r="T166" s="14" t="s">
        <v>183</v>
      </c>
      <c r="U166" s="15" t="s">
        <v>103</v>
      </c>
      <c r="V166" s="217" t="s">
        <v>155</v>
      </c>
    </row>
    <row r="167" spans="1:22" ht="15.75" customHeight="1">
      <c r="A167" s="216" t="s">
        <v>973</v>
      </c>
      <c r="B167" s="18" t="s">
        <v>937</v>
      </c>
      <c r="C167" s="15" t="s">
        <v>747</v>
      </c>
      <c r="D167" s="17" t="s">
        <v>974</v>
      </c>
      <c r="E167" s="18" t="s">
        <v>975</v>
      </c>
      <c r="F167" s="18" t="s">
        <v>976</v>
      </c>
      <c r="G167" s="15" t="s">
        <v>363</v>
      </c>
      <c r="H167" s="17" t="s">
        <v>364</v>
      </c>
      <c r="I167" s="17" t="s">
        <v>63</v>
      </c>
      <c r="J167" s="17" t="s">
        <v>162</v>
      </c>
      <c r="K167" s="18" t="s">
        <v>163</v>
      </c>
      <c r="L167" s="18" t="s">
        <v>99</v>
      </c>
      <c r="M167" s="18" t="s">
        <v>164</v>
      </c>
      <c r="N167" s="18" t="s">
        <v>165</v>
      </c>
      <c r="O167" s="20">
        <v>-3</v>
      </c>
      <c r="P167" s="19">
        <v>2800</v>
      </c>
      <c r="Q167" s="17">
        <v>12</v>
      </c>
      <c r="R167" s="17">
        <v>18</v>
      </c>
      <c r="S167" s="21">
        <v>-8723</v>
      </c>
      <c r="T167" s="18" t="s">
        <v>127</v>
      </c>
      <c r="U167" s="15" t="s">
        <v>261</v>
      </c>
      <c r="V167" s="218" t="s">
        <v>250</v>
      </c>
    </row>
    <row r="168" spans="1:22" ht="15.75" customHeight="1">
      <c r="A168" s="215" t="s">
        <v>977</v>
      </c>
      <c r="B168" s="14" t="s">
        <v>978</v>
      </c>
      <c r="C168" s="15" t="s">
        <v>244</v>
      </c>
      <c r="D168" s="13" t="s">
        <v>979</v>
      </c>
      <c r="E168" s="14" t="s">
        <v>881</v>
      </c>
      <c r="F168" s="14" t="s">
        <v>980</v>
      </c>
      <c r="G168" s="14" t="s">
        <v>122</v>
      </c>
      <c r="H168" s="13" t="s">
        <v>122</v>
      </c>
      <c r="I168" s="13" t="s">
        <v>123</v>
      </c>
      <c r="J168" s="13" t="s">
        <v>110</v>
      </c>
      <c r="K168" s="14" t="s">
        <v>111</v>
      </c>
      <c r="L168" s="14" t="s">
        <v>112</v>
      </c>
      <c r="M168" s="14" t="s">
        <v>113</v>
      </c>
      <c r="N168" s="14" t="s">
        <v>114</v>
      </c>
      <c r="O168" s="13">
        <v>5</v>
      </c>
      <c r="P168" s="16">
        <v>3500</v>
      </c>
      <c r="Q168" s="13">
        <v>25</v>
      </c>
      <c r="R168" s="13">
        <v>18</v>
      </c>
      <c r="S168" s="16">
        <v>15488</v>
      </c>
      <c r="T168" s="14" t="s">
        <v>115</v>
      </c>
      <c r="U168" s="15" t="s">
        <v>103</v>
      </c>
      <c r="V168" s="218" t="s">
        <v>88</v>
      </c>
    </row>
    <row r="169" spans="1:22" ht="15.75" customHeight="1">
      <c r="A169" s="216" t="s">
        <v>981</v>
      </c>
      <c r="B169" s="18" t="s">
        <v>982</v>
      </c>
      <c r="C169" s="15" t="s">
        <v>473</v>
      </c>
      <c r="D169" s="17" t="s">
        <v>983</v>
      </c>
      <c r="E169" s="18" t="s">
        <v>475</v>
      </c>
      <c r="F169" s="18" t="s">
        <v>984</v>
      </c>
      <c r="G169" s="18" t="s">
        <v>61</v>
      </c>
      <c r="H169" s="17" t="s">
        <v>62</v>
      </c>
      <c r="I169" s="17" t="s">
        <v>63</v>
      </c>
      <c r="J169" s="17" t="s">
        <v>137</v>
      </c>
      <c r="K169" s="18" t="s">
        <v>138</v>
      </c>
      <c r="L169" s="18" t="s">
        <v>139</v>
      </c>
      <c r="M169" s="18" t="s">
        <v>140</v>
      </c>
      <c r="N169" s="18" t="s">
        <v>141</v>
      </c>
      <c r="O169" s="17">
        <v>9</v>
      </c>
      <c r="P169" s="19">
        <v>12000</v>
      </c>
      <c r="Q169" s="17">
        <v>15</v>
      </c>
      <c r="R169" s="17">
        <v>18</v>
      </c>
      <c r="S169" s="19">
        <v>108324</v>
      </c>
      <c r="T169" s="18" t="s">
        <v>115</v>
      </c>
      <c r="U169" s="18" t="s">
        <v>184</v>
      </c>
      <c r="V169" s="218" t="s">
        <v>128</v>
      </c>
    </row>
    <row r="170" spans="1:22" ht="15.75" customHeight="1">
      <c r="A170" s="215" t="s">
        <v>985</v>
      </c>
      <c r="B170" s="14" t="s">
        <v>723</v>
      </c>
      <c r="C170" s="15" t="s">
        <v>447</v>
      </c>
      <c r="D170" s="13" t="s">
        <v>986</v>
      </c>
      <c r="E170" s="14" t="s">
        <v>987</v>
      </c>
      <c r="F170" s="14" t="s">
        <v>988</v>
      </c>
      <c r="G170" s="14" t="s">
        <v>341</v>
      </c>
      <c r="H170" s="13" t="s">
        <v>62</v>
      </c>
      <c r="I170" s="13" t="s">
        <v>63</v>
      </c>
      <c r="J170" s="13" t="s">
        <v>491</v>
      </c>
      <c r="K170" s="14" t="s">
        <v>492</v>
      </c>
      <c r="L170" s="14" t="s">
        <v>112</v>
      </c>
      <c r="M170" s="14" t="s">
        <v>493</v>
      </c>
      <c r="N170" s="14" t="s">
        <v>494</v>
      </c>
      <c r="O170" s="13">
        <v>8</v>
      </c>
      <c r="P170" s="16">
        <v>4500</v>
      </c>
      <c r="Q170" s="13">
        <v>12</v>
      </c>
      <c r="R170" s="13">
        <v>5</v>
      </c>
      <c r="S170" s="16">
        <v>33264</v>
      </c>
      <c r="T170" s="14" t="s">
        <v>142</v>
      </c>
      <c r="U170" s="15" t="s">
        <v>383</v>
      </c>
      <c r="V170" s="218" t="s">
        <v>201</v>
      </c>
    </row>
    <row r="171" spans="1:22" ht="15.75" customHeight="1">
      <c r="A171" s="216" t="s">
        <v>989</v>
      </c>
      <c r="B171" s="18" t="s">
        <v>990</v>
      </c>
      <c r="C171" s="18" t="s">
        <v>639</v>
      </c>
      <c r="D171" s="17" t="s">
        <v>991</v>
      </c>
      <c r="E171" s="18" t="s">
        <v>992</v>
      </c>
      <c r="F171" s="18" t="s">
        <v>993</v>
      </c>
      <c r="G171" s="18" t="s">
        <v>248</v>
      </c>
      <c r="H171" s="17" t="s">
        <v>249</v>
      </c>
      <c r="I171" s="17" t="s">
        <v>123</v>
      </c>
      <c r="J171" s="17" t="s">
        <v>64</v>
      </c>
      <c r="K171" s="18" t="s">
        <v>65</v>
      </c>
      <c r="L171" s="18" t="s">
        <v>66</v>
      </c>
      <c r="M171" s="18" t="s">
        <v>67</v>
      </c>
      <c r="N171" s="18" t="s">
        <v>68</v>
      </c>
      <c r="O171" s="17">
        <v>6</v>
      </c>
      <c r="P171" s="19">
        <v>450</v>
      </c>
      <c r="Q171" s="17">
        <v>5</v>
      </c>
      <c r="R171" s="17">
        <v>5</v>
      </c>
      <c r="S171" s="19">
        <v>2693</v>
      </c>
      <c r="T171" s="18" t="s">
        <v>115</v>
      </c>
      <c r="U171" s="15" t="s">
        <v>103</v>
      </c>
      <c r="V171" s="218" t="s">
        <v>88</v>
      </c>
    </row>
    <row r="172" spans="1:22" ht="15.75" customHeight="1">
      <c r="A172" s="215" t="s">
        <v>930</v>
      </c>
      <c r="B172" s="14" t="s">
        <v>671</v>
      </c>
      <c r="C172" s="15" t="s">
        <v>158</v>
      </c>
      <c r="D172" s="13" t="s">
        <v>931</v>
      </c>
      <c r="E172" s="14" t="s">
        <v>646</v>
      </c>
      <c r="F172" s="15"/>
      <c r="G172" s="14" t="s">
        <v>248</v>
      </c>
      <c r="H172" s="13" t="s">
        <v>249</v>
      </c>
      <c r="I172" s="13" t="s">
        <v>123</v>
      </c>
      <c r="J172" s="13" t="s">
        <v>207</v>
      </c>
      <c r="K172" s="14" t="s">
        <v>208</v>
      </c>
      <c r="L172" s="14" t="s">
        <v>99</v>
      </c>
      <c r="M172" s="14" t="s">
        <v>209</v>
      </c>
      <c r="N172" s="14" t="s">
        <v>210</v>
      </c>
      <c r="O172" s="13">
        <v>4</v>
      </c>
      <c r="P172" s="16">
        <v>55000</v>
      </c>
      <c r="Q172" s="13">
        <v>25</v>
      </c>
      <c r="R172" s="13">
        <v>18</v>
      </c>
      <c r="S172" s="16">
        <v>194700</v>
      </c>
      <c r="T172" s="14" t="s">
        <v>102</v>
      </c>
      <c r="U172" s="14" t="s">
        <v>211</v>
      </c>
      <c r="V172" s="217" t="s">
        <v>212</v>
      </c>
    </row>
    <row r="173" spans="1:22" ht="15.75" customHeight="1">
      <c r="A173" s="216" t="s">
        <v>994</v>
      </c>
      <c r="B173" s="18" t="s">
        <v>995</v>
      </c>
      <c r="C173" s="18" t="s">
        <v>627</v>
      </c>
      <c r="D173" s="17" t="s">
        <v>996</v>
      </c>
      <c r="E173" s="18" t="s">
        <v>997</v>
      </c>
      <c r="F173" s="18" t="s">
        <v>998</v>
      </c>
      <c r="G173" s="15" t="s">
        <v>274</v>
      </c>
      <c r="H173" s="17" t="s">
        <v>96</v>
      </c>
      <c r="I173" s="17" t="s">
        <v>63</v>
      </c>
      <c r="J173" s="17" t="s">
        <v>110</v>
      </c>
      <c r="K173" s="18" t="s">
        <v>111</v>
      </c>
      <c r="L173" s="18" t="s">
        <v>112</v>
      </c>
      <c r="M173" s="18" t="s">
        <v>113</v>
      </c>
      <c r="N173" s="18" t="s">
        <v>114</v>
      </c>
      <c r="O173" s="17">
        <v>9</v>
      </c>
      <c r="P173" s="19">
        <v>3500</v>
      </c>
      <c r="Q173" s="17">
        <v>12</v>
      </c>
      <c r="R173" s="17">
        <v>18</v>
      </c>
      <c r="S173" s="19">
        <v>32710</v>
      </c>
      <c r="T173" s="18" t="s">
        <v>86</v>
      </c>
      <c r="U173" s="15" t="s">
        <v>103</v>
      </c>
      <c r="V173" s="219" t="s">
        <v>155</v>
      </c>
    </row>
    <row r="174" spans="1:22" ht="15.75" customHeight="1">
      <c r="A174" s="215" t="s">
        <v>999</v>
      </c>
      <c r="B174" s="14" t="s">
        <v>746</v>
      </c>
      <c r="C174" s="14" t="s">
        <v>728</v>
      </c>
      <c r="D174" s="13" t="s">
        <v>1000</v>
      </c>
      <c r="E174" s="14" t="s">
        <v>489</v>
      </c>
      <c r="F174" s="14" t="s">
        <v>1001</v>
      </c>
      <c r="G174" s="14" t="s">
        <v>485</v>
      </c>
      <c r="H174" s="13" t="s">
        <v>305</v>
      </c>
      <c r="I174" s="13" t="s">
        <v>306</v>
      </c>
      <c r="J174" s="13" t="s">
        <v>110</v>
      </c>
      <c r="K174" s="14" t="s">
        <v>111</v>
      </c>
      <c r="L174" s="14" t="s">
        <v>112</v>
      </c>
      <c r="M174" s="14" t="s">
        <v>113</v>
      </c>
      <c r="N174" s="14" t="s">
        <v>114</v>
      </c>
      <c r="O174" s="13">
        <v>6</v>
      </c>
      <c r="P174" s="16">
        <v>3500</v>
      </c>
      <c r="Q174" s="13">
        <v>10</v>
      </c>
      <c r="R174" s="13">
        <v>18</v>
      </c>
      <c r="S174" s="16">
        <v>22302</v>
      </c>
      <c r="T174" s="14" t="s">
        <v>86</v>
      </c>
      <c r="U174" s="15" t="s">
        <v>261</v>
      </c>
      <c r="V174" s="217" t="s">
        <v>71</v>
      </c>
    </row>
    <row r="175" spans="1:22" ht="15.75" customHeight="1">
      <c r="A175" s="216" t="s">
        <v>1002</v>
      </c>
      <c r="B175" s="18" t="s">
        <v>1003</v>
      </c>
      <c r="C175" s="18" t="s">
        <v>264</v>
      </c>
      <c r="D175" s="17" t="s">
        <v>1004</v>
      </c>
      <c r="E175" s="18" t="s">
        <v>1005</v>
      </c>
      <c r="F175" s="18" t="s">
        <v>1006</v>
      </c>
      <c r="G175" s="18" t="s">
        <v>78</v>
      </c>
      <c r="H175" s="17" t="s">
        <v>79</v>
      </c>
      <c r="I175" s="17" t="s">
        <v>80</v>
      </c>
      <c r="J175" s="17" t="s">
        <v>110</v>
      </c>
      <c r="K175" s="18" t="s">
        <v>111</v>
      </c>
      <c r="L175" s="18" t="s">
        <v>112</v>
      </c>
      <c r="M175" s="18" t="s">
        <v>113</v>
      </c>
      <c r="N175" s="18" t="s">
        <v>114</v>
      </c>
      <c r="O175" s="17">
        <v>2</v>
      </c>
      <c r="P175" s="19">
        <v>3500</v>
      </c>
      <c r="Q175" s="17">
        <v>15</v>
      </c>
      <c r="R175" s="17">
        <v>18</v>
      </c>
      <c r="S175" s="19">
        <v>7021</v>
      </c>
      <c r="T175" s="18" t="s">
        <v>326</v>
      </c>
      <c r="U175" s="18" t="s">
        <v>211</v>
      </c>
      <c r="V175" s="219" t="s">
        <v>144</v>
      </c>
    </row>
    <row r="176" spans="1:22" ht="15.75" customHeight="1">
      <c r="A176" s="215" t="s">
        <v>1007</v>
      </c>
      <c r="B176" s="14" t="s">
        <v>1008</v>
      </c>
      <c r="C176" s="15" t="s">
        <v>410</v>
      </c>
      <c r="D176" s="13" t="s">
        <v>1009</v>
      </c>
      <c r="E176" s="14" t="s">
        <v>454</v>
      </c>
      <c r="F176" s="14" t="s">
        <v>1010</v>
      </c>
      <c r="G176" s="14" t="s">
        <v>485</v>
      </c>
      <c r="H176" s="13" t="s">
        <v>305</v>
      </c>
      <c r="I176" s="13" t="s">
        <v>306</v>
      </c>
      <c r="J176" s="13" t="s">
        <v>257</v>
      </c>
      <c r="K176" s="14" t="s">
        <v>258</v>
      </c>
      <c r="L176" s="14" t="s">
        <v>139</v>
      </c>
      <c r="M176" s="14" t="s">
        <v>259</v>
      </c>
      <c r="N176" s="14" t="s">
        <v>260</v>
      </c>
      <c r="O176" s="13">
        <v>2</v>
      </c>
      <c r="P176" s="16">
        <v>299</v>
      </c>
      <c r="Q176" s="13">
        <v>103</v>
      </c>
      <c r="R176" s="13">
        <v>18</v>
      </c>
      <c r="S176" s="20"/>
      <c r="T176" s="14" t="s">
        <v>115</v>
      </c>
      <c r="U176" s="15" t="s">
        <v>154</v>
      </c>
      <c r="V176" s="217" t="s">
        <v>144</v>
      </c>
    </row>
    <row r="177" spans="1:22" ht="15.75" customHeight="1">
      <c r="A177" s="216" t="s">
        <v>1011</v>
      </c>
      <c r="B177" s="18" t="s">
        <v>1012</v>
      </c>
      <c r="C177" s="15" t="s">
        <v>118</v>
      </c>
      <c r="D177" s="17" t="s">
        <v>1013</v>
      </c>
      <c r="E177" s="18" t="s">
        <v>310</v>
      </c>
      <c r="F177" s="18" t="s">
        <v>1014</v>
      </c>
      <c r="G177" s="15" t="s">
        <v>274</v>
      </c>
      <c r="H177" s="17" t="s">
        <v>96</v>
      </c>
      <c r="I177" s="17" t="s">
        <v>63</v>
      </c>
      <c r="J177" s="17" t="s">
        <v>162</v>
      </c>
      <c r="K177" s="18" t="s">
        <v>163</v>
      </c>
      <c r="L177" s="18" t="s">
        <v>99</v>
      </c>
      <c r="M177" s="18" t="s">
        <v>164</v>
      </c>
      <c r="N177" s="18" t="s">
        <v>165</v>
      </c>
      <c r="O177" s="17">
        <v>10</v>
      </c>
      <c r="P177" s="19">
        <v>2800</v>
      </c>
      <c r="Q177" s="17">
        <v>8</v>
      </c>
      <c r="R177" s="17">
        <v>18</v>
      </c>
      <c r="S177" s="19">
        <v>30397</v>
      </c>
      <c r="T177" s="18" t="s">
        <v>102</v>
      </c>
      <c r="U177" s="15" t="s">
        <v>103</v>
      </c>
      <c r="V177" s="218" t="s">
        <v>201</v>
      </c>
    </row>
    <row r="178" spans="1:22" ht="15.75" customHeight="1">
      <c r="A178" s="215" t="s">
        <v>1015</v>
      </c>
      <c r="B178" s="14" t="s">
        <v>1016</v>
      </c>
      <c r="C178" s="14" t="s">
        <v>168</v>
      </c>
      <c r="D178" s="13" t="s">
        <v>1017</v>
      </c>
      <c r="E178" s="14" t="s">
        <v>1018</v>
      </c>
      <c r="F178" s="14" t="s">
        <v>1019</v>
      </c>
      <c r="G178" s="14" t="s">
        <v>95</v>
      </c>
      <c r="H178" s="13" t="s">
        <v>96</v>
      </c>
      <c r="I178" s="20" t="s">
        <v>1020</v>
      </c>
      <c r="J178" s="13" t="s">
        <v>389</v>
      </c>
      <c r="K178" s="14" t="s">
        <v>390</v>
      </c>
      <c r="L178" s="14" t="s">
        <v>99</v>
      </c>
      <c r="M178" s="14" t="s">
        <v>164</v>
      </c>
      <c r="N178" s="14" t="s">
        <v>391</v>
      </c>
      <c r="O178" s="13">
        <v>9</v>
      </c>
      <c r="P178" s="16">
        <v>1500</v>
      </c>
      <c r="Q178" s="13">
        <v>0</v>
      </c>
      <c r="R178" s="13">
        <v>18</v>
      </c>
      <c r="S178" s="16">
        <v>15930</v>
      </c>
      <c r="T178" s="14" t="s">
        <v>183</v>
      </c>
      <c r="U178" s="15" t="s">
        <v>261</v>
      </c>
      <c r="V178" s="218" t="s">
        <v>190</v>
      </c>
    </row>
    <row r="179" spans="1:22" ht="15.75" customHeight="1">
      <c r="A179" s="216" t="s">
        <v>1021</v>
      </c>
      <c r="B179" s="18" t="s">
        <v>701</v>
      </c>
      <c r="C179" s="15" t="s">
        <v>825</v>
      </c>
      <c r="D179" s="17" t="s">
        <v>1022</v>
      </c>
      <c r="E179" s="18" t="s">
        <v>1023</v>
      </c>
      <c r="F179" s="18" t="s">
        <v>1024</v>
      </c>
      <c r="G179" s="18" t="s">
        <v>95</v>
      </c>
      <c r="H179" s="17" t="s">
        <v>96</v>
      </c>
      <c r="I179" s="17" t="s">
        <v>63</v>
      </c>
      <c r="J179" s="17" t="s">
        <v>207</v>
      </c>
      <c r="K179" s="18" t="s">
        <v>208</v>
      </c>
      <c r="L179" s="18" t="s">
        <v>99</v>
      </c>
      <c r="M179" s="18" t="s">
        <v>209</v>
      </c>
      <c r="N179" s="18" t="s">
        <v>210</v>
      </c>
      <c r="O179" s="17">
        <v>9</v>
      </c>
      <c r="P179" s="19">
        <v>55000</v>
      </c>
      <c r="Q179" s="17">
        <v>5</v>
      </c>
      <c r="R179" s="17">
        <v>18</v>
      </c>
      <c r="S179" s="19">
        <v>554895</v>
      </c>
      <c r="T179" s="18" t="s">
        <v>86</v>
      </c>
      <c r="U179" s="15" t="s">
        <v>261</v>
      </c>
      <c r="V179" s="218" t="s">
        <v>190</v>
      </c>
    </row>
    <row r="180" spans="1:22" ht="15.75" customHeight="1">
      <c r="A180" s="215" t="s">
        <v>1025</v>
      </c>
      <c r="B180" s="14" t="s">
        <v>252</v>
      </c>
      <c r="C180" s="15" t="s">
        <v>825</v>
      </c>
      <c r="D180" s="13" t="s">
        <v>1026</v>
      </c>
      <c r="E180" s="14" t="s">
        <v>1023</v>
      </c>
      <c r="F180" s="14" t="s">
        <v>1027</v>
      </c>
      <c r="G180" s="14" t="s">
        <v>135</v>
      </c>
      <c r="H180" s="13" t="s">
        <v>136</v>
      </c>
      <c r="I180" s="13" t="s">
        <v>63</v>
      </c>
      <c r="J180" s="13" t="s">
        <v>420</v>
      </c>
      <c r="K180" s="14" t="s">
        <v>421</v>
      </c>
      <c r="L180" s="14" t="s">
        <v>112</v>
      </c>
      <c r="M180" s="14" t="s">
        <v>422</v>
      </c>
      <c r="N180" s="14" t="s">
        <v>423</v>
      </c>
      <c r="O180" s="13">
        <v>3</v>
      </c>
      <c r="P180" s="16">
        <v>4800</v>
      </c>
      <c r="Q180" s="13">
        <v>15</v>
      </c>
      <c r="R180" s="13">
        <v>18</v>
      </c>
      <c r="S180" s="16">
        <v>14443</v>
      </c>
      <c r="T180" s="14" t="s">
        <v>102</v>
      </c>
      <c r="U180" s="14" t="s">
        <v>143</v>
      </c>
      <c r="V180" s="218" t="s">
        <v>88</v>
      </c>
    </row>
    <row r="181" spans="1:22" ht="15.75" customHeight="1">
      <c r="A181" s="216" t="s">
        <v>1028</v>
      </c>
      <c r="B181" s="18" t="s">
        <v>1029</v>
      </c>
      <c r="C181" s="15" t="s">
        <v>244</v>
      </c>
      <c r="D181" s="17" t="s">
        <v>1030</v>
      </c>
      <c r="E181" s="18" t="s">
        <v>589</v>
      </c>
      <c r="F181" s="18" t="s">
        <v>1031</v>
      </c>
      <c r="G181" s="18" t="s">
        <v>228</v>
      </c>
      <c r="H181" s="17" t="s">
        <v>152</v>
      </c>
      <c r="I181" s="17" t="s">
        <v>80</v>
      </c>
      <c r="J181" s="17" t="s">
        <v>295</v>
      </c>
      <c r="K181" s="18" t="s">
        <v>296</v>
      </c>
      <c r="L181" s="15" t="s">
        <v>805</v>
      </c>
      <c r="M181" s="18" t="s">
        <v>297</v>
      </c>
      <c r="N181" s="18" t="s">
        <v>298</v>
      </c>
      <c r="O181" s="17">
        <v>2</v>
      </c>
      <c r="P181" s="19">
        <v>280</v>
      </c>
      <c r="Q181" s="17">
        <v>20</v>
      </c>
      <c r="R181" s="17">
        <v>5</v>
      </c>
      <c r="S181" s="19">
        <v>470</v>
      </c>
      <c r="T181" s="18" t="s">
        <v>127</v>
      </c>
      <c r="U181" s="15" t="s">
        <v>87</v>
      </c>
      <c r="V181" s="219" t="s">
        <v>155</v>
      </c>
    </row>
    <row r="182" spans="1:22" ht="15.75" customHeight="1">
      <c r="A182" s="215" t="s">
        <v>1032</v>
      </c>
      <c r="B182" s="14" t="s">
        <v>1033</v>
      </c>
      <c r="C182" s="14" t="s">
        <v>337</v>
      </c>
      <c r="D182" s="13"/>
      <c r="E182" s="14" t="s">
        <v>574</v>
      </c>
      <c r="F182" s="14" t="s">
        <v>1034</v>
      </c>
      <c r="G182" s="14" t="s">
        <v>151</v>
      </c>
      <c r="H182" s="13" t="s">
        <v>152</v>
      </c>
      <c r="I182" s="20" t="s">
        <v>904</v>
      </c>
      <c r="J182" s="13" t="s">
        <v>124</v>
      </c>
      <c r="K182" s="14" t="s">
        <v>125</v>
      </c>
      <c r="L182" s="14" t="s">
        <v>99</v>
      </c>
      <c r="M182" s="14" t="s">
        <v>100</v>
      </c>
      <c r="N182" s="14" t="s">
        <v>126</v>
      </c>
      <c r="O182" s="13">
        <v>3</v>
      </c>
      <c r="P182" s="16">
        <v>14000</v>
      </c>
      <c r="Q182" s="13">
        <v>20</v>
      </c>
      <c r="R182" s="13">
        <v>18</v>
      </c>
      <c r="S182" s="16">
        <v>39648</v>
      </c>
      <c r="T182" s="14" t="s">
        <v>153</v>
      </c>
      <c r="U182" s="14" t="s">
        <v>143</v>
      </c>
      <c r="V182" s="217" t="s">
        <v>144</v>
      </c>
    </row>
    <row r="183" spans="1:22" ht="15.75" customHeight="1">
      <c r="A183" s="216" t="s">
        <v>1035</v>
      </c>
      <c r="B183" s="18" t="s">
        <v>1036</v>
      </c>
      <c r="C183" s="18" t="s">
        <v>106</v>
      </c>
      <c r="D183" s="17" t="s">
        <v>1037</v>
      </c>
      <c r="E183" s="18" t="s">
        <v>1038</v>
      </c>
      <c r="F183" s="18" t="s">
        <v>1039</v>
      </c>
      <c r="G183" s="15" t="s">
        <v>274</v>
      </c>
      <c r="H183" s="17" t="s">
        <v>96</v>
      </c>
      <c r="I183" s="20" t="s">
        <v>1040</v>
      </c>
      <c r="J183" s="17" t="s">
        <v>347</v>
      </c>
      <c r="K183" s="18" t="s">
        <v>348</v>
      </c>
      <c r="L183" s="18" t="s">
        <v>139</v>
      </c>
      <c r="M183" s="18" t="s">
        <v>349</v>
      </c>
      <c r="N183" s="18" t="s">
        <v>350</v>
      </c>
      <c r="O183" s="17">
        <v>2</v>
      </c>
      <c r="P183" s="19">
        <v>3200</v>
      </c>
      <c r="Q183" s="17">
        <v>12</v>
      </c>
      <c r="R183" s="17">
        <v>18</v>
      </c>
      <c r="S183" s="19">
        <v>6646</v>
      </c>
      <c r="T183" s="18" t="s">
        <v>413</v>
      </c>
      <c r="U183" s="15" t="s">
        <v>383</v>
      </c>
      <c r="V183" s="219" t="s">
        <v>71</v>
      </c>
    </row>
    <row r="184" spans="1:22" ht="15.75" customHeight="1">
      <c r="A184" s="215" t="s">
        <v>1041</v>
      </c>
      <c r="B184" s="14" t="s">
        <v>393</v>
      </c>
      <c r="C184" s="15"/>
      <c r="D184" s="13" t="s">
        <v>1042</v>
      </c>
      <c r="E184" s="14" t="s">
        <v>1043</v>
      </c>
      <c r="F184" s="14" t="s">
        <v>1044</v>
      </c>
      <c r="G184" s="14" t="s">
        <v>744</v>
      </c>
      <c r="H184" s="13" t="s">
        <v>79</v>
      </c>
      <c r="I184" s="13" t="s">
        <v>80</v>
      </c>
      <c r="J184" s="13" t="s">
        <v>347</v>
      </c>
      <c r="K184" s="14" t="s">
        <v>348</v>
      </c>
      <c r="L184" s="14" t="s">
        <v>139</v>
      </c>
      <c r="M184" s="14" t="s">
        <v>349</v>
      </c>
      <c r="N184" s="14" t="s">
        <v>350</v>
      </c>
      <c r="O184" s="13">
        <v>4</v>
      </c>
      <c r="P184" s="16">
        <v>3200</v>
      </c>
      <c r="Q184" s="13">
        <v>8</v>
      </c>
      <c r="R184" s="13">
        <v>18</v>
      </c>
      <c r="S184" s="16">
        <v>13896</v>
      </c>
      <c r="T184" s="14" t="s">
        <v>127</v>
      </c>
      <c r="U184" s="14" t="s">
        <v>184</v>
      </c>
      <c r="V184" s="218" t="s">
        <v>88</v>
      </c>
    </row>
    <row r="185" spans="1:22" ht="15.75" customHeight="1">
      <c r="A185" s="216" t="s">
        <v>1045</v>
      </c>
      <c r="B185" s="18" t="s">
        <v>1046</v>
      </c>
      <c r="C185" s="18" t="s">
        <v>372</v>
      </c>
      <c r="D185" s="17" t="s">
        <v>1047</v>
      </c>
      <c r="E185" s="18" t="s">
        <v>1048</v>
      </c>
      <c r="F185" s="18" t="s">
        <v>1049</v>
      </c>
      <c r="G185" s="15" t="s">
        <v>304</v>
      </c>
      <c r="H185" s="17" t="s">
        <v>305</v>
      </c>
      <c r="I185" s="17" t="s">
        <v>306</v>
      </c>
      <c r="J185" s="17" t="s">
        <v>81</v>
      </c>
      <c r="K185" s="18" t="s">
        <v>82</v>
      </c>
      <c r="L185" s="18" t="s">
        <v>83</v>
      </c>
      <c r="M185" s="18" t="s">
        <v>84</v>
      </c>
      <c r="N185" s="18" t="s">
        <v>85</v>
      </c>
      <c r="O185" s="20">
        <v>-5</v>
      </c>
      <c r="P185" s="19">
        <v>25000</v>
      </c>
      <c r="Q185" s="17">
        <v>15</v>
      </c>
      <c r="R185" s="17">
        <v>3</v>
      </c>
      <c r="S185" s="21">
        <v>-109438</v>
      </c>
      <c r="T185" s="18" t="s">
        <v>127</v>
      </c>
      <c r="U185" s="15" t="s">
        <v>174</v>
      </c>
      <c r="V185" s="218" t="s">
        <v>128</v>
      </c>
    </row>
    <row r="186" spans="1:22" ht="15.75" customHeight="1">
      <c r="A186" s="215" t="s">
        <v>1050</v>
      </c>
      <c r="B186" s="14" t="s">
        <v>1051</v>
      </c>
      <c r="C186" s="14" t="s">
        <v>712</v>
      </c>
      <c r="D186" s="13" t="s">
        <v>1052</v>
      </c>
      <c r="E186" s="14" t="s">
        <v>1053</v>
      </c>
      <c r="F186" s="14" t="s">
        <v>1054</v>
      </c>
      <c r="G186" s="15" t="s">
        <v>363</v>
      </c>
      <c r="H186" s="13" t="s">
        <v>364</v>
      </c>
      <c r="I186" s="20" t="s">
        <v>732</v>
      </c>
      <c r="J186" s="13" t="s">
        <v>376</v>
      </c>
      <c r="K186" s="14" t="s">
        <v>377</v>
      </c>
      <c r="L186" s="14" t="s">
        <v>112</v>
      </c>
      <c r="M186" s="14" t="s">
        <v>113</v>
      </c>
      <c r="N186" s="14" t="s">
        <v>378</v>
      </c>
      <c r="O186" s="13">
        <v>9</v>
      </c>
      <c r="P186" s="20"/>
      <c r="Q186" s="13">
        <v>5</v>
      </c>
      <c r="R186" s="13">
        <v>18</v>
      </c>
      <c r="S186" s="16">
        <v>0</v>
      </c>
      <c r="T186" s="14" t="s">
        <v>183</v>
      </c>
      <c r="U186" s="14" t="s">
        <v>288</v>
      </c>
      <c r="V186" s="218" t="s">
        <v>88</v>
      </c>
    </row>
    <row r="187" spans="1:22" ht="15.75" customHeight="1">
      <c r="A187" s="216" t="s">
        <v>1055</v>
      </c>
      <c r="B187" s="18" t="s">
        <v>1056</v>
      </c>
      <c r="C187" s="15" t="s">
        <v>522</v>
      </c>
      <c r="D187" s="17" t="s">
        <v>1057</v>
      </c>
      <c r="E187" s="18" t="s">
        <v>1058</v>
      </c>
      <c r="F187" s="18" t="s">
        <v>1059</v>
      </c>
      <c r="G187" s="18" t="s">
        <v>135</v>
      </c>
      <c r="H187" s="17" t="s">
        <v>136</v>
      </c>
      <c r="I187" s="17" t="s">
        <v>63</v>
      </c>
      <c r="J187" s="17" t="s">
        <v>376</v>
      </c>
      <c r="K187" s="18" t="s">
        <v>377</v>
      </c>
      <c r="L187" s="18" t="s">
        <v>112</v>
      </c>
      <c r="M187" s="18" t="s">
        <v>113</v>
      </c>
      <c r="N187" s="18" t="s">
        <v>378</v>
      </c>
      <c r="O187" s="17">
        <v>4</v>
      </c>
      <c r="P187" s="19">
        <v>8500</v>
      </c>
      <c r="Q187" s="17">
        <v>20</v>
      </c>
      <c r="R187" s="17">
        <v>18</v>
      </c>
      <c r="S187" s="19">
        <v>32096</v>
      </c>
      <c r="T187" s="18" t="s">
        <v>142</v>
      </c>
      <c r="U187" s="18" t="s">
        <v>211</v>
      </c>
      <c r="V187" s="218" t="s">
        <v>128</v>
      </c>
    </row>
    <row r="188" spans="1:22" ht="15.75" customHeight="1">
      <c r="A188" s="215" t="s">
        <v>1060</v>
      </c>
      <c r="B188" s="14" t="s">
        <v>1061</v>
      </c>
      <c r="C188" s="15" t="s">
        <v>317</v>
      </c>
      <c r="D188" s="13" t="s">
        <v>1062</v>
      </c>
      <c r="E188" s="14" t="s">
        <v>1063</v>
      </c>
      <c r="F188" s="14" t="s">
        <v>1064</v>
      </c>
      <c r="G188" s="14" t="s">
        <v>78</v>
      </c>
      <c r="H188" s="13" t="s">
        <v>79</v>
      </c>
      <c r="I188" s="13" t="s">
        <v>80</v>
      </c>
      <c r="J188" s="13" t="s">
        <v>110</v>
      </c>
      <c r="K188" s="14" t="s">
        <v>111</v>
      </c>
      <c r="L188" s="14" t="s">
        <v>112</v>
      </c>
      <c r="M188" s="14" t="s">
        <v>113</v>
      </c>
      <c r="N188" s="14" t="s">
        <v>114</v>
      </c>
      <c r="O188" s="13">
        <v>5</v>
      </c>
      <c r="P188" s="16">
        <v>3500</v>
      </c>
      <c r="Q188" s="13">
        <v>15</v>
      </c>
      <c r="R188" s="13">
        <v>18</v>
      </c>
      <c r="S188" s="16">
        <v>17552</v>
      </c>
      <c r="T188" s="14" t="s">
        <v>86</v>
      </c>
      <c r="U188" s="14" t="s">
        <v>211</v>
      </c>
      <c r="V188" s="218" t="s">
        <v>250</v>
      </c>
    </row>
    <row r="189" spans="1:22" ht="15.75" customHeight="1">
      <c r="A189" s="216" t="s">
        <v>1065</v>
      </c>
      <c r="B189" s="18" t="s">
        <v>186</v>
      </c>
      <c r="C189" s="18" t="s">
        <v>416</v>
      </c>
      <c r="D189" s="17" t="s">
        <v>1066</v>
      </c>
      <c r="E189" s="18" t="s">
        <v>1067</v>
      </c>
      <c r="F189" s="18" t="s">
        <v>1068</v>
      </c>
      <c r="G189" s="18" t="s">
        <v>485</v>
      </c>
      <c r="H189" s="17" t="s">
        <v>305</v>
      </c>
      <c r="I189" s="17" t="s">
        <v>306</v>
      </c>
      <c r="J189" s="17" t="s">
        <v>365</v>
      </c>
      <c r="K189" s="18" t="s">
        <v>366</v>
      </c>
      <c r="L189" s="18" t="s">
        <v>112</v>
      </c>
      <c r="M189" s="18" t="s">
        <v>367</v>
      </c>
      <c r="N189" s="18" t="s">
        <v>368</v>
      </c>
      <c r="O189" s="17">
        <v>2</v>
      </c>
      <c r="P189" s="19">
        <v>3500</v>
      </c>
      <c r="Q189" s="17">
        <v>8</v>
      </c>
      <c r="R189" s="17">
        <v>5</v>
      </c>
      <c r="S189" s="19">
        <v>6762</v>
      </c>
      <c r="T189" s="18" t="s">
        <v>326</v>
      </c>
      <c r="U189" s="15" t="s">
        <v>87</v>
      </c>
      <c r="V189" s="218" t="s">
        <v>250</v>
      </c>
    </row>
    <row r="190" spans="1:22" ht="15.75" customHeight="1">
      <c r="A190" s="215" t="s">
        <v>1069</v>
      </c>
      <c r="B190" s="14" t="s">
        <v>1070</v>
      </c>
      <c r="C190" s="14" t="s">
        <v>264</v>
      </c>
      <c r="D190" s="13" t="s">
        <v>1071</v>
      </c>
      <c r="E190" s="14" t="s">
        <v>266</v>
      </c>
      <c r="F190" s="14" t="s">
        <v>1072</v>
      </c>
      <c r="G190" s="15" t="s">
        <v>304</v>
      </c>
      <c r="H190" s="13" t="s">
        <v>305</v>
      </c>
      <c r="I190" s="13" t="s">
        <v>306</v>
      </c>
      <c r="J190" s="13" t="s">
        <v>207</v>
      </c>
      <c r="K190" s="14" t="s">
        <v>208</v>
      </c>
      <c r="L190" s="14" t="s">
        <v>99</v>
      </c>
      <c r="M190" s="14" t="s">
        <v>209</v>
      </c>
      <c r="N190" s="14" t="s">
        <v>210</v>
      </c>
      <c r="O190" s="13">
        <v>9</v>
      </c>
      <c r="P190" s="16">
        <v>55000</v>
      </c>
      <c r="Q190" s="13">
        <v>10</v>
      </c>
      <c r="R190" s="13">
        <v>18</v>
      </c>
      <c r="S190" s="16">
        <v>525690</v>
      </c>
      <c r="T190" s="14" t="s">
        <v>153</v>
      </c>
      <c r="U190" s="14" t="s">
        <v>70</v>
      </c>
      <c r="V190" s="218" t="s">
        <v>128</v>
      </c>
    </row>
    <row r="191" spans="1:22" ht="15.75" customHeight="1">
      <c r="A191" s="216" t="s">
        <v>1073</v>
      </c>
      <c r="B191" s="18" t="s">
        <v>1074</v>
      </c>
      <c r="C191" s="15" t="s">
        <v>329</v>
      </c>
      <c r="D191" s="17" t="s">
        <v>1075</v>
      </c>
      <c r="E191" s="18" t="s">
        <v>331</v>
      </c>
      <c r="F191" s="18" t="s">
        <v>1076</v>
      </c>
      <c r="G191" s="18" t="s">
        <v>122</v>
      </c>
      <c r="H191" s="17" t="s">
        <v>122</v>
      </c>
      <c r="I191" s="17" t="s">
        <v>123</v>
      </c>
      <c r="J191" s="17" t="s">
        <v>124</v>
      </c>
      <c r="K191" s="18" t="s">
        <v>125</v>
      </c>
      <c r="L191" s="18" t="s">
        <v>99</v>
      </c>
      <c r="M191" s="18" t="s">
        <v>100</v>
      </c>
      <c r="N191" s="18" t="s">
        <v>126</v>
      </c>
      <c r="O191" s="17">
        <v>4</v>
      </c>
      <c r="P191" s="19">
        <v>14000</v>
      </c>
      <c r="Q191" s="17">
        <v>143</v>
      </c>
      <c r="R191" s="17">
        <v>18</v>
      </c>
      <c r="S191" s="20"/>
      <c r="T191" s="18" t="s">
        <v>142</v>
      </c>
      <c r="U191" s="15" t="s">
        <v>174</v>
      </c>
      <c r="V191" s="219" t="s">
        <v>144</v>
      </c>
    </row>
    <row r="192" spans="1:22" ht="15.75" customHeight="1">
      <c r="A192" s="215" t="s">
        <v>1077</v>
      </c>
      <c r="B192" s="14" t="s">
        <v>1078</v>
      </c>
      <c r="C192" s="15" t="s">
        <v>825</v>
      </c>
      <c r="D192" s="13" t="s">
        <v>1079</v>
      </c>
      <c r="E192" s="14" t="s">
        <v>1080</v>
      </c>
      <c r="F192" s="14" t="s">
        <v>1081</v>
      </c>
      <c r="G192" s="14" t="s">
        <v>172</v>
      </c>
      <c r="H192" s="13" t="s">
        <v>96</v>
      </c>
      <c r="I192" s="13" t="s">
        <v>63</v>
      </c>
      <c r="J192" s="13" t="s">
        <v>295</v>
      </c>
      <c r="K192" s="14" t="s">
        <v>296</v>
      </c>
      <c r="L192" s="14" t="s">
        <v>66</v>
      </c>
      <c r="M192" s="14" t="s">
        <v>297</v>
      </c>
      <c r="N192" s="14" t="s">
        <v>298</v>
      </c>
      <c r="O192" s="13">
        <v>2</v>
      </c>
      <c r="P192" s="16">
        <v>280</v>
      </c>
      <c r="Q192" s="13">
        <v>0</v>
      </c>
      <c r="R192" s="13">
        <v>5</v>
      </c>
      <c r="S192" s="16">
        <v>588</v>
      </c>
      <c r="T192" s="14" t="s">
        <v>127</v>
      </c>
      <c r="U192" s="15" t="s">
        <v>174</v>
      </c>
      <c r="V192" s="217" t="s">
        <v>144</v>
      </c>
    </row>
    <row r="193" spans="1:22" ht="15.75" customHeight="1">
      <c r="A193" s="216" t="s">
        <v>1082</v>
      </c>
      <c r="B193" s="18" t="s">
        <v>1033</v>
      </c>
      <c r="C193" s="18" t="s">
        <v>337</v>
      </c>
      <c r="D193" s="17" t="s">
        <v>1083</v>
      </c>
      <c r="E193" s="18" t="s">
        <v>1084</v>
      </c>
      <c r="F193" s="18" t="s">
        <v>1085</v>
      </c>
      <c r="G193" s="15" t="s">
        <v>304</v>
      </c>
      <c r="H193" s="17" t="s">
        <v>305</v>
      </c>
      <c r="I193" s="17" t="s">
        <v>306</v>
      </c>
      <c r="J193" s="17" t="s">
        <v>275</v>
      </c>
      <c r="K193" s="18" t="s">
        <v>276</v>
      </c>
      <c r="L193" s="18" t="s">
        <v>99</v>
      </c>
      <c r="M193" s="18" t="s">
        <v>277</v>
      </c>
      <c r="N193" s="18" t="s">
        <v>126</v>
      </c>
      <c r="O193" s="17">
        <v>4</v>
      </c>
      <c r="P193" s="19">
        <v>35000</v>
      </c>
      <c r="Q193" s="17">
        <v>12</v>
      </c>
      <c r="R193" s="17">
        <v>18</v>
      </c>
      <c r="S193" s="19">
        <v>145376</v>
      </c>
      <c r="T193" s="18" t="s">
        <v>326</v>
      </c>
      <c r="U193" s="15" t="s">
        <v>154</v>
      </c>
      <c r="V193" s="218" t="s">
        <v>201</v>
      </c>
    </row>
    <row r="194" spans="1:22" ht="15.75" customHeight="1">
      <c r="A194" s="215" t="s">
        <v>973</v>
      </c>
      <c r="B194" s="14" t="s">
        <v>937</v>
      </c>
      <c r="C194" s="15" t="s">
        <v>747</v>
      </c>
      <c r="D194" s="13" t="s">
        <v>974</v>
      </c>
      <c r="E194" s="14" t="s">
        <v>975</v>
      </c>
      <c r="F194" s="14" t="s">
        <v>976</v>
      </c>
      <c r="G194" s="15" t="s">
        <v>363</v>
      </c>
      <c r="H194" s="13" t="s">
        <v>364</v>
      </c>
      <c r="I194" s="13" t="s">
        <v>63</v>
      </c>
      <c r="J194" s="13" t="s">
        <v>162</v>
      </c>
      <c r="K194" s="14" t="s">
        <v>163</v>
      </c>
      <c r="L194" s="14" t="s">
        <v>99</v>
      </c>
      <c r="M194" s="14" t="s">
        <v>164</v>
      </c>
      <c r="N194" s="14" t="s">
        <v>165</v>
      </c>
      <c r="O194" s="20">
        <v>-3</v>
      </c>
      <c r="P194" s="16">
        <v>2800</v>
      </c>
      <c r="Q194" s="13">
        <v>12</v>
      </c>
      <c r="R194" s="13">
        <v>18</v>
      </c>
      <c r="S194" s="21">
        <v>-8723</v>
      </c>
      <c r="T194" s="14" t="s">
        <v>127</v>
      </c>
      <c r="U194" s="15" t="s">
        <v>261</v>
      </c>
      <c r="V194" s="218" t="s">
        <v>250</v>
      </c>
    </row>
    <row r="195" spans="1:22" ht="15.75" customHeight="1">
      <c r="A195" s="216" t="s">
        <v>1086</v>
      </c>
      <c r="B195" s="18" t="s">
        <v>360</v>
      </c>
      <c r="C195" s="15"/>
      <c r="D195" s="17" t="s">
        <v>1087</v>
      </c>
      <c r="E195" s="18" t="s">
        <v>1088</v>
      </c>
      <c r="F195" s="18" t="s">
        <v>1089</v>
      </c>
      <c r="G195" s="15" t="s">
        <v>304</v>
      </c>
      <c r="H195" s="17" t="s">
        <v>305</v>
      </c>
      <c r="I195" s="17" t="s">
        <v>306</v>
      </c>
      <c r="J195" s="17" t="s">
        <v>257</v>
      </c>
      <c r="K195" s="18" t="s">
        <v>258</v>
      </c>
      <c r="L195" s="18" t="s">
        <v>139</v>
      </c>
      <c r="M195" s="18" t="s">
        <v>259</v>
      </c>
      <c r="N195" s="18" t="s">
        <v>260</v>
      </c>
      <c r="O195" s="20">
        <v>-1</v>
      </c>
      <c r="P195" s="19">
        <v>299</v>
      </c>
      <c r="Q195" s="17">
        <v>0</v>
      </c>
      <c r="R195" s="17">
        <v>18</v>
      </c>
      <c r="S195" s="21">
        <v>-353</v>
      </c>
      <c r="T195" s="18" t="s">
        <v>86</v>
      </c>
      <c r="U195" s="15" t="s">
        <v>261</v>
      </c>
      <c r="V195" s="218" t="s">
        <v>201</v>
      </c>
    </row>
    <row r="196" spans="1:22" ht="15.75" customHeight="1">
      <c r="A196" s="215" t="s">
        <v>1090</v>
      </c>
      <c r="B196" s="14" t="s">
        <v>1091</v>
      </c>
      <c r="C196" s="15" t="s">
        <v>842</v>
      </c>
      <c r="D196" s="13" t="s">
        <v>1092</v>
      </c>
      <c r="E196" s="14" t="s">
        <v>1093</v>
      </c>
      <c r="F196" s="14" t="s">
        <v>1094</v>
      </c>
      <c r="G196" s="14" t="s">
        <v>78</v>
      </c>
      <c r="H196" s="13" t="s">
        <v>79</v>
      </c>
      <c r="I196" s="13" t="s">
        <v>80</v>
      </c>
      <c r="J196" s="13" t="s">
        <v>491</v>
      </c>
      <c r="K196" s="14" t="s">
        <v>492</v>
      </c>
      <c r="L196" s="14" t="s">
        <v>112</v>
      </c>
      <c r="M196" s="14" t="s">
        <v>493</v>
      </c>
      <c r="N196" s="14" t="s">
        <v>494</v>
      </c>
      <c r="O196" s="13">
        <v>7</v>
      </c>
      <c r="P196" s="16">
        <v>4500</v>
      </c>
      <c r="Q196" s="13">
        <v>25</v>
      </c>
      <c r="R196" s="13">
        <v>5</v>
      </c>
      <c r="S196" s="16">
        <v>24806</v>
      </c>
      <c r="T196" s="14" t="s">
        <v>153</v>
      </c>
      <c r="U196" s="15" t="s">
        <v>103</v>
      </c>
      <c r="V196" s="218" t="s">
        <v>88</v>
      </c>
    </row>
    <row r="197" spans="1:22" ht="15.75" customHeight="1">
      <c r="A197" s="216" t="s">
        <v>1095</v>
      </c>
      <c r="B197" s="18" t="s">
        <v>1096</v>
      </c>
      <c r="C197" s="15" t="s">
        <v>215</v>
      </c>
      <c r="D197" s="17" t="s">
        <v>1097</v>
      </c>
      <c r="E197" s="18" t="s">
        <v>1098</v>
      </c>
      <c r="F197" s="18" t="s">
        <v>1099</v>
      </c>
      <c r="G197" s="15" t="s">
        <v>363</v>
      </c>
      <c r="H197" s="17" t="s">
        <v>364</v>
      </c>
      <c r="I197" s="17" t="s">
        <v>63</v>
      </c>
      <c r="J197" s="17" t="s">
        <v>207</v>
      </c>
      <c r="K197" s="18" t="s">
        <v>208</v>
      </c>
      <c r="L197" s="18" t="s">
        <v>99</v>
      </c>
      <c r="M197" s="18" t="s">
        <v>209</v>
      </c>
      <c r="N197" s="18" t="s">
        <v>210</v>
      </c>
      <c r="O197" s="17">
        <v>4</v>
      </c>
      <c r="P197" s="20" t="s">
        <v>1100</v>
      </c>
      <c r="Q197" s="17">
        <v>12</v>
      </c>
      <c r="R197" s="17">
        <v>18</v>
      </c>
      <c r="S197" s="19">
        <v>228448</v>
      </c>
      <c r="T197" s="18" t="s">
        <v>465</v>
      </c>
      <c r="U197" s="15" t="s">
        <v>87</v>
      </c>
      <c r="V197" s="219" t="s">
        <v>71</v>
      </c>
    </row>
    <row r="198" spans="1:22" ht="15.75" customHeight="1">
      <c r="A198" s="215" t="s">
        <v>1101</v>
      </c>
      <c r="B198" s="14" t="s">
        <v>1102</v>
      </c>
      <c r="C198" s="15" t="s">
        <v>244</v>
      </c>
      <c r="D198" s="13" t="s">
        <v>1103</v>
      </c>
      <c r="E198" s="14" t="s">
        <v>498</v>
      </c>
      <c r="F198" s="14" t="s">
        <v>1104</v>
      </c>
      <c r="G198" s="14" t="s">
        <v>248</v>
      </c>
      <c r="H198" s="13" t="s">
        <v>249</v>
      </c>
      <c r="I198" s="13" t="s">
        <v>123</v>
      </c>
      <c r="J198" s="13" t="s">
        <v>81</v>
      </c>
      <c r="K198" s="14" t="s">
        <v>82</v>
      </c>
      <c r="L198" s="14" t="s">
        <v>83</v>
      </c>
      <c r="M198" s="14" t="s">
        <v>84</v>
      </c>
      <c r="N198" s="14" t="s">
        <v>85</v>
      </c>
      <c r="O198" s="13">
        <v>2</v>
      </c>
      <c r="P198" s="16">
        <v>25000</v>
      </c>
      <c r="Q198" s="13">
        <v>15</v>
      </c>
      <c r="R198" s="13">
        <v>3</v>
      </c>
      <c r="S198" s="16">
        <v>43775</v>
      </c>
      <c r="T198" s="14" t="s">
        <v>69</v>
      </c>
      <c r="U198" s="15" t="s">
        <v>383</v>
      </c>
      <c r="V198" s="218" t="s">
        <v>128</v>
      </c>
    </row>
    <row r="199" spans="1:22" ht="15.75" customHeight="1">
      <c r="A199" s="216" t="s">
        <v>1105</v>
      </c>
      <c r="B199" s="18" t="s">
        <v>1106</v>
      </c>
      <c r="C199" s="18" t="s">
        <v>291</v>
      </c>
      <c r="D199" s="17" t="s">
        <v>1107</v>
      </c>
      <c r="E199" s="18" t="s">
        <v>664</v>
      </c>
      <c r="F199" s="18" t="s">
        <v>1108</v>
      </c>
      <c r="G199" s="15" t="s">
        <v>274</v>
      </c>
      <c r="H199" s="17" t="s">
        <v>96</v>
      </c>
      <c r="I199" s="17" t="s">
        <v>63</v>
      </c>
      <c r="J199" s="17" t="s">
        <v>197</v>
      </c>
      <c r="K199" s="18" t="s">
        <v>198</v>
      </c>
      <c r="L199" s="18" t="s">
        <v>66</v>
      </c>
      <c r="M199" s="18" t="s">
        <v>199</v>
      </c>
      <c r="N199" s="18" t="s">
        <v>200</v>
      </c>
      <c r="O199" s="17">
        <v>9</v>
      </c>
      <c r="P199" s="19">
        <v>50</v>
      </c>
      <c r="Q199" s="17">
        <v>15</v>
      </c>
      <c r="R199" s="17">
        <v>5</v>
      </c>
      <c r="S199" s="19">
        <v>402</v>
      </c>
      <c r="T199" s="18" t="s">
        <v>115</v>
      </c>
      <c r="U199" s="18" t="s">
        <v>211</v>
      </c>
      <c r="V199" s="218" t="s">
        <v>190</v>
      </c>
    </row>
    <row r="200" spans="1:22" ht="15.75" customHeight="1">
      <c r="A200" s="215" t="s">
        <v>1109</v>
      </c>
      <c r="B200" s="14" t="s">
        <v>398</v>
      </c>
      <c r="C200" s="14" t="s">
        <v>291</v>
      </c>
      <c r="D200" s="13" t="s">
        <v>1110</v>
      </c>
      <c r="E200" s="14" t="s">
        <v>719</v>
      </c>
      <c r="F200" s="14" t="s">
        <v>1111</v>
      </c>
      <c r="G200" s="15" t="s">
        <v>268</v>
      </c>
      <c r="H200" s="13" t="s">
        <v>122</v>
      </c>
      <c r="I200" s="13" t="s">
        <v>123</v>
      </c>
      <c r="J200" s="13" t="s">
        <v>81</v>
      </c>
      <c r="K200" s="14" t="s">
        <v>82</v>
      </c>
      <c r="L200" s="14" t="s">
        <v>83</v>
      </c>
      <c r="M200" s="14" t="s">
        <v>84</v>
      </c>
      <c r="N200" s="14" t="s">
        <v>85</v>
      </c>
      <c r="O200" s="13">
        <v>2</v>
      </c>
      <c r="P200" s="16">
        <v>25000</v>
      </c>
      <c r="Q200" s="13">
        <v>8</v>
      </c>
      <c r="R200" s="13">
        <v>3</v>
      </c>
      <c r="S200" s="16">
        <v>47380</v>
      </c>
      <c r="T200" s="14" t="s">
        <v>153</v>
      </c>
      <c r="U200" s="14" t="s">
        <v>211</v>
      </c>
      <c r="V200" s="218" t="s">
        <v>250</v>
      </c>
    </row>
    <row r="201" spans="1:22" ht="15.75" customHeight="1">
      <c r="A201" s="216" t="s">
        <v>1112</v>
      </c>
      <c r="B201" s="18" t="s">
        <v>1113</v>
      </c>
      <c r="C201" s="18" t="s">
        <v>482</v>
      </c>
      <c r="D201" s="17" t="s">
        <v>1114</v>
      </c>
      <c r="E201" s="18" t="s">
        <v>1115</v>
      </c>
      <c r="F201" s="18" t="s">
        <v>1116</v>
      </c>
      <c r="G201" s="18" t="s">
        <v>61</v>
      </c>
      <c r="H201" s="17" t="s">
        <v>62</v>
      </c>
      <c r="I201" s="17" t="s">
        <v>63</v>
      </c>
      <c r="J201" s="17" t="s">
        <v>238</v>
      </c>
      <c r="K201" s="18" t="s">
        <v>239</v>
      </c>
      <c r="L201" s="18" t="s">
        <v>112</v>
      </c>
      <c r="M201" s="18" t="s">
        <v>240</v>
      </c>
      <c r="N201" s="18" t="s">
        <v>241</v>
      </c>
      <c r="O201" s="17">
        <v>1</v>
      </c>
      <c r="P201" s="19">
        <v>2500</v>
      </c>
      <c r="Q201" s="17">
        <v>0</v>
      </c>
      <c r="R201" s="17">
        <v>5</v>
      </c>
      <c r="S201" s="19">
        <v>2625</v>
      </c>
      <c r="T201" s="18" t="s">
        <v>153</v>
      </c>
      <c r="U201" s="18" t="s">
        <v>288</v>
      </c>
      <c r="V201" s="219" t="s">
        <v>212</v>
      </c>
    </row>
    <row r="202" spans="1:22" ht="15.75" customHeight="1">
      <c r="A202" s="215" t="s">
        <v>1117</v>
      </c>
      <c r="B202" s="14" t="s">
        <v>1118</v>
      </c>
      <c r="C202" s="14" t="s">
        <v>372</v>
      </c>
      <c r="D202" s="13" t="s">
        <v>1119</v>
      </c>
      <c r="E202" s="14" t="s">
        <v>374</v>
      </c>
      <c r="F202" s="14" t="s">
        <v>1120</v>
      </c>
      <c r="G202" s="15" t="s">
        <v>274</v>
      </c>
      <c r="H202" s="13" t="s">
        <v>96</v>
      </c>
      <c r="I202" s="13" t="s">
        <v>63</v>
      </c>
      <c r="J202" s="13" t="s">
        <v>356</v>
      </c>
      <c r="K202" s="14" t="s">
        <v>357</v>
      </c>
      <c r="L202" s="14" t="s">
        <v>139</v>
      </c>
      <c r="M202" s="14" t="s">
        <v>140</v>
      </c>
      <c r="N202" s="14" t="s">
        <v>358</v>
      </c>
      <c r="O202" s="13">
        <v>10</v>
      </c>
      <c r="P202" s="16">
        <v>42000</v>
      </c>
      <c r="Q202" s="13">
        <v>8</v>
      </c>
      <c r="R202" s="13">
        <v>18</v>
      </c>
      <c r="S202" s="16">
        <v>455952</v>
      </c>
      <c r="T202" s="14" t="s">
        <v>102</v>
      </c>
      <c r="U202" s="14" t="s">
        <v>184</v>
      </c>
      <c r="V202" s="217" t="s">
        <v>144</v>
      </c>
    </row>
    <row r="203" spans="1:22" ht="15.75" customHeight="1">
      <c r="A203" s="216" t="s">
        <v>1121</v>
      </c>
      <c r="B203" s="18" t="s">
        <v>760</v>
      </c>
      <c r="C203" s="15" t="s">
        <v>473</v>
      </c>
      <c r="D203" s="17" t="s">
        <v>1122</v>
      </c>
      <c r="E203" s="18" t="s">
        <v>1123</v>
      </c>
      <c r="F203" s="15"/>
      <c r="G203" s="18" t="s">
        <v>172</v>
      </c>
      <c r="H203" s="17" t="s">
        <v>96</v>
      </c>
      <c r="I203" s="17" t="s">
        <v>63</v>
      </c>
      <c r="J203" s="17" t="s">
        <v>347</v>
      </c>
      <c r="K203" s="18" t="s">
        <v>348</v>
      </c>
      <c r="L203" s="18" t="s">
        <v>139</v>
      </c>
      <c r="M203" s="18" t="s">
        <v>349</v>
      </c>
      <c r="N203" s="18" t="s">
        <v>350</v>
      </c>
      <c r="O203" s="17">
        <v>7</v>
      </c>
      <c r="P203" s="19">
        <v>3200</v>
      </c>
      <c r="Q203" s="20" t="s">
        <v>519</v>
      </c>
      <c r="R203" s="17">
        <v>18</v>
      </c>
      <c r="S203" s="19">
        <v>19824</v>
      </c>
      <c r="T203" s="18" t="s">
        <v>127</v>
      </c>
      <c r="U203" s="15" t="s">
        <v>87</v>
      </c>
      <c r="V203" s="219" t="s">
        <v>155</v>
      </c>
    </row>
    <row r="204" spans="1:22" ht="15.75" customHeight="1">
      <c r="A204" s="215" t="s">
        <v>1124</v>
      </c>
      <c r="B204" s="14" t="s">
        <v>604</v>
      </c>
      <c r="C204" s="15" t="s">
        <v>91</v>
      </c>
      <c r="D204" s="13" t="s">
        <v>1125</v>
      </c>
      <c r="E204" s="14" t="s">
        <v>1126</v>
      </c>
      <c r="F204" s="14" t="s">
        <v>1127</v>
      </c>
      <c r="G204" s="14" t="s">
        <v>151</v>
      </c>
      <c r="H204" s="13" t="s">
        <v>152</v>
      </c>
      <c r="I204" s="13" t="s">
        <v>80</v>
      </c>
      <c r="J204" s="13" t="s">
        <v>275</v>
      </c>
      <c r="K204" s="14" t="s">
        <v>276</v>
      </c>
      <c r="L204" s="14" t="s">
        <v>99</v>
      </c>
      <c r="M204" s="14" t="s">
        <v>277</v>
      </c>
      <c r="N204" s="14" t="s">
        <v>126</v>
      </c>
      <c r="O204" s="13">
        <v>9</v>
      </c>
      <c r="P204" s="16">
        <v>35000</v>
      </c>
      <c r="Q204" s="13">
        <v>15</v>
      </c>
      <c r="R204" s="13">
        <v>18</v>
      </c>
      <c r="S204" s="16">
        <v>315945</v>
      </c>
      <c r="T204" s="14" t="s">
        <v>413</v>
      </c>
      <c r="U204" s="14" t="s">
        <v>70</v>
      </c>
      <c r="V204" s="218" t="s">
        <v>201</v>
      </c>
    </row>
    <row r="205" spans="1:22" ht="15.75" customHeight="1">
      <c r="A205" s="216" t="s">
        <v>1128</v>
      </c>
      <c r="B205" s="18" t="s">
        <v>1129</v>
      </c>
      <c r="C205" s="15" t="s">
        <v>605</v>
      </c>
      <c r="D205" s="17" t="s">
        <v>1130</v>
      </c>
      <c r="E205" s="18" t="s">
        <v>646</v>
      </c>
      <c r="F205" s="15"/>
      <c r="G205" s="15" t="s">
        <v>407</v>
      </c>
      <c r="H205" s="17" t="s">
        <v>152</v>
      </c>
      <c r="I205" s="17" t="s">
        <v>80</v>
      </c>
      <c r="J205" s="17" t="s">
        <v>257</v>
      </c>
      <c r="K205" s="18" t="s">
        <v>258</v>
      </c>
      <c r="L205" s="18" t="s">
        <v>139</v>
      </c>
      <c r="M205" s="18" t="s">
        <v>259</v>
      </c>
      <c r="N205" s="18" t="s">
        <v>260</v>
      </c>
      <c r="O205" s="17">
        <v>1</v>
      </c>
      <c r="P205" s="19">
        <v>299</v>
      </c>
      <c r="Q205" s="17">
        <v>15</v>
      </c>
      <c r="R205" s="17">
        <v>18</v>
      </c>
      <c r="S205" s="19">
        <v>300</v>
      </c>
      <c r="T205" s="18" t="s">
        <v>153</v>
      </c>
      <c r="U205" s="18" t="s">
        <v>70</v>
      </c>
      <c r="V205" s="219" t="s">
        <v>155</v>
      </c>
    </row>
    <row r="206" spans="1:22" ht="15.75" customHeight="1">
      <c r="A206" s="215" t="s">
        <v>1131</v>
      </c>
      <c r="B206" s="14" t="s">
        <v>990</v>
      </c>
      <c r="C206" s="14" t="s">
        <v>416</v>
      </c>
      <c r="D206" s="13" t="s">
        <v>1132</v>
      </c>
      <c r="E206" s="14" t="s">
        <v>601</v>
      </c>
      <c r="F206" s="14" t="s">
        <v>1133</v>
      </c>
      <c r="G206" s="15" t="s">
        <v>274</v>
      </c>
      <c r="H206" s="13" t="s">
        <v>96</v>
      </c>
      <c r="I206" s="13" t="s">
        <v>63</v>
      </c>
      <c r="J206" s="13" t="s">
        <v>312</v>
      </c>
      <c r="K206" s="14" t="s">
        <v>313</v>
      </c>
      <c r="L206" s="14" t="s">
        <v>66</v>
      </c>
      <c r="M206" s="14" t="s">
        <v>199</v>
      </c>
      <c r="N206" s="14" t="s">
        <v>314</v>
      </c>
      <c r="O206" s="13">
        <v>8</v>
      </c>
      <c r="P206" s="16">
        <v>40</v>
      </c>
      <c r="Q206" s="13">
        <v>20</v>
      </c>
      <c r="R206" s="13">
        <v>5</v>
      </c>
      <c r="S206" s="16">
        <v>269</v>
      </c>
      <c r="T206" s="14" t="s">
        <v>465</v>
      </c>
      <c r="U206" s="15" t="s">
        <v>103</v>
      </c>
      <c r="V206" s="218" t="s">
        <v>250</v>
      </c>
    </row>
    <row r="207" spans="1:22" ht="15.75" customHeight="1">
      <c r="A207" s="216" t="s">
        <v>1045</v>
      </c>
      <c r="B207" s="18" t="s">
        <v>1046</v>
      </c>
      <c r="C207" s="18" t="s">
        <v>372</v>
      </c>
      <c r="D207" s="17" t="s">
        <v>1047</v>
      </c>
      <c r="E207" s="18" t="s">
        <v>1048</v>
      </c>
      <c r="F207" s="18" t="s">
        <v>1049</v>
      </c>
      <c r="G207" s="15" t="s">
        <v>304</v>
      </c>
      <c r="H207" s="17" t="s">
        <v>305</v>
      </c>
      <c r="I207" s="17" t="s">
        <v>306</v>
      </c>
      <c r="J207" s="17" t="s">
        <v>81</v>
      </c>
      <c r="K207" s="18" t="s">
        <v>82</v>
      </c>
      <c r="L207" s="18" t="s">
        <v>83</v>
      </c>
      <c r="M207" s="18" t="s">
        <v>84</v>
      </c>
      <c r="N207" s="18" t="s">
        <v>85</v>
      </c>
      <c r="O207" s="20">
        <v>-5</v>
      </c>
      <c r="P207" s="19">
        <v>25000</v>
      </c>
      <c r="Q207" s="17">
        <v>15</v>
      </c>
      <c r="R207" s="17">
        <v>3</v>
      </c>
      <c r="S207" s="21">
        <v>-109438</v>
      </c>
      <c r="T207" s="18" t="s">
        <v>127</v>
      </c>
      <c r="U207" s="15" t="s">
        <v>174</v>
      </c>
      <c r="V207" s="218" t="s">
        <v>128</v>
      </c>
    </row>
    <row r="208" spans="1:22" ht="15.75" customHeight="1">
      <c r="A208" s="215" t="s">
        <v>1134</v>
      </c>
      <c r="B208" s="14" t="s">
        <v>1135</v>
      </c>
      <c r="C208" s="14" t="s">
        <v>712</v>
      </c>
      <c r="D208" s="13" t="s">
        <v>1136</v>
      </c>
      <c r="E208" s="14" t="s">
        <v>1137</v>
      </c>
      <c r="F208" s="14" t="s">
        <v>1138</v>
      </c>
      <c r="G208" s="15" t="s">
        <v>363</v>
      </c>
      <c r="H208" s="13" t="s">
        <v>364</v>
      </c>
      <c r="I208" s="13" t="s">
        <v>63</v>
      </c>
      <c r="J208" s="13" t="s">
        <v>376</v>
      </c>
      <c r="K208" s="14" t="s">
        <v>377</v>
      </c>
      <c r="L208" s="14" t="s">
        <v>112</v>
      </c>
      <c r="M208" s="14" t="s">
        <v>113</v>
      </c>
      <c r="N208" s="14" t="s">
        <v>378</v>
      </c>
      <c r="O208" s="13">
        <v>4</v>
      </c>
      <c r="P208" s="16">
        <v>8500</v>
      </c>
      <c r="Q208" s="13">
        <v>5</v>
      </c>
      <c r="R208" s="13">
        <v>18</v>
      </c>
      <c r="S208" s="16">
        <v>38114</v>
      </c>
      <c r="T208" s="14" t="s">
        <v>413</v>
      </c>
      <c r="U208" s="15" t="s">
        <v>383</v>
      </c>
      <c r="V208" s="218" t="s">
        <v>190</v>
      </c>
    </row>
    <row r="209" spans="1:22" ht="15.75" customHeight="1">
      <c r="A209" s="216" t="s">
        <v>1139</v>
      </c>
      <c r="B209" s="18" t="s">
        <v>1140</v>
      </c>
      <c r="C209" s="18" t="s">
        <v>728</v>
      </c>
      <c r="D209" s="17" t="s">
        <v>1141</v>
      </c>
      <c r="E209" s="18" t="s">
        <v>1142</v>
      </c>
      <c r="F209" s="18" t="s">
        <v>1143</v>
      </c>
      <c r="G209" s="15" t="s">
        <v>304</v>
      </c>
      <c r="H209" s="17" t="s">
        <v>305</v>
      </c>
      <c r="I209" s="17" t="s">
        <v>306</v>
      </c>
      <c r="J209" s="17" t="s">
        <v>219</v>
      </c>
      <c r="K209" s="18" t="s">
        <v>220</v>
      </c>
      <c r="L209" s="18" t="s">
        <v>99</v>
      </c>
      <c r="M209" s="18" t="s">
        <v>100</v>
      </c>
      <c r="N209" s="18" t="s">
        <v>221</v>
      </c>
      <c r="O209" s="17">
        <v>2</v>
      </c>
      <c r="P209" s="19">
        <v>89000</v>
      </c>
      <c r="Q209" s="17">
        <v>145</v>
      </c>
      <c r="R209" s="17">
        <v>18</v>
      </c>
      <c r="S209" s="20"/>
      <c r="T209" s="18" t="s">
        <v>142</v>
      </c>
      <c r="U209" s="18" t="s">
        <v>211</v>
      </c>
      <c r="V209" s="218" t="s">
        <v>190</v>
      </c>
    </row>
    <row r="210" spans="1:22" ht="15.75" customHeight="1">
      <c r="A210" s="215" t="s">
        <v>1144</v>
      </c>
      <c r="B210" s="14" t="s">
        <v>1145</v>
      </c>
      <c r="C210" s="14" t="s">
        <v>131</v>
      </c>
      <c r="D210" s="13" t="s">
        <v>1146</v>
      </c>
      <c r="E210" s="14" t="s">
        <v>895</v>
      </c>
      <c r="F210" s="14" t="s">
        <v>1147</v>
      </c>
      <c r="G210" s="14" t="s">
        <v>61</v>
      </c>
      <c r="H210" s="13" t="s">
        <v>62</v>
      </c>
      <c r="I210" s="13" t="s">
        <v>63</v>
      </c>
      <c r="J210" s="13" t="s">
        <v>420</v>
      </c>
      <c r="K210" s="14" t="s">
        <v>421</v>
      </c>
      <c r="L210" s="14" t="s">
        <v>112</v>
      </c>
      <c r="M210" s="14" t="s">
        <v>422</v>
      </c>
      <c r="N210" s="14" t="s">
        <v>423</v>
      </c>
      <c r="O210" s="13">
        <v>10</v>
      </c>
      <c r="P210" s="16">
        <v>4800</v>
      </c>
      <c r="Q210" s="13">
        <v>12</v>
      </c>
      <c r="R210" s="13">
        <v>18</v>
      </c>
      <c r="S210" s="16">
        <v>49843</v>
      </c>
      <c r="T210" s="14" t="s">
        <v>153</v>
      </c>
      <c r="U210" s="14" t="s">
        <v>211</v>
      </c>
      <c r="V210" s="218" t="s">
        <v>201</v>
      </c>
    </row>
    <row r="211" spans="1:22" ht="15.75" customHeight="1">
      <c r="A211" s="216" t="s">
        <v>1148</v>
      </c>
      <c r="B211" s="18" t="s">
        <v>737</v>
      </c>
      <c r="C211" s="15" t="s">
        <v>605</v>
      </c>
      <c r="D211" s="17" t="s">
        <v>1149</v>
      </c>
      <c r="E211" s="18" t="s">
        <v>1150</v>
      </c>
      <c r="F211" s="18" t="s">
        <v>1151</v>
      </c>
      <c r="G211" s="15" t="s">
        <v>407</v>
      </c>
      <c r="H211" s="17" t="s">
        <v>152</v>
      </c>
      <c r="I211" s="17" t="s">
        <v>80</v>
      </c>
      <c r="J211" s="17" t="s">
        <v>137</v>
      </c>
      <c r="K211" s="18" t="s">
        <v>138</v>
      </c>
      <c r="L211" s="18" t="s">
        <v>139</v>
      </c>
      <c r="M211" s="18" t="s">
        <v>140</v>
      </c>
      <c r="N211" s="18" t="s">
        <v>141</v>
      </c>
      <c r="O211" s="17">
        <v>1</v>
      </c>
      <c r="P211" s="19">
        <v>12000</v>
      </c>
      <c r="Q211" s="17">
        <v>144</v>
      </c>
      <c r="R211" s="17">
        <v>18</v>
      </c>
      <c r="S211" s="20"/>
      <c r="T211" s="18" t="s">
        <v>413</v>
      </c>
      <c r="U211" s="15" t="s">
        <v>103</v>
      </c>
      <c r="V211" s="218" t="s">
        <v>201</v>
      </c>
    </row>
    <row r="212" spans="1:22" ht="15.75" customHeight="1">
      <c r="A212" s="215" t="s">
        <v>1152</v>
      </c>
      <c r="B212" s="14" t="s">
        <v>1153</v>
      </c>
      <c r="C212" s="14" t="s">
        <v>131</v>
      </c>
      <c r="D212" s="13" t="s">
        <v>1154</v>
      </c>
      <c r="E212" s="14" t="s">
        <v>133</v>
      </c>
      <c r="F212" s="14" t="s">
        <v>1155</v>
      </c>
      <c r="G212" s="14" t="s">
        <v>248</v>
      </c>
      <c r="H212" s="13" t="s">
        <v>249</v>
      </c>
      <c r="I212" s="13" t="s">
        <v>123</v>
      </c>
      <c r="J212" s="13" t="s">
        <v>420</v>
      </c>
      <c r="K212" s="14" t="s">
        <v>421</v>
      </c>
      <c r="L212" s="14" t="s">
        <v>112</v>
      </c>
      <c r="M212" s="14" t="s">
        <v>422</v>
      </c>
      <c r="N212" s="14" t="s">
        <v>423</v>
      </c>
      <c r="O212" s="13">
        <v>4</v>
      </c>
      <c r="P212" s="16">
        <v>4800</v>
      </c>
      <c r="Q212" s="13">
        <v>15</v>
      </c>
      <c r="R212" s="13">
        <v>18</v>
      </c>
      <c r="S212" s="16">
        <v>19258</v>
      </c>
      <c r="T212" s="14" t="s">
        <v>326</v>
      </c>
      <c r="U212" s="15" t="s">
        <v>103</v>
      </c>
      <c r="V212" s="218" t="s">
        <v>88</v>
      </c>
    </row>
    <row r="213" spans="1:22" ht="15.75" customHeight="1">
      <c r="A213" s="216" t="s">
        <v>1156</v>
      </c>
      <c r="B213" s="18" t="s">
        <v>1157</v>
      </c>
      <c r="C213" s="18" t="s">
        <v>131</v>
      </c>
      <c r="D213" s="17" t="s">
        <v>1158</v>
      </c>
      <c r="E213" s="18" t="s">
        <v>437</v>
      </c>
      <c r="F213" s="18" t="s">
        <v>1159</v>
      </c>
      <c r="G213" s="15" t="s">
        <v>274</v>
      </c>
      <c r="H213" s="17" t="s">
        <v>96</v>
      </c>
      <c r="I213" s="17" t="s">
        <v>63</v>
      </c>
      <c r="J213" s="17" t="s">
        <v>897</v>
      </c>
      <c r="K213" s="18" t="s">
        <v>898</v>
      </c>
      <c r="L213" s="18" t="s">
        <v>139</v>
      </c>
      <c r="M213" s="18" t="s">
        <v>140</v>
      </c>
      <c r="N213" s="18" t="s">
        <v>899</v>
      </c>
      <c r="O213" s="17">
        <v>3</v>
      </c>
      <c r="P213" s="19">
        <v>38000</v>
      </c>
      <c r="Q213" s="17">
        <v>20</v>
      </c>
      <c r="R213" s="17">
        <v>18</v>
      </c>
      <c r="S213" s="19">
        <v>107616</v>
      </c>
      <c r="T213" s="18" t="s">
        <v>102</v>
      </c>
      <c r="U213" s="18" t="s">
        <v>288</v>
      </c>
      <c r="V213" s="218" t="s">
        <v>128</v>
      </c>
    </row>
    <row r="214" spans="1:22" ht="15.75" customHeight="1">
      <c r="A214" s="215" t="s">
        <v>1160</v>
      </c>
      <c r="B214" s="14" t="s">
        <v>550</v>
      </c>
      <c r="C214" s="15" t="s">
        <v>118</v>
      </c>
      <c r="D214" s="13" t="s">
        <v>1161</v>
      </c>
      <c r="E214" s="14" t="s">
        <v>1162</v>
      </c>
      <c r="F214" s="14" t="s">
        <v>1163</v>
      </c>
      <c r="G214" s="15" t="s">
        <v>274</v>
      </c>
      <c r="H214" s="13" t="s">
        <v>96</v>
      </c>
      <c r="I214" s="13" t="s">
        <v>63</v>
      </c>
      <c r="J214" s="13" t="s">
        <v>124</v>
      </c>
      <c r="K214" s="14" t="s">
        <v>125</v>
      </c>
      <c r="L214" s="14" t="s">
        <v>99</v>
      </c>
      <c r="M214" s="14" t="s">
        <v>100</v>
      </c>
      <c r="N214" s="14" t="s">
        <v>126</v>
      </c>
      <c r="O214" s="13">
        <v>8</v>
      </c>
      <c r="P214" s="16">
        <v>14000</v>
      </c>
      <c r="Q214" s="13">
        <v>8</v>
      </c>
      <c r="R214" s="13">
        <v>18</v>
      </c>
      <c r="S214" s="16">
        <v>121587</v>
      </c>
      <c r="T214" s="14" t="s">
        <v>413</v>
      </c>
      <c r="U214" s="14" t="s">
        <v>70</v>
      </c>
      <c r="V214" s="217" t="s">
        <v>155</v>
      </c>
    </row>
    <row r="215" spans="1:22" ht="15.75" customHeight="1">
      <c r="A215" s="216" t="s">
        <v>1164</v>
      </c>
      <c r="B215" s="18" t="s">
        <v>1165</v>
      </c>
      <c r="C215" s="15" t="s">
        <v>747</v>
      </c>
      <c r="D215" s="17" t="s">
        <v>1166</v>
      </c>
      <c r="E215" s="18" t="s">
        <v>975</v>
      </c>
      <c r="F215" s="18" t="s">
        <v>1167</v>
      </c>
      <c r="G215" s="18" t="s">
        <v>122</v>
      </c>
      <c r="H215" s="17" t="s">
        <v>122</v>
      </c>
      <c r="I215" s="17" t="s">
        <v>123</v>
      </c>
      <c r="J215" s="17" t="s">
        <v>97</v>
      </c>
      <c r="K215" s="18" t="s">
        <v>98</v>
      </c>
      <c r="L215" s="18" t="s">
        <v>99</v>
      </c>
      <c r="M215" s="18" t="s">
        <v>100</v>
      </c>
      <c r="N215" s="18" t="s">
        <v>101</v>
      </c>
      <c r="O215" s="17">
        <v>4</v>
      </c>
      <c r="P215" s="19">
        <v>28000</v>
      </c>
      <c r="Q215" s="17">
        <v>15</v>
      </c>
      <c r="R215" s="17">
        <v>18</v>
      </c>
      <c r="S215" s="19">
        <v>112336</v>
      </c>
      <c r="T215" s="18" t="s">
        <v>183</v>
      </c>
      <c r="U215" s="15" t="s">
        <v>103</v>
      </c>
      <c r="V215" s="219" t="s">
        <v>155</v>
      </c>
    </row>
    <row r="216" spans="1:22" ht="15.75" customHeight="1">
      <c r="A216" s="215" t="s">
        <v>1168</v>
      </c>
      <c r="B216" s="14" t="s">
        <v>889</v>
      </c>
      <c r="C216" s="14" t="s">
        <v>106</v>
      </c>
      <c r="D216" s="13" t="s">
        <v>1169</v>
      </c>
      <c r="E216" s="14" t="s">
        <v>188</v>
      </c>
      <c r="F216" s="14" t="s">
        <v>1170</v>
      </c>
      <c r="G216" s="14" t="s">
        <v>228</v>
      </c>
      <c r="H216" s="13" t="s">
        <v>152</v>
      </c>
      <c r="I216" s="13" t="s">
        <v>80</v>
      </c>
      <c r="J216" s="13" t="s">
        <v>312</v>
      </c>
      <c r="K216" s="14" t="s">
        <v>313</v>
      </c>
      <c r="L216" s="14" t="s">
        <v>66</v>
      </c>
      <c r="M216" s="14" t="s">
        <v>199</v>
      </c>
      <c r="N216" s="14" t="s">
        <v>314</v>
      </c>
      <c r="O216" s="13">
        <v>5</v>
      </c>
      <c r="P216" s="16">
        <v>40</v>
      </c>
      <c r="Q216" s="13">
        <v>0</v>
      </c>
      <c r="R216" s="13">
        <v>5</v>
      </c>
      <c r="S216" s="16">
        <v>210</v>
      </c>
      <c r="T216" s="14" t="s">
        <v>102</v>
      </c>
      <c r="U216" s="15" t="s">
        <v>174</v>
      </c>
      <c r="V216" s="217" t="s">
        <v>212</v>
      </c>
    </row>
    <row r="217" spans="1:22" ht="15.75" customHeight="1">
      <c r="A217" s="216" t="s">
        <v>1171</v>
      </c>
      <c r="B217" s="18" t="s">
        <v>1172</v>
      </c>
      <c r="C217" s="18" t="s">
        <v>106</v>
      </c>
      <c r="D217" s="17" t="s">
        <v>1173</v>
      </c>
      <c r="E217" s="18" t="s">
        <v>188</v>
      </c>
      <c r="F217" s="18" t="s">
        <v>1174</v>
      </c>
      <c r="G217" s="18" t="s">
        <v>172</v>
      </c>
      <c r="H217" s="17" t="s">
        <v>96</v>
      </c>
      <c r="I217" s="17" t="s">
        <v>63</v>
      </c>
      <c r="J217" s="17" t="s">
        <v>275</v>
      </c>
      <c r="K217" s="18" t="s">
        <v>276</v>
      </c>
      <c r="L217" s="18" t="s">
        <v>99</v>
      </c>
      <c r="M217" s="18" t="s">
        <v>277</v>
      </c>
      <c r="N217" s="18" t="s">
        <v>126</v>
      </c>
      <c r="O217" s="17">
        <v>8</v>
      </c>
      <c r="P217" s="19">
        <v>35000</v>
      </c>
      <c r="Q217" s="17">
        <v>8</v>
      </c>
      <c r="R217" s="17">
        <v>18</v>
      </c>
      <c r="S217" s="19">
        <v>303968</v>
      </c>
      <c r="T217" s="18" t="s">
        <v>142</v>
      </c>
      <c r="U217" s="15" t="s">
        <v>154</v>
      </c>
      <c r="V217" s="218" t="s">
        <v>190</v>
      </c>
    </row>
    <row r="218" spans="1:22" ht="15.75" customHeight="1">
      <c r="A218" s="215" t="s">
        <v>1175</v>
      </c>
      <c r="B218" s="14" t="s">
        <v>1176</v>
      </c>
      <c r="C218" s="15" t="s">
        <v>224</v>
      </c>
      <c r="D218" s="13" t="s">
        <v>1177</v>
      </c>
      <c r="E218" s="14" t="s">
        <v>528</v>
      </c>
      <c r="F218" s="14" t="s">
        <v>1178</v>
      </c>
      <c r="G218" s="14" t="s">
        <v>228</v>
      </c>
      <c r="H218" s="13" t="s">
        <v>152</v>
      </c>
      <c r="I218" s="13" t="s">
        <v>80</v>
      </c>
      <c r="J218" s="13" t="s">
        <v>897</v>
      </c>
      <c r="K218" s="14" t="s">
        <v>898</v>
      </c>
      <c r="L218" s="14" t="s">
        <v>139</v>
      </c>
      <c r="M218" s="14" t="s">
        <v>140</v>
      </c>
      <c r="N218" s="14" t="s">
        <v>899</v>
      </c>
      <c r="O218" s="13">
        <v>3</v>
      </c>
      <c r="P218" s="16">
        <v>38000</v>
      </c>
      <c r="Q218" s="13">
        <v>25</v>
      </c>
      <c r="R218" s="13">
        <v>18</v>
      </c>
      <c r="S218" s="16">
        <v>100890</v>
      </c>
      <c r="T218" s="14" t="s">
        <v>413</v>
      </c>
      <c r="U218" s="14" t="s">
        <v>211</v>
      </c>
      <c r="V218" s="218" t="s">
        <v>201</v>
      </c>
    </row>
    <row r="219" spans="1:22" ht="15.75" customHeight="1">
      <c r="A219" s="216" t="s">
        <v>1179</v>
      </c>
      <c r="B219" s="18" t="s">
        <v>223</v>
      </c>
      <c r="C219" s="18" t="s">
        <v>372</v>
      </c>
      <c r="D219" s="17"/>
      <c r="E219" s="18"/>
      <c r="F219" s="18" t="s">
        <v>1180</v>
      </c>
      <c r="G219" s="18" t="s">
        <v>151</v>
      </c>
      <c r="H219" s="17" t="s">
        <v>152</v>
      </c>
      <c r="I219" s="17" t="s">
        <v>80</v>
      </c>
      <c r="J219" s="17" t="s">
        <v>595</v>
      </c>
      <c r="K219" s="18" t="s">
        <v>596</v>
      </c>
      <c r="L219" s="18" t="s">
        <v>112</v>
      </c>
      <c r="M219" s="18" t="s">
        <v>240</v>
      </c>
      <c r="N219" s="18" t="s">
        <v>597</v>
      </c>
      <c r="O219" s="17">
        <v>9</v>
      </c>
      <c r="P219" s="19">
        <v>1200</v>
      </c>
      <c r="Q219" s="17">
        <v>8</v>
      </c>
      <c r="R219" s="17">
        <v>5</v>
      </c>
      <c r="S219" s="19">
        <v>10433</v>
      </c>
      <c r="T219" s="18" t="s">
        <v>465</v>
      </c>
      <c r="U219" s="15" t="s">
        <v>154</v>
      </c>
      <c r="V219" s="218" t="s">
        <v>201</v>
      </c>
    </row>
    <row r="220" spans="1:22" ht="15.75" customHeight="1">
      <c r="A220" s="215" t="s">
        <v>1181</v>
      </c>
      <c r="B220" s="14" t="s">
        <v>1182</v>
      </c>
      <c r="C220" s="15" t="s">
        <v>244</v>
      </c>
      <c r="D220" s="13" t="s">
        <v>1183</v>
      </c>
      <c r="E220" s="14" t="s">
        <v>589</v>
      </c>
      <c r="F220" s="14" t="s">
        <v>1184</v>
      </c>
      <c r="G220" s="15" t="s">
        <v>304</v>
      </c>
      <c r="H220" s="13" t="s">
        <v>305</v>
      </c>
      <c r="I220" s="13" t="s">
        <v>306</v>
      </c>
      <c r="J220" s="13" t="s">
        <v>137</v>
      </c>
      <c r="K220" s="14" t="s">
        <v>138</v>
      </c>
      <c r="L220" s="14" t="s">
        <v>139</v>
      </c>
      <c r="M220" s="14" t="s">
        <v>140</v>
      </c>
      <c r="N220" s="14" t="s">
        <v>141</v>
      </c>
      <c r="O220" s="13">
        <v>2</v>
      </c>
      <c r="P220" s="16">
        <v>12000</v>
      </c>
      <c r="Q220" s="13">
        <v>20</v>
      </c>
      <c r="R220" s="13">
        <v>18</v>
      </c>
      <c r="S220" s="16">
        <v>22656</v>
      </c>
      <c r="T220" s="14" t="s">
        <v>153</v>
      </c>
      <c r="U220" s="14" t="s">
        <v>288</v>
      </c>
      <c r="V220" s="218" t="s">
        <v>190</v>
      </c>
    </row>
    <row r="221" spans="1:22" ht="15.75" customHeight="1">
      <c r="A221" s="216" t="s">
        <v>1185</v>
      </c>
      <c r="B221" s="18" t="s">
        <v>1186</v>
      </c>
      <c r="C221" s="15" t="s">
        <v>329</v>
      </c>
      <c r="D221" s="17" t="s">
        <v>1187</v>
      </c>
      <c r="E221" s="18" t="s">
        <v>418</v>
      </c>
      <c r="F221" s="18" t="s">
        <v>1188</v>
      </c>
      <c r="G221" s="18" t="s">
        <v>122</v>
      </c>
      <c r="H221" s="17" t="s">
        <v>122</v>
      </c>
      <c r="I221" s="17" t="s">
        <v>123</v>
      </c>
      <c r="J221" s="17" t="s">
        <v>257</v>
      </c>
      <c r="K221" s="18" t="s">
        <v>258</v>
      </c>
      <c r="L221" s="18" t="s">
        <v>139</v>
      </c>
      <c r="M221" s="18" t="s">
        <v>259</v>
      </c>
      <c r="N221" s="18" t="s">
        <v>260</v>
      </c>
      <c r="O221" s="17">
        <v>6</v>
      </c>
      <c r="P221" s="19">
        <v>299</v>
      </c>
      <c r="Q221" s="17">
        <v>25</v>
      </c>
      <c r="R221" s="17">
        <v>18</v>
      </c>
      <c r="S221" s="19">
        <v>1588</v>
      </c>
      <c r="T221" s="18" t="s">
        <v>115</v>
      </c>
      <c r="U221" s="15" t="s">
        <v>87</v>
      </c>
      <c r="V221" s="218" t="s">
        <v>88</v>
      </c>
    </row>
    <row r="222" spans="1:22" ht="15.75" customHeight="1">
      <c r="A222" s="215" t="s">
        <v>1189</v>
      </c>
      <c r="B222" s="14" t="s">
        <v>865</v>
      </c>
      <c r="C222" s="15" t="s">
        <v>747</v>
      </c>
      <c r="D222" s="13" t="s">
        <v>1190</v>
      </c>
      <c r="E222" s="14" t="s">
        <v>1191</v>
      </c>
      <c r="F222" s="14" t="s">
        <v>1192</v>
      </c>
      <c r="G222" s="15" t="s">
        <v>304</v>
      </c>
      <c r="H222" s="13" t="s">
        <v>305</v>
      </c>
      <c r="I222" s="13" t="s">
        <v>306</v>
      </c>
      <c r="J222" s="13" t="s">
        <v>347</v>
      </c>
      <c r="K222" s="14" t="s">
        <v>348</v>
      </c>
      <c r="L222" s="14" t="s">
        <v>139</v>
      </c>
      <c r="M222" s="14" t="s">
        <v>349</v>
      </c>
      <c r="N222" s="14" t="s">
        <v>350</v>
      </c>
      <c r="O222" s="13">
        <v>4</v>
      </c>
      <c r="P222" s="16">
        <v>3200</v>
      </c>
      <c r="Q222" s="13">
        <v>15</v>
      </c>
      <c r="R222" s="13">
        <v>18</v>
      </c>
      <c r="S222" s="16">
        <v>12838</v>
      </c>
      <c r="T222" s="14" t="s">
        <v>69</v>
      </c>
      <c r="U222" s="15" t="s">
        <v>87</v>
      </c>
      <c r="V222" s="217" t="s">
        <v>155</v>
      </c>
    </row>
    <row r="223" spans="1:22" ht="15.75" customHeight="1">
      <c r="A223" s="216" t="s">
        <v>1193</v>
      </c>
      <c r="B223" s="18" t="s">
        <v>1194</v>
      </c>
      <c r="C223" s="15" t="s">
        <v>215</v>
      </c>
      <c r="D223" s="17" t="s">
        <v>1195</v>
      </c>
      <c r="E223" s="18" t="s">
        <v>232</v>
      </c>
      <c r="F223" s="18" t="s">
        <v>1196</v>
      </c>
      <c r="G223" s="18" t="s">
        <v>439</v>
      </c>
      <c r="H223" s="17" t="s">
        <v>364</v>
      </c>
      <c r="I223" s="17" t="s">
        <v>63</v>
      </c>
      <c r="J223" s="17" t="s">
        <v>295</v>
      </c>
      <c r="K223" s="18" t="s">
        <v>296</v>
      </c>
      <c r="L223" s="18" t="s">
        <v>66</v>
      </c>
      <c r="M223" s="18" t="s">
        <v>297</v>
      </c>
      <c r="N223" s="18" t="s">
        <v>298</v>
      </c>
      <c r="O223" s="17">
        <v>7</v>
      </c>
      <c r="P223" s="19">
        <v>280</v>
      </c>
      <c r="Q223" s="20" t="s">
        <v>1197</v>
      </c>
      <c r="R223" s="17">
        <v>5</v>
      </c>
      <c r="S223" s="19">
        <v>1749</v>
      </c>
      <c r="T223" s="18" t="s">
        <v>86</v>
      </c>
      <c r="U223" s="15" t="s">
        <v>383</v>
      </c>
      <c r="V223" s="219" t="s">
        <v>212</v>
      </c>
    </row>
    <row r="224" spans="1:22" ht="15.75" customHeight="1">
      <c r="A224" s="215" t="s">
        <v>1198</v>
      </c>
      <c r="B224" s="14" t="s">
        <v>1199</v>
      </c>
      <c r="C224" s="15" t="s">
        <v>541</v>
      </c>
      <c r="D224" s="13" t="s">
        <v>1200</v>
      </c>
      <c r="E224" s="14" t="s">
        <v>1201</v>
      </c>
      <c r="F224" s="14" t="s">
        <v>1202</v>
      </c>
      <c r="G224" s="15" t="s">
        <v>274</v>
      </c>
      <c r="H224" s="13" t="s">
        <v>96</v>
      </c>
      <c r="I224" s="13" t="s">
        <v>63</v>
      </c>
      <c r="J224" s="13" t="s">
        <v>356</v>
      </c>
      <c r="K224" s="14" t="s">
        <v>357</v>
      </c>
      <c r="L224" s="14" t="s">
        <v>139</v>
      </c>
      <c r="M224" s="14" t="s">
        <v>140</v>
      </c>
      <c r="N224" s="14" t="s">
        <v>358</v>
      </c>
      <c r="O224" s="13">
        <v>6</v>
      </c>
      <c r="P224" s="16">
        <v>42000</v>
      </c>
      <c r="Q224" s="13">
        <v>15</v>
      </c>
      <c r="R224" s="13">
        <v>18</v>
      </c>
      <c r="S224" s="16">
        <v>252756</v>
      </c>
      <c r="T224" s="14" t="s">
        <v>127</v>
      </c>
      <c r="U224" s="14" t="s">
        <v>184</v>
      </c>
      <c r="V224" s="217" t="s">
        <v>212</v>
      </c>
    </row>
    <row r="225" spans="1:22" ht="15.75" customHeight="1">
      <c r="A225" s="216" t="s">
        <v>1203</v>
      </c>
      <c r="B225" s="18" t="s">
        <v>1204</v>
      </c>
      <c r="C225" s="15" t="s">
        <v>193</v>
      </c>
      <c r="D225" s="17" t="s">
        <v>1205</v>
      </c>
      <c r="E225" s="18" t="s">
        <v>1206</v>
      </c>
      <c r="F225" s="18" t="s">
        <v>1207</v>
      </c>
      <c r="G225" s="18" t="s">
        <v>439</v>
      </c>
      <c r="H225" s="17" t="s">
        <v>364</v>
      </c>
      <c r="I225" s="17" t="s">
        <v>63</v>
      </c>
      <c r="J225" s="17" t="s">
        <v>595</v>
      </c>
      <c r="K225" s="18" t="s">
        <v>596</v>
      </c>
      <c r="L225" s="18" t="s">
        <v>112</v>
      </c>
      <c r="M225" s="18" t="s">
        <v>240</v>
      </c>
      <c r="N225" s="18" t="s">
        <v>597</v>
      </c>
      <c r="O225" s="17">
        <v>2</v>
      </c>
      <c r="P225" s="19">
        <v>1200</v>
      </c>
      <c r="Q225" s="17">
        <v>0</v>
      </c>
      <c r="R225" s="17">
        <v>5</v>
      </c>
      <c r="S225" s="19">
        <v>2520</v>
      </c>
      <c r="T225" s="18" t="s">
        <v>465</v>
      </c>
      <c r="U225" s="18" t="s">
        <v>288</v>
      </c>
      <c r="V225" s="219" t="s">
        <v>155</v>
      </c>
    </row>
    <row r="226" spans="1:22" ht="15.75" customHeight="1">
      <c r="A226" s="215" t="s">
        <v>1208</v>
      </c>
      <c r="B226" s="14" t="s">
        <v>1209</v>
      </c>
      <c r="C226" s="15" t="s">
        <v>317</v>
      </c>
      <c r="D226" s="13" t="s">
        <v>1210</v>
      </c>
      <c r="E226" s="14" t="s">
        <v>1211</v>
      </c>
      <c r="F226" s="14" t="s">
        <v>1212</v>
      </c>
      <c r="G226" s="14" t="s">
        <v>61</v>
      </c>
      <c r="H226" s="13" t="s">
        <v>62</v>
      </c>
      <c r="I226" s="13" t="s">
        <v>63</v>
      </c>
      <c r="J226" s="13" t="s">
        <v>365</v>
      </c>
      <c r="K226" s="14" t="s">
        <v>366</v>
      </c>
      <c r="L226" s="14" t="s">
        <v>112</v>
      </c>
      <c r="M226" s="14" t="s">
        <v>367</v>
      </c>
      <c r="N226" s="14" t="s">
        <v>368</v>
      </c>
      <c r="O226" s="13">
        <v>9</v>
      </c>
      <c r="P226" s="16">
        <v>3500</v>
      </c>
      <c r="Q226" s="13">
        <v>12</v>
      </c>
      <c r="R226" s="13">
        <v>5</v>
      </c>
      <c r="S226" s="16">
        <v>29106</v>
      </c>
      <c r="T226" s="14" t="s">
        <v>153</v>
      </c>
      <c r="U226" s="14" t="s">
        <v>70</v>
      </c>
      <c r="V226" s="217" t="s">
        <v>144</v>
      </c>
    </row>
    <row r="227" spans="1:22" ht="15.75" customHeight="1">
      <c r="A227" s="216" t="s">
        <v>1213</v>
      </c>
      <c r="B227" s="18" t="s">
        <v>270</v>
      </c>
      <c r="C227" s="15" t="s">
        <v>244</v>
      </c>
      <c r="D227" s="17" t="s">
        <v>1214</v>
      </c>
      <c r="E227" s="18" t="s">
        <v>498</v>
      </c>
      <c r="F227" s="18" t="s">
        <v>1215</v>
      </c>
      <c r="G227" s="18" t="s">
        <v>248</v>
      </c>
      <c r="H227" s="17" t="s">
        <v>249</v>
      </c>
      <c r="I227" s="17" t="s">
        <v>123</v>
      </c>
      <c r="J227" s="17" t="s">
        <v>219</v>
      </c>
      <c r="K227" s="18" t="s">
        <v>220</v>
      </c>
      <c r="L227" s="18" t="s">
        <v>99</v>
      </c>
      <c r="M227" s="18" t="s">
        <v>100</v>
      </c>
      <c r="N227" s="18" t="s">
        <v>221</v>
      </c>
      <c r="O227" s="17">
        <v>1</v>
      </c>
      <c r="P227" s="19">
        <v>89000</v>
      </c>
      <c r="Q227" s="17">
        <v>25</v>
      </c>
      <c r="R227" s="17">
        <v>18</v>
      </c>
      <c r="S227" s="19">
        <v>78765</v>
      </c>
      <c r="T227" s="18" t="s">
        <v>102</v>
      </c>
      <c r="U227" s="15" t="s">
        <v>103</v>
      </c>
      <c r="V227" s="219" t="s">
        <v>212</v>
      </c>
    </row>
    <row r="228" spans="1:22" ht="15.75" customHeight="1">
      <c r="A228" s="215" t="s">
        <v>1216</v>
      </c>
      <c r="B228" s="14" t="s">
        <v>1033</v>
      </c>
      <c r="C228" s="15" t="s">
        <v>177</v>
      </c>
      <c r="D228" s="13" t="s">
        <v>1217</v>
      </c>
      <c r="E228" s="14" t="s">
        <v>1218</v>
      </c>
      <c r="F228" s="14" t="s">
        <v>1219</v>
      </c>
      <c r="G228" s="15" t="s">
        <v>407</v>
      </c>
      <c r="H228" s="13" t="s">
        <v>152</v>
      </c>
      <c r="I228" s="13" t="s">
        <v>80</v>
      </c>
      <c r="J228" s="13" t="s">
        <v>64</v>
      </c>
      <c r="K228" s="14" t="s">
        <v>65</v>
      </c>
      <c r="L228" s="14" t="s">
        <v>66</v>
      </c>
      <c r="M228" s="14" t="s">
        <v>67</v>
      </c>
      <c r="N228" s="14" t="s">
        <v>68</v>
      </c>
      <c r="O228" s="13">
        <v>3</v>
      </c>
      <c r="P228" s="16">
        <v>450</v>
      </c>
      <c r="Q228" s="13">
        <v>25</v>
      </c>
      <c r="R228" s="13">
        <v>5</v>
      </c>
      <c r="S228" s="16">
        <v>1063</v>
      </c>
      <c r="T228" s="14" t="s">
        <v>142</v>
      </c>
      <c r="U228" s="15" t="s">
        <v>174</v>
      </c>
      <c r="V228" s="218" t="s">
        <v>128</v>
      </c>
    </row>
    <row r="229" spans="1:22" ht="15.75" customHeight="1">
      <c r="A229" s="216" t="s">
        <v>1220</v>
      </c>
      <c r="B229" s="18" t="s">
        <v>1221</v>
      </c>
      <c r="C229" s="15" t="s">
        <v>253</v>
      </c>
      <c r="D229" s="17" t="s">
        <v>1222</v>
      </c>
      <c r="E229" s="18" t="s">
        <v>1223</v>
      </c>
      <c r="F229" s="18" t="s">
        <v>1224</v>
      </c>
      <c r="G229" s="18" t="s">
        <v>248</v>
      </c>
      <c r="H229" s="17" t="s">
        <v>249</v>
      </c>
      <c r="I229" s="17" t="s">
        <v>123</v>
      </c>
      <c r="J229" s="17" t="s">
        <v>491</v>
      </c>
      <c r="K229" s="18" t="s">
        <v>492</v>
      </c>
      <c r="L229" s="18" t="s">
        <v>112</v>
      </c>
      <c r="M229" s="18" t="s">
        <v>493</v>
      </c>
      <c r="N229" s="18" t="s">
        <v>494</v>
      </c>
      <c r="O229" s="17">
        <v>10</v>
      </c>
      <c r="P229" s="19">
        <v>4500</v>
      </c>
      <c r="Q229" s="17">
        <v>10</v>
      </c>
      <c r="R229" s="17">
        <v>5</v>
      </c>
      <c r="S229" s="19">
        <v>42525</v>
      </c>
      <c r="T229" s="18" t="s">
        <v>69</v>
      </c>
      <c r="U229" s="15" t="s">
        <v>87</v>
      </c>
      <c r="V229" s="218" t="s">
        <v>190</v>
      </c>
    </row>
    <row r="230" spans="1:22" ht="15.75" customHeight="1">
      <c r="A230" s="215" t="s">
        <v>1225</v>
      </c>
      <c r="B230" s="14" t="s">
        <v>1226</v>
      </c>
      <c r="C230" s="15" t="s">
        <v>158</v>
      </c>
      <c r="D230" s="13" t="s">
        <v>1227</v>
      </c>
      <c r="E230" s="14" t="s">
        <v>703</v>
      </c>
      <c r="F230" s="14" t="s">
        <v>1228</v>
      </c>
      <c r="G230" s="14" t="s">
        <v>95</v>
      </c>
      <c r="H230" s="13" t="s">
        <v>96</v>
      </c>
      <c r="I230" s="13" t="s">
        <v>63</v>
      </c>
      <c r="J230" s="13" t="s">
        <v>97</v>
      </c>
      <c r="K230" s="14" t="s">
        <v>98</v>
      </c>
      <c r="L230" s="14" t="s">
        <v>99</v>
      </c>
      <c r="M230" s="14" t="s">
        <v>100</v>
      </c>
      <c r="N230" s="14" t="s">
        <v>101</v>
      </c>
      <c r="O230" s="13">
        <v>7</v>
      </c>
      <c r="P230" s="16">
        <v>28000</v>
      </c>
      <c r="Q230" s="13">
        <v>20</v>
      </c>
      <c r="R230" s="13">
        <v>18</v>
      </c>
      <c r="S230" s="16">
        <v>185024</v>
      </c>
      <c r="T230" s="14" t="s">
        <v>413</v>
      </c>
      <c r="U230" s="14" t="s">
        <v>184</v>
      </c>
      <c r="V230" s="217" t="s">
        <v>155</v>
      </c>
    </row>
    <row r="231" spans="1:22" ht="15.75" customHeight="1">
      <c r="A231" s="216" t="s">
        <v>1229</v>
      </c>
      <c r="B231" s="18" t="s">
        <v>1230</v>
      </c>
      <c r="C231" s="15" t="s">
        <v>747</v>
      </c>
      <c r="D231" s="17" t="s">
        <v>1231</v>
      </c>
      <c r="E231" s="18" t="s">
        <v>975</v>
      </c>
      <c r="F231" s="18" t="s">
        <v>1232</v>
      </c>
      <c r="G231" s="18" t="s">
        <v>248</v>
      </c>
      <c r="H231" s="17" t="s">
        <v>249</v>
      </c>
      <c r="I231" s="17" t="s">
        <v>123</v>
      </c>
      <c r="J231" s="17" t="s">
        <v>420</v>
      </c>
      <c r="K231" s="18" t="s">
        <v>421</v>
      </c>
      <c r="L231" s="18" t="s">
        <v>112</v>
      </c>
      <c r="M231" s="18" t="s">
        <v>422</v>
      </c>
      <c r="N231" s="18" t="s">
        <v>423</v>
      </c>
      <c r="O231" s="17">
        <v>6</v>
      </c>
      <c r="P231" s="19">
        <v>4800</v>
      </c>
      <c r="Q231" s="17">
        <v>8</v>
      </c>
      <c r="R231" s="17">
        <v>18</v>
      </c>
      <c r="S231" s="19">
        <v>31265</v>
      </c>
      <c r="T231" s="18" t="s">
        <v>465</v>
      </c>
      <c r="U231" s="18" t="s">
        <v>211</v>
      </c>
      <c r="V231" s="219" t="s">
        <v>144</v>
      </c>
    </row>
    <row r="232" spans="1:22" ht="15.75" customHeight="1">
      <c r="A232" s="215" t="s">
        <v>1233</v>
      </c>
      <c r="B232" s="14" t="s">
        <v>526</v>
      </c>
      <c r="C232" s="15" t="s">
        <v>605</v>
      </c>
      <c r="D232" s="13" t="s">
        <v>1234</v>
      </c>
      <c r="E232" s="14" t="s">
        <v>798</v>
      </c>
      <c r="F232" s="14" t="s">
        <v>1235</v>
      </c>
      <c r="G232" s="14" t="s">
        <v>333</v>
      </c>
      <c r="H232" s="13" t="s">
        <v>334</v>
      </c>
      <c r="I232" s="13" t="s">
        <v>63</v>
      </c>
      <c r="J232" s="13" t="s">
        <v>347</v>
      </c>
      <c r="K232" s="14" t="s">
        <v>348</v>
      </c>
      <c r="L232" s="14" t="s">
        <v>139</v>
      </c>
      <c r="M232" s="14" t="s">
        <v>349</v>
      </c>
      <c r="N232" s="14" t="s">
        <v>350</v>
      </c>
      <c r="O232" s="13">
        <v>7</v>
      </c>
      <c r="P232" s="16">
        <v>3200</v>
      </c>
      <c r="Q232" s="13">
        <v>8</v>
      </c>
      <c r="R232" s="13">
        <v>18</v>
      </c>
      <c r="S232" s="16">
        <v>38470</v>
      </c>
      <c r="T232" s="14" t="s">
        <v>142</v>
      </c>
      <c r="U232" s="15" t="s">
        <v>154</v>
      </c>
      <c r="V232" s="218" t="s">
        <v>250</v>
      </c>
    </row>
    <row r="233" spans="1:22" ht="15.75" customHeight="1">
      <c r="A233" s="216" t="s">
        <v>1236</v>
      </c>
      <c r="B233" s="18" t="s">
        <v>1237</v>
      </c>
      <c r="C233" s="15" t="s">
        <v>118</v>
      </c>
      <c r="D233" s="17" t="s">
        <v>1238</v>
      </c>
      <c r="E233" s="18" t="s">
        <v>1162</v>
      </c>
      <c r="F233" s="18" t="s">
        <v>1239</v>
      </c>
      <c r="G233" s="18" t="s">
        <v>172</v>
      </c>
      <c r="H233" s="17" t="s">
        <v>96</v>
      </c>
      <c r="I233" s="17" t="s">
        <v>63</v>
      </c>
      <c r="J233" s="17" t="s">
        <v>97</v>
      </c>
      <c r="K233" s="18" t="s">
        <v>98</v>
      </c>
      <c r="L233" s="18" t="s">
        <v>99</v>
      </c>
      <c r="M233" s="18" t="s">
        <v>100</v>
      </c>
      <c r="N233" s="18" t="s">
        <v>101</v>
      </c>
      <c r="O233" s="20" t="s">
        <v>440</v>
      </c>
      <c r="P233" s="19">
        <v>28000</v>
      </c>
      <c r="Q233" s="17">
        <v>12</v>
      </c>
      <c r="R233" s="17">
        <v>18</v>
      </c>
      <c r="S233" s="19">
        <v>29075</v>
      </c>
      <c r="T233" s="18" t="s">
        <v>465</v>
      </c>
      <c r="U233" s="15" t="s">
        <v>87</v>
      </c>
      <c r="V233" s="219" t="s">
        <v>71</v>
      </c>
    </row>
    <row r="234" spans="1:22" ht="15.75" customHeight="1">
      <c r="A234" s="215" t="s">
        <v>1240</v>
      </c>
      <c r="B234" s="14" t="s">
        <v>1241</v>
      </c>
      <c r="C234" s="15" t="s">
        <v>329</v>
      </c>
      <c r="D234" s="13" t="s">
        <v>1242</v>
      </c>
      <c r="E234" s="14" t="s">
        <v>1243</v>
      </c>
      <c r="F234" s="14" t="s">
        <v>1244</v>
      </c>
      <c r="G234" s="14" t="s">
        <v>78</v>
      </c>
      <c r="H234" s="13" t="s">
        <v>79</v>
      </c>
      <c r="I234" s="13" t="s">
        <v>80</v>
      </c>
      <c r="J234" s="13" t="s">
        <v>491</v>
      </c>
      <c r="K234" s="14" t="s">
        <v>492</v>
      </c>
      <c r="L234" s="14" t="s">
        <v>112</v>
      </c>
      <c r="M234" s="14" t="s">
        <v>493</v>
      </c>
      <c r="N234" s="14" t="s">
        <v>494</v>
      </c>
      <c r="O234" s="13">
        <v>2</v>
      </c>
      <c r="P234" s="16">
        <v>4500</v>
      </c>
      <c r="Q234" s="20" t="s">
        <v>1197</v>
      </c>
      <c r="R234" s="13">
        <v>5</v>
      </c>
      <c r="S234" s="16">
        <v>8032</v>
      </c>
      <c r="T234" s="14" t="s">
        <v>142</v>
      </c>
      <c r="U234" s="15" t="s">
        <v>87</v>
      </c>
      <c r="V234" s="218" t="s">
        <v>190</v>
      </c>
    </row>
    <row r="235" spans="1:22" ht="15.75" customHeight="1">
      <c r="A235" s="216" t="s">
        <v>1245</v>
      </c>
      <c r="B235" s="18" t="s">
        <v>955</v>
      </c>
      <c r="C235" s="15" t="s">
        <v>825</v>
      </c>
      <c r="D235" s="17" t="s">
        <v>1246</v>
      </c>
      <c r="E235" s="18" t="s">
        <v>827</v>
      </c>
      <c r="F235" s="18" t="s">
        <v>1247</v>
      </c>
      <c r="G235" s="18" t="s">
        <v>78</v>
      </c>
      <c r="H235" s="17" t="s">
        <v>79</v>
      </c>
      <c r="I235" s="17" t="s">
        <v>80</v>
      </c>
      <c r="J235" s="17" t="s">
        <v>595</v>
      </c>
      <c r="K235" s="18" t="s">
        <v>596</v>
      </c>
      <c r="L235" s="18" t="s">
        <v>112</v>
      </c>
      <c r="M235" s="18" t="s">
        <v>240</v>
      </c>
      <c r="N235" s="18" t="s">
        <v>597</v>
      </c>
      <c r="O235" s="20">
        <v>-4</v>
      </c>
      <c r="P235" s="19">
        <v>1200</v>
      </c>
      <c r="Q235" s="17">
        <v>12</v>
      </c>
      <c r="R235" s="17">
        <v>5</v>
      </c>
      <c r="S235" s="21">
        <v>-4435</v>
      </c>
      <c r="T235" s="18" t="s">
        <v>127</v>
      </c>
      <c r="U235" s="18" t="s">
        <v>211</v>
      </c>
      <c r="V235" s="219" t="s">
        <v>212</v>
      </c>
    </row>
    <row r="236" spans="1:22" ht="15.75" customHeight="1">
      <c r="A236" s="215" t="s">
        <v>1248</v>
      </c>
      <c r="B236" s="14" t="s">
        <v>192</v>
      </c>
      <c r="C236" s="14" t="s">
        <v>1249</v>
      </c>
      <c r="D236" s="13" t="s">
        <v>1250</v>
      </c>
      <c r="E236" s="14" t="s">
        <v>1251</v>
      </c>
      <c r="F236" s="14" t="s">
        <v>1252</v>
      </c>
      <c r="G236" s="14" t="s">
        <v>744</v>
      </c>
      <c r="H236" s="13" t="s">
        <v>79</v>
      </c>
      <c r="I236" s="13" t="s">
        <v>80</v>
      </c>
      <c r="J236" s="13" t="s">
        <v>312</v>
      </c>
      <c r="K236" s="14" t="s">
        <v>313</v>
      </c>
      <c r="L236" s="14" t="s">
        <v>66</v>
      </c>
      <c r="M236" s="14" t="s">
        <v>199</v>
      </c>
      <c r="N236" s="14" t="s">
        <v>314</v>
      </c>
      <c r="O236" s="13">
        <v>3</v>
      </c>
      <c r="P236" s="16">
        <v>40</v>
      </c>
      <c r="Q236" s="13">
        <v>25</v>
      </c>
      <c r="R236" s="13">
        <v>5</v>
      </c>
      <c r="S236" s="16">
        <v>94</v>
      </c>
      <c r="T236" s="14" t="s">
        <v>86</v>
      </c>
      <c r="U236" s="14" t="s">
        <v>211</v>
      </c>
      <c r="V236" s="218" t="s">
        <v>201</v>
      </c>
    </row>
    <row r="237" spans="1:22" ht="15.75" customHeight="1">
      <c r="A237" s="216" t="s">
        <v>1253</v>
      </c>
      <c r="B237" s="18" t="s">
        <v>1254</v>
      </c>
      <c r="C237" s="18" t="s">
        <v>416</v>
      </c>
      <c r="D237" s="17" t="s">
        <v>1255</v>
      </c>
      <c r="E237" s="18" t="s">
        <v>1256</v>
      </c>
      <c r="F237" s="18" t="s">
        <v>1257</v>
      </c>
      <c r="G237" s="18" t="s">
        <v>744</v>
      </c>
      <c r="H237" s="17" t="s">
        <v>79</v>
      </c>
      <c r="I237" s="17" t="s">
        <v>80</v>
      </c>
      <c r="J237" s="17" t="s">
        <v>257</v>
      </c>
      <c r="K237" s="18" t="s">
        <v>258</v>
      </c>
      <c r="L237" s="18" t="s">
        <v>139</v>
      </c>
      <c r="M237" s="18" t="s">
        <v>259</v>
      </c>
      <c r="N237" s="18" t="s">
        <v>260</v>
      </c>
      <c r="O237" s="17">
        <v>5</v>
      </c>
      <c r="P237" s="19">
        <v>299</v>
      </c>
      <c r="Q237" s="17">
        <v>0</v>
      </c>
      <c r="R237" s="17">
        <v>18</v>
      </c>
      <c r="S237" s="19">
        <v>1764</v>
      </c>
      <c r="T237" s="18" t="s">
        <v>69</v>
      </c>
      <c r="U237" s="15" t="s">
        <v>87</v>
      </c>
      <c r="V237" s="218" t="s">
        <v>201</v>
      </c>
    </row>
    <row r="238" spans="1:22" ht="15.75" customHeight="1">
      <c r="A238" s="215" t="s">
        <v>1258</v>
      </c>
      <c r="B238" s="14" t="s">
        <v>1259</v>
      </c>
      <c r="C238" s="14" t="s">
        <v>372</v>
      </c>
      <c r="D238" s="13" t="s">
        <v>1260</v>
      </c>
      <c r="E238" s="14" t="s">
        <v>427</v>
      </c>
      <c r="F238" s="14" t="s">
        <v>1261</v>
      </c>
      <c r="G238" s="15" t="s">
        <v>274</v>
      </c>
      <c r="H238" s="13" t="s">
        <v>96</v>
      </c>
      <c r="I238" s="13" t="s">
        <v>63</v>
      </c>
      <c r="J238" s="13" t="s">
        <v>312</v>
      </c>
      <c r="K238" s="14" t="s">
        <v>313</v>
      </c>
      <c r="L238" s="14" t="s">
        <v>66</v>
      </c>
      <c r="M238" s="14" t="s">
        <v>199</v>
      </c>
      <c r="N238" s="14" t="s">
        <v>314</v>
      </c>
      <c r="O238" s="20" t="s">
        <v>440</v>
      </c>
      <c r="P238" s="16">
        <v>40</v>
      </c>
      <c r="Q238" s="13">
        <v>25</v>
      </c>
      <c r="R238" s="13">
        <v>5</v>
      </c>
      <c r="S238" s="16">
        <v>32</v>
      </c>
      <c r="T238" s="14" t="s">
        <v>465</v>
      </c>
      <c r="U238" s="14" t="s">
        <v>211</v>
      </c>
      <c r="V238" s="217" t="s">
        <v>212</v>
      </c>
    </row>
    <row r="239" spans="1:22" ht="15.75" customHeight="1">
      <c r="A239" s="216" t="s">
        <v>1262</v>
      </c>
      <c r="B239" s="18" t="s">
        <v>1263</v>
      </c>
      <c r="C239" s="15" t="s">
        <v>118</v>
      </c>
      <c r="D239" s="17" t="s">
        <v>1264</v>
      </c>
      <c r="E239" s="18" t="s">
        <v>1162</v>
      </c>
      <c r="F239" s="18" t="s">
        <v>1265</v>
      </c>
      <c r="G239" s="18" t="s">
        <v>439</v>
      </c>
      <c r="H239" s="17" t="s">
        <v>364</v>
      </c>
      <c r="I239" s="17" t="s">
        <v>63</v>
      </c>
      <c r="J239" s="17" t="s">
        <v>81</v>
      </c>
      <c r="K239" s="18" t="s">
        <v>82</v>
      </c>
      <c r="L239" s="18" t="s">
        <v>83</v>
      </c>
      <c r="M239" s="18" t="s">
        <v>84</v>
      </c>
      <c r="N239" s="18" t="s">
        <v>85</v>
      </c>
      <c r="O239" s="17">
        <v>3</v>
      </c>
      <c r="P239" s="19">
        <v>25000</v>
      </c>
      <c r="Q239" s="17">
        <v>12</v>
      </c>
      <c r="R239" s="17">
        <v>3</v>
      </c>
      <c r="S239" s="19">
        <v>67980</v>
      </c>
      <c r="T239" s="18" t="s">
        <v>86</v>
      </c>
      <c r="U239" s="18" t="s">
        <v>288</v>
      </c>
      <c r="V239" s="218" t="s">
        <v>128</v>
      </c>
    </row>
    <row r="240" spans="1:22" ht="15.75" customHeight="1">
      <c r="A240" s="215" t="s">
        <v>1266</v>
      </c>
      <c r="B240" s="14" t="s">
        <v>1267</v>
      </c>
      <c r="C240" s="14" t="s">
        <v>1249</v>
      </c>
      <c r="D240" s="13" t="s">
        <v>1268</v>
      </c>
      <c r="E240" s="14" t="s">
        <v>1269</v>
      </c>
      <c r="F240" s="14" t="s">
        <v>1270</v>
      </c>
      <c r="G240" s="14" t="s">
        <v>485</v>
      </c>
      <c r="H240" s="13" t="s">
        <v>305</v>
      </c>
      <c r="I240" s="13" t="s">
        <v>306</v>
      </c>
      <c r="J240" s="13" t="s">
        <v>595</v>
      </c>
      <c r="K240" s="14" t="s">
        <v>596</v>
      </c>
      <c r="L240" s="14" t="s">
        <v>112</v>
      </c>
      <c r="M240" s="14" t="s">
        <v>240</v>
      </c>
      <c r="N240" s="14" t="s">
        <v>597</v>
      </c>
      <c r="O240" s="13">
        <v>2</v>
      </c>
      <c r="P240" s="16">
        <v>1200</v>
      </c>
      <c r="Q240" s="13">
        <v>25</v>
      </c>
      <c r="R240" s="13">
        <v>5</v>
      </c>
      <c r="S240" s="16">
        <v>1890</v>
      </c>
      <c r="T240" s="14" t="s">
        <v>326</v>
      </c>
      <c r="U240" s="14" t="s">
        <v>288</v>
      </c>
      <c r="V240" s="217" t="s">
        <v>71</v>
      </c>
    </row>
    <row r="241" spans="1:22" ht="15.75" customHeight="1">
      <c r="A241" s="216" t="s">
        <v>1271</v>
      </c>
      <c r="B241" s="18" t="s">
        <v>167</v>
      </c>
      <c r="C241" s="18" t="s">
        <v>131</v>
      </c>
      <c r="D241" s="17" t="s">
        <v>1272</v>
      </c>
      <c r="E241" s="18" t="s">
        <v>437</v>
      </c>
      <c r="F241" s="18" t="s">
        <v>1273</v>
      </c>
      <c r="G241" s="18" t="s">
        <v>248</v>
      </c>
      <c r="H241" s="17" t="s">
        <v>249</v>
      </c>
      <c r="I241" s="17" t="s">
        <v>123</v>
      </c>
      <c r="J241" s="17" t="s">
        <v>110</v>
      </c>
      <c r="K241" s="18" t="s">
        <v>111</v>
      </c>
      <c r="L241" s="15" t="s">
        <v>1274</v>
      </c>
      <c r="M241" s="18" t="s">
        <v>113</v>
      </c>
      <c r="N241" s="18" t="s">
        <v>114</v>
      </c>
      <c r="O241" s="20" t="s">
        <v>440</v>
      </c>
      <c r="P241" s="19">
        <v>3500</v>
      </c>
      <c r="Q241" s="17">
        <v>25</v>
      </c>
      <c r="R241" s="17">
        <v>18</v>
      </c>
      <c r="S241" s="19">
        <v>3098</v>
      </c>
      <c r="T241" s="18" t="s">
        <v>86</v>
      </c>
      <c r="U241" s="15" t="s">
        <v>154</v>
      </c>
      <c r="V241" s="218" t="s">
        <v>201</v>
      </c>
    </row>
    <row r="242" spans="1:22" ht="15.75" customHeight="1">
      <c r="A242" s="215" t="s">
        <v>1275</v>
      </c>
      <c r="B242" s="14" t="s">
        <v>1276</v>
      </c>
      <c r="C242" s="14" t="s">
        <v>461</v>
      </c>
      <c r="D242" s="13" t="s">
        <v>1277</v>
      </c>
      <c r="E242" s="14" t="s">
        <v>1278</v>
      </c>
      <c r="F242" s="14" t="s">
        <v>1279</v>
      </c>
      <c r="G242" s="14" t="s">
        <v>341</v>
      </c>
      <c r="H242" s="13" t="s">
        <v>62</v>
      </c>
      <c r="I242" s="13" t="s">
        <v>63</v>
      </c>
      <c r="J242" s="13" t="s">
        <v>365</v>
      </c>
      <c r="K242" s="14" t="s">
        <v>366</v>
      </c>
      <c r="L242" s="14" t="s">
        <v>112</v>
      </c>
      <c r="M242" s="14" t="s">
        <v>367</v>
      </c>
      <c r="N242" s="14" t="s">
        <v>368</v>
      </c>
      <c r="O242" s="13">
        <v>4</v>
      </c>
      <c r="P242" s="16">
        <v>3500</v>
      </c>
      <c r="Q242" s="13">
        <v>25</v>
      </c>
      <c r="R242" s="13">
        <v>5</v>
      </c>
      <c r="S242" s="16">
        <v>11025</v>
      </c>
      <c r="T242" s="14" t="s">
        <v>115</v>
      </c>
      <c r="U242" s="14" t="s">
        <v>211</v>
      </c>
      <c r="V242" s="218" t="s">
        <v>88</v>
      </c>
    </row>
    <row r="243" spans="1:22" ht="15.75" customHeight="1">
      <c r="A243" s="216" t="s">
        <v>1280</v>
      </c>
      <c r="B243" s="18" t="s">
        <v>1281</v>
      </c>
      <c r="C243" s="18" t="s">
        <v>416</v>
      </c>
      <c r="D243" s="17" t="s">
        <v>1282</v>
      </c>
      <c r="E243" s="18" t="s">
        <v>1067</v>
      </c>
      <c r="F243" s="15"/>
      <c r="G243" s="18" t="s">
        <v>341</v>
      </c>
      <c r="H243" s="17" t="s">
        <v>62</v>
      </c>
      <c r="I243" s="17" t="s">
        <v>63</v>
      </c>
      <c r="J243" s="17" t="s">
        <v>275</v>
      </c>
      <c r="K243" s="18" t="s">
        <v>276</v>
      </c>
      <c r="L243" s="15" t="s">
        <v>805</v>
      </c>
      <c r="M243" s="18" t="s">
        <v>277</v>
      </c>
      <c r="N243" s="18" t="s">
        <v>126</v>
      </c>
      <c r="O243" s="17">
        <v>4</v>
      </c>
      <c r="P243" s="19">
        <v>35000</v>
      </c>
      <c r="Q243" s="17">
        <v>8</v>
      </c>
      <c r="R243" s="17">
        <v>18</v>
      </c>
      <c r="S243" s="19">
        <v>151984</v>
      </c>
      <c r="T243" s="18" t="s">
        <v>115</v>
      </c>
      <c r="U243" s="15" t="s">
        <v>174</v>
      </c>
      <c r="V243" s="219" t="s">
        <v>155</v>
      </c>
    </row>
    <row r="244" spans="1:22" ht="15.75" customHeight="1">
      <c r="A244" s="215" t="s">
        <v>1283</v>
      </c>
      <c r="B244" s="14" t="s">
        <v>633</v>
      </c>
      <c r="C244" s="15" t="s">
        <v>842</v>
      </c>
      <c r="D244" s="13" t="s">
        <v>1284</v>
      </c>
      <c r="E244" s="14" t="s">
        <v>943</v>
      </c>
      <c r="F244" s="14" t="s">
        <v>1285</v>
      </c>
      <c r="G244" s="14" t="s">
        <v>181</v>
      </c>
      <c r="H244" s="13" t="s">
        <v>182</v>
      </c>
      <c r="I244" s="13" t="s">
        <v>123</v>
      </c>
      <c r="J244" s="13" t="s">
        <v>477</v>
      </c>
      <c r="K244" s="14" t="s">
        <v>478</v>
      </c>
      <c r="L244" s="14" t="s">
        <v>139</v>
      </c>
      <c r="M244" s="14" t="s">
        <v>349</v>
      </c>
      <c r="N244" s="14" t="s">
        <v>479</v>
      </c>
      <c r="O244" s="13">
        <v>2</v>
      </c>
      <c r="P244" s="16">
        <v>2200</v>
      </c>
      <c r="Q244" s="13">
        <v>10</v>
      </c>
      <c r="R244" s="13">
        <v>12</v>
      </c>
      <c r="S244" s="16">
        <v>4435</v>
      </c>
      <c r="T244" s="14" t="s">
        <v>102</v>
      </c>
      <c r="U244" s="15" t="s">
        <v>261</v>
      </c>
      <c r="V244" s="218" t="s">
        <v>190</v>
      </c>
    </row>
    <row r="245" spans="1:22" ht="15.75" customHeight="1">
      <c r="A245" s="216" t="s">
        <v>1286</v>
      </c>
      <c r="B245" s="18" t="s">
        <v>1287</v>
      </c>
      <c r="C245" s="18" t="s">
        <v>482</v>
      </c>
      <c r="D245" s="17" t="s">
        <v>1288</v>
      </c>
      <c r="E245" s="18" t="s">
        <v>1115</v>
      </c>
      <c r="F245" s="18" t="s">
        <v>1289</v>
      </c>
      <c r="G245" s="18" t="s">
        <v>95</v>
      </c>
      <c r="H245" s="17" t="s">
        <v>96</v>
      </c>
      <c r="I245" s="17" t="s">
        <v>63</v>
      </c>
      <c r="J245" s="17" t="s">
        <v>81</v>
      </c>
      <c r="K245" s="18" t="s">
        <v>82</v>
      </c>
      <c r="L245" s="18" t="s">
        <v>83</v>
      </c>
      <c r="M245" s="18" t="s">
        <v>84</v>
      </c>
      <c r="N245" s="18" t="s">
        <v>85</v>
      </c>
      <c r="O245" s="17">
        <v>10</v>
      </c>
      <c r="P245" s="19">
        <v>25000</v>
      </c>
      <c r="Q245" s="17">
        <v>132</v>
      </c>
      <c r="R245" s="17">
        <v>3</v>
      </c>
      <c r="S245" s="20"/>
      <c r="T245" s="18" t="s">
        <v>153</v>
      </c>
      <c r="U245" s="15" t="s">
        <v>154</v>
      </c>
      <c r="V245" s="218" t="s">
        <v>201</v>
      </c>
    </row>
    <row r="246" spans="1:22" ht="15.75" customHeight="1">
      <c r="A246" s="215" t="s">
        <v>1290</v>
      </c>
      <c r="B246" s="14" t="s">
        <v>1291</v>
      </c>
      <c r="C246" s="15" t="s">
        <v>522</v>
      </c>
      <c r="D246" s="13" t="s">
        <v>1292</v>
      </c>
      <c r="E246" s="14" t="s">
        <v>867</v>
      </c>
      <c r="F246" s="14" t="s">
        <v>1293</v>
      </c>
      <c r="G246" s="14" t="s">
        <v>744</v>
      </c>
      <c r="H246" s="13" t="s">
        <v>79</v>
      </c>
      <c r="I246" s="13" t="s">
        <v>80</v>
      </c>
      <c r="J246" s="13" t="s">
        <v>124</v>
      </c>
      <c r="K246" s="14" t="s">
        <v>125</v>
      </c>
      <c r="L246" s="14" t="s">
        <v>99</v>
      </c>
      <c r="M246" s="14" t="s">
        <v>100</v>
      </c>
      <c r="N246" s="14" t="s">
        <v>126</v>
      </c>
      <c r="O246" s="13">
        <v>2</v>
      </c>
      <c r="P246" s="20" t="s">
        <v>1294</v>
      </c>
      <c r="Q246" s="13">
        <v>10</v>
      </c>
      <c r="R246" s="13">
        <v>18</v>
      </c>
      <c r="S246" s="16">
        <v>29736</v>
      </c>
      <c r="T246" s="14" t="s">
        <v>326</v>
      </c>
      <c r="U246" s="15" t="s">
        <v>383</v>
      </c>
      <c r="V246" s="217" t="s">
        <v>144</v>
      </c>
    </row>
    <row r="247" spans="1:22" ht="15.75" customHeight="1">
      <c r="A247" s="216" t="s">
        <v>1295</v>
      </c>
      <c r="B247" s="18" t="s">
        <v>192</v>
      </c>
      <c r="C247" s="18" t="s">
        <v>131</v>
      </c>
      <c r="D247" s="17" t="s">
        <v>1296</v>
      </c>
      <c r="E247" s="18" t="s">
        <v>895</v>
      </c>
      <c r="F247" s="18" t="s">
        <v>1297</v>
      </c>
      <c r="G247" s="15" t="s">
        <v>407</v>
      </c>
      <c r="H247" s="17" t="s">
        <v>152</v>
      </c>
      <c r="I247" s="17" t="s">
        <v>80</v>
      </c>
      <c r="J247" s="17" t="s">
        <v>356</v>
      </c>
      <c r="K247" s="18" t="s">
        <v>357</v>
      </c>
      <c r="L247" s="18" t="s">
        <v>139</v>
      </c>
      <c r="M247" s="18" t="s">
        <v>140</v>
      </c>
      <c r="N247" s="18" t="s">
        <v>358</v>
      </c>
      <c r="O247" s="17">
        <v>7</v>
      </c>
      <c r="P247" s="19">
        <v>42000</v>
      </c>
      <c r="Q247" s="17">
        <v>5</v>
      </c>
      <c r="R247" s="17">
        <v>18</v>
      </c>
      <c r="S247" s="19">
        <v>329574</v>
      </c>
      <c r="T247" s="18" t="s">
        <v>465</v>
      </c>
      <c r="U247" s="15" t="s">
        <v>174</v>
      </c>
      <c r="V247" s="219" t="s">
        <v>144</v>
      </c>
    </row>
    <row r="248" spans="1:22" ht="15.75" customHeight="1">
      <c r="A248" s="215" t="s">
        <v>1298</v>
      </c>
      <c r="B248" s="14" t="s">
        <v>1299</v>
      </c>
      <c r="C248" s="15" t="s">
        <v>605</v>
      </c>
      <c r="D248" s="13" t="s">
        <v>1300</v>
      </c>
      <c r="E248" s="14" t="s">
        <v>971</v>
      </c>
      <c r="F248" s="14" t="s">
        <v>1301</v>
      </c>
      <c r="G248" s="14" t="s">
        <v>744</v>
      </c>
      <c r="H248" s="13" t="s">
        <v>79</v>
      </c>
      <c r="I248" s="13" t="s">
        <v>80</v>
      </c>
      <c r="J248" s="13" t="s">
        <v>897</v>
      </c>
      <c r="K248" s="14" t="s">
        <v>898</v>
      </c>
      <c r="L248" s="14" t="s">
        <v>139</v>
      </c>
      <c r="M248" s="14" t="s">
        <v>140</v>
      </c>
      <c r="N248" s="14" t="s">
        <v>899</v>
      </c>
      <c r="O248" s="13">
        <v>4</v>
      </c>
      <c r="P248" s="16">
        <v>38000</v>
      </c>
      <c r="Q248" s="13">
        <v>10</v>
      </c>
      <c r="R248" s="13">
        <v>18</v>
      </c>
      <c r="S248" s="16">
        <v>161424</v>
      </c>
      <c r="T248" s="14" t="s">
        <v>115</v>
      </c>
      <c r="U248" s="15" t="s">
        <v>174</v>
      </c>
      <c r="V248" s="218" t="s">
        <v>88</v>
      </c>
    </row>
    <row r="249" spans="1:22" ht="15.75" customHeight="1">
      <c r="A249" s="216" t="s">
        <v>1302</v>
      </c>
      <c r="B249" s="18" t="s">
        <v>505</v>
      </c>
      <c r="C249" s="18" t="s">
        <v>264</v>
      </c>
      <c r="D249" s="17" t="s">
        <v>1303</v>
      </c>
      <c r="E249" s="18"/>
      <c r="F249" s="18" t="s">
        <v>1304</v>
      </c>
      <c r="G249" s="18" t="s">
        <v>439</v>
      </c>
      <c r="H249" s="17" t="s">
        <v>364</v>
      </c>
      <c r="I249" s="17" t="s">
        <v>63</v>
      </c>
      <c r="J249" s="17" t="s">
        <v>97</v>
      </c>
      <c r="K249" s="18" t="s">
        <v>98</v>
      </c>
      <c r="L249" s="18" t="s">
        <v>99</v>
      </c>
      <c r="M249" s="18" t="s">
        <v>100</v>
      </c>
      <c r="N249" s="18" t="s">
        <v>101</v>
      </c>
      <c r="O249" s="17">
        <v>10</v>
      </c>
      <c r="P249" s="19">
        <v>28000</v>
      </c>
      <c r="Q249" s="17">
        <v>10</v>
      </c>
      <c r="R249" s="17">
        <v>18</v>
      </c>
      <c r="S249" s="19">
        <v>297360</v>
      </c>
      <c r="T249" s="18" t="s">
        <v>413</v>
      </c>
      <c r="U249" s="15" t="s">
        <v>87</v>
      </c>
      <c r="V249" s="219" t="s">
        <v>71</v>
      </c>
    </row>
    <row r="250" spans="1:22" ht="15.75" customHeight="1">
      <c r="A250" s="215" t="s">
        <v>1305</v>
      </c>
      <c r="B250" s="14" t="s">
        <v>1306</v>
      </c>
      <c r="C250" s="15" t="s">
        <v>147</v>
      </c>
      <c r="D250" s="13" t="s">
        <v>1307</v>
      </c>
      <c r="E250" s="14" t="s">
        <v>1308</v>
      </c>
      <c r="F250" s="14" t="s">
        <v>1309</v>
      </c>
      <c r="G250" s="15" t="s">
        <v>274</v>
      </c>
      <c r="H250" s="13" t="s">
        <v>96</v>
      </c>
      <c r="I250" s="13" t="s">
        <v>63</v>
      </c>
      <c r="J250" s="13" t="s">
        <v>110</v>
      </c>
      <c r="K250" s="14" t="s">
        <v>111</v>
      </c>
      <c r="L250" s="14" t="s">
        <v>112</v>
      </c>
      <c r="M250" s="14" t="s">
        <v>113</v>
      </c>
      <c r="N250" s="14" t="s">
        <v>114</v>
      </c>
      <c r="O250" s="13">
        <v>1</v>
      </c>
      <c r="P250" s="16">
        <v>3500</v>
      </c>
      <c r="Q250" s="13">
        <v>20</v>
      </c>
      <c r="R250" s="13">
        <v>18</v>
      </c>
      <c r="S250" s="16">
        <v>3304</v>
      </c>
      <c r="T250" s="14" t="s">
        <v>142</v>
      </c>
      <c r="U250" s="15" t="s">
        <v>174</v>
      </c>
      <c r="V250" s="218" t="s">
        <v>88</v>
      </c>
    </row>
    <row r="251" spans="1:22" ht="15.75" customHeight="1">
      <c r="A251" s="216" t="s">
        <v>1310</v>
      </c>
      <c r="B251" s="18" t="s">
        <v>1311</v>
      </c>
      <c r="C251" s="18" t="s">
        <v>372</v>
      </c>
      <c r="D251" s="17"/>
      <c r="E251" s="18" t="s">
        <v>374</v>
      </c>
      <c r="F251" s="18" t="s">
        <v>1312</v>
      </c>
      <c r="G251" s="18" t="s">
        <v>122</v>
      </c>
      <c r="H251" s="17" t="s">
        <v>122</v>
      </c>
      <c r="I251" s="20" t="s">
        <v>1313</v>
      </c>
      <c r="J251" s="17" t="s">
        <v>356</v>
      </c>
      <c r="K251" s="18" t="s">
        <v>357</v>
      </c>
      <c r="L251" s="18" t="s">
        <v>139</v>
      </c>
      <c r="M251" s="18" t="s">
        <v>140</v>
      </c>
      <c r="N251" s="18" t="s">
        <v>358</v>
      </c>
      <c r="O251" s="17">
        <v>8</v>
      </c>
      <c r="P251" s="19">
        <v>42000</v>
      </c>
      <c r="Q251" s="17">
        <v>15</v>
      </c>
      <c r="R251" s="17">
        <v>18</v>
      </c>
      <c r="S251" s="19">
        <v>485614</v>
      </c>
      <c r="T251" s="18" t="s">
        <v>69</v>
      </c>
      <c r="U251" s="15" t="s">
        <v>383</v>
      </c>
      <c r="V251" s="219" t="s">
        <v>144</v>
      </c>
    </row>
    <row r="252" spans="1:22" ht="15.75" customHeight="1">
      <c r="A252" s="215" t="s">
        <v>1314</v>
      </c>
      <c r="B252" s="14" t="s">
        <v>1315</v>
      </c>
      <c r="C252" s="15" t="s">
        <v>747</v>
      </c>
      <c r="D252" s="13" t="s">
        <v>1316</v>
      </c>
      <c r="E252" s="14" t="s">
        <v>1317</v>
      </c>
      <c r="F252" s="14" t="s">
        <v>1318</v>
      </c>
      <c r="G252" s="14" t="s">
        <v>122</v>
      </c>
      <c r="H252" s="13" t="s">
        <v>122</v>
      </c>
      <c r="I252" s="13" t="s">
        <v>123</v>
      </c>
      <c r="J252" s="13" t="s">
        <v>897</v>
      </c>
      <c r="K252" s="14" t="s">
        <v>898</v>
      </c>
      <c r="L252" s="14" t="s">
        <v>139</v>
      </c>
      <c r="M252" s="14" t="s">
        <v>140</v>
      </c>
      <c r="N252" s="14" t="s">
        <v>899</v>
      </c>
      <c r="O252" s="13">
        <v>1</v>
      </c>
      <c r="P252" s="16">
        <v>38000</v>
      </c>
      <c r="Q252" s="13">
        <v>8</v>
      </c>
      <c r="R252" s="13">
        <v>18</v>
      </c>
      <c r="S252" s="16">
        <v>41253</v>
      </c>
      <c r="T252" s="14" t="s">
        <v>413</v>
      </c>
      <c r="U252" s="14" t="s">
        <v>184</v>
      </c>
      <c r="V252" s="218" t="s">
        <v>190</v>
      </c>
    </row>
    <row r="253" spans="1:22" ht="15.75" customHeight="1">
      <c r="A253" s="216" t="s">
        <v>1319</v>
      </c>
      <c r="B253" s="18" t="s">
        <v>1320</v>
      </c>
      <c r="C253" s="15" t="s">
        <v>91</v>
      </c>
      <c r="D253" s="17" t="s">
        <v>1321</v>
      </c>
      <c r="E253" s="18" t="s">
        <v>876</v>
      </c>
      <c r="F253" s="18" t="s">
        <v>1322</v>
      </c>
      <c r="G253" s="18" t="s">
        <v>248</v>
      </c>
      <c r="H253" s="17" t="s">
        <v>249</v>
      </c>
      <c r="I253" s="17" t="s">
        <v>123</v>
      </c>
      <c r="J253" s="17" t="s">
        <v>207</v>
      </c>
      <c r="K253" s="18" t="s">
        <v>208</v>
      </c>
      <c r="L253" s="18" t="s">
        <v>99</v>
      </c>
      <c r="M253" s="18" t="s">
        <v>209</v>
      </c>
      <c r="N253" s="18" t="s">
        <v>210</v>
      </c>
      <c r="O253" s="17">
        <v>8</v>
      </c>
      <c r="P253" s="19">
        <v>55000</v>
      </c>
      <c r="Q253" s="17">
        <v>12</v>
      </c>
      <c r="R253" s="17">
        <v>18</v>
      </c>
      <c r="S253" s="19">
        <v>456896</v>
      </c>
      <c r="T253" s="18" t="s">
        <v>153</v>
      </c>
      <c r="U253" s="18" t="s">
        <v>70</v>
      </c>
      <c r="V253" s="219" t="s">
        <v>71</v>
      </c>
    </row>
    <row r="254" spans="1:22" ht="15.75" customHeight="1">
      <c r="A254" s="215" t="s">
        <v>1323</v>
      </c>
      <c r="B254" s="14" t="s">
        <v>1324</v>
      </c>
      <c r="C254" s="15" t="s">
        <v>541</v>
      </c>
      <c r="D254" s="13" t="s">
        <v>1325</v>
      </c>
      <c r="E254" s="14" t="s">
        <v>543</v>
      </c>
      <c r="F254" s="14" t="s">
        <v>1326</v>
      </c>
      <c r="G254" s="14" t="s">
        <v>78</v>
      </c>
      <c r="H254" s="13" t="s">
        <v>79</v>
      </c>
      <c r="I254" s="13" t="s">
        <v>80</v>
      </c>
      <c r="J254" s="13" t="s">
        <v>389</v>
      </c>
      <c r="K254" s="14" t="s">
        <v>390</v>
      </c>
      <c r="L254" s="14" t="s">
        <v>99</v>
      </c>
      <c r="M254" s="14" t="s">
        <v>164</v>
      </c>
      <c r="N254" s="14" t="s">
        <v>391</v>
      </c>
      <c r="O254" s="13">
        <v>5</v>
      </c>
      <c r="P254" s="16">
        <v>1500</v>
      </c>
      <c r="Q254" s="13">
        <v>20</v>
      </c>
      <c r="R254" s="13">
        <v>18</v>
      </c>
      <c r="S254" s="16">
        <v>7080</v>
      </c>
      <c r="T254" s="14" t="s">
        <v>153</v>
      </c>
      <c r="U254" s="14" t="s">
        <v>211</v>
      </c>
      <c r="V254" s="218" t="s">
        <v>88</v>
      </c>
    </row>
    <row r="255" spans="1:22" ht="15.75" customHeight="1">
      <c r="A255" s="216" t="s">
        <v>1327</v>
      </c>
      <c r="B255" s="18" t="s">
        <v>1328</v>
      </c>
      <c r="C255" s="18" t="s">
        <v>627</v>
      </c>
      <c r="D255" s="17" t="s">
        <v>1329</v>
      </c>
      <c r="E255" s="18" t="s">
        <v>1330</v>
      </c>
      <c r="F255" s="18" t="s">
        <v>1331</v>
      </c>
      <c r="G255" s="15" t="s">
        <v>268</v>
      </c>
      <c r="H255" s="17" t="s">
        <v>122</v>
      </c>
      <c r="I255" s="17" t="s">
        <v>123</v>
      </c>
      <c r="J255" s="17" t="s">
        <v>97</v>
      </c>
      <c r="K255" s="18" t="s">
        <v>98</v>
      </c>
      <c r="L255" s="18" t="s">
        <v>99</v>
      </c>
      <c r="M255" s="18" t="s">
        <v>100</v>
      </c>
      <c r="N255" s="18" t="s">
        <v>101</v>
      </c>
      <c r="O255" s="17">
        <v>5</v>
      </c>
      <c r="P255" s="19">
        <v>28000</v>
      </c>
      <c r="Q255" s="17">
        <v>8</v>
      </c>
      <c r="R255" s="17">
        <v>18</v>
      </c>
      <c r="S255" s="19">
        <v>151984</v>
      </c>
      <c r="T255" s="18" t="s">
        <v>115</v>
      </c>
      <c r="U255" s="15" t="s">
        <v>103</v>
      </c>
      <c r="V255" s="218" t="s">
        <v>201</v>
      </c>
    </row>
    <row r="256" spans="1:22" ht="15.75" customHeight="1">
      <c r="A256" s="215" t="s">
        <v>1332</v>
      </c>
      <c r="B256" s="14" t="s">
        <v>1333</v>
      </c>
      <c r="C256" s="15" t="s">
        <v>825</v>
      </c>
      <c r="D256" s="13" t="s">
        <v>1334</v>
      </c>
      <c r="E256" s="14" t="s">
        <v>1023</v>
      </c>
      <c r="F256" s="14" t="s">
        <v>1335</v>
      </c>
      <c r="G256" s="14" t="s">
        <v>439</v>
      </c>
      <c r="H256" s="13" t="s">
        <v>364</v>
      </c>
      <c r="I256" s="13" t="s">
        <v>63</v>
      </c>
      <c r="J256" s="13" t="s">
        <v>197</v>
      </c>
      <c r="K256" s="14" t="s">
        <v>198</v>
      </c>
      <c r="L256" s="14" t="s">
        <v>66</v>
      </c>
      <c r="M256" s="14" t="s">
        <v>199</v>
      </c>
      <c r="N256" s="14" t="s">
        <v>200</v>
      </c>
      <c r="O256" s="13">
        <v>6</v>
      </c>
      <c r="P256" s="16">
        <v>50</v>
      </c>
      <c r="Q256" s="13">
        <v>5</v>
      </c>
      <c r="R256" s="13">
        <v>5</v>
      </c>
      <c r="S256" s="16">
        <v>299</v>
      </c>
      <c r="T256" s="14" t="s">
        <v>115</v>
      </c>
      <c r="U256" s="15" t="s">
        <v>174</v>
      </c>
      <c r="V256" s="218" t="s">
        <v>190</v>
      </c>
    </row>
    <row r="257" spans="1:22" ht="15.75" customHeight="1">
      <c r="A257" s="216" t="s">
        <v>1336</v>
      </c>
      <c r="B257" s="18" t="s">
        <v>1337</v>
      </c>
      <c r="C257" s="18" t="s">
        <v>337</v>
      </c>
      <c r="D257" s="17" t="s">
        <v>1338</v>
      </c>
      <c r="E257" s="18" t="s">
        <v>1339</v>
      </c>
      <c r="F257" s="18" t="s">
        <v>1340</v>
      </c>
      <c r="G257" s="15" t="s">
        <v>407</v>
      </c>
      <c r="H257" s="17" t="s">
        <v>152</v>
      </c>
      <c r="I257" s="17" t="s">
        <v>80</v>
      </c>
      <c r="J257" s="17" t="s">
        <v>81</v>
      </c>
      <c r="K257" s="18" t="s">
        <v>82</v>
      </c>
      <c r="L257" s="18" t="s">
        <v>83</v>
      </c>
      <c r="M257" s="18" t="s">
        <v>84</v>
      </c>
      <c r="N257" s="18" t="s">
        <v>85</v>
      </c>
      <c r="O257" s="17">
        <v>8</v>
      </c>
      <c r="P257" s="19">
        <v>25000</v>
      </c>
      <c r="Q257" s="17">
        <v>5</v>
      </c>
      <c r="R257" s="17">
        <v>3</v>
      </c>
      <c r="S257" s="19">
        <v>195700</v>
      </c>
      <c r="T257" s="18" t="s">
        <v>142</v>
      </c>
      <c r="U257" s="15" t="s">
        <v>383</v>
      </c>
      <c r="V257" s="219" t="s">
        <v>212</v>
      </c>
    </row>
    <row r="258" spans="1:22" ht="15.75" customHeight="1">
      <c r="A258" s="215" t="s">
        <v>1341</v>
      </c>
      <c r="B258" s="14" t="s">
        <v>1342</v>
      </c>
      <c r="C258" s="14" t="s">
        <v>264</v>
      </c>
      <c r="D258" s="13" t="s">
        <v>1343</v>
      </c>
      <c r="E258" s="14" t="s">
        <v>266</v>
      </c>
      <c r="F258" s="14" t="s">
        <v>1344</v>
      </c>
      <c r="G258" s="14" t="s">
        <v>151</v>
      </c>
      <c r="H258" s="13" t="s">
        <v>152</v>
      </c>
      <c r="I258" s="20" t="s">
        <v>834</v>
      </c>
      <c r="J258" s="13" t="s">
        <v>420</v>
      </c>
      <c r="K258" s="14" t="s">
        <v>421</v>
      </c>
      <c r="L258" s="14" t="s">
        <v>112</v>
      </c>
      <c r="M258" s="14" t="s">
        <v>422</v>
      </c>
      <c r="N258" s="14" t="s">
        <v>423</v>
      </c>
      <c r="O258" s="13">
        <v>6</v>
      </c>
      <c r="P258" s="16">
        <v>4800</v>
      </c>
      <c r="Q258" s="13">
        <v>20</v>
      </c>
      <c r="R258" s="13">
        <v>18</v>
      </c>
      <c r="S258" s="16">
        <v>27187</v>
      </c>
      <c r="T258" s="14" t="s">
        <v>86</v>
      </c>
      <c r="U258" s="14" t="s">
        <v>211</v>
      </c>
      <c r="V258" s="218" t="s">
        <v>201</v>
      </c>
    </row>
    <row r="259" spans="1:22" ht="15.75" customHeight="1">
      <c r="A259" s="216" t="s">
        <v>1345</v>
      </c>
      <c r="B259" s="18" t="s">
        <v>1346</v>
      </c>
      <c r="C259" s="18" t="s">
        <v>728</v>
      </c>
      <c r="D259" s="17" t="s">
        <v>1347</v>
      </c>
      <c r="E259" s="18" t="s">
        <v>1348</v>
      </c>
      <c r="F259" s="18" t="s">
        <v>1349</v>
      </c>
      <c r="G259" s="18" t="s">
        <v>172</v>
      </c>
      <c r="H259" s="17" t="s">
        <v>96</v>
      </c>
      <c r="I259" s="17" t="s">
        <v>63</v>
      </c>
      <c r="J259" s="17" t="s">
        <v>365</v>
      </c>
      <c r="K259" s="18" t="s">
        <v>366</v>
      </c>
      <c r="L259" s="18" t="s">
        <v>112</v>
      </c>
      <c r="M259" s="18" t="s">
        <v>367</v>
      </c>
      <c r="N259" s="18" t="s">
        <v>368</v>
      </c>
      <c r="O259" s="17">
        <v>7</v>
      </c>
      <c r="P259" s="19">
        <v>3500</v>
      </c>
      <c r="Q259" s="17">
        <v>25</v>
      </c>
      <c r="R259" s="17">
        <v>5</v>
      </c>
      <c r="S259" s="19">
        <v>19294</v>
      </c>
      <c r="T259" s="18" t="s">
        <v>326</v>
      </c>
      <c r="U259" s="15" t="s">
        <v>261</v>
      </c>
      <c r="V259" s="219" t="s">
        <v>212</v>
      </c>
    </row>
    <row r="260" spans="1:22" ht="15.75" customHeight="1">
      <c r="A260" s="215" t="s">
        <v>1350</v>
      </c>
      <c r="B260" s="14" t="s">
        <v>1351</v>
      </c>
      <c r="C260" s="15" t="s">
        <v>825</v>
      </c>
      <c r="D260" s="13" t="s">
        <v>1352</v>
      </c>
      <c r="E260" s="14" t="s">
        <v>1080</v>
      </c>
      <c r="F260" s="14" t="s">
        <v>1353</v>
      </c>
      <c r="G260" s="14" t="s">
        <v>439</v>
      </c>
      <c r="H260" s="13" t="s">
        <v>364</v>
      </c>
      <c r="I260" s="13" t="s">
        <v>63</v>
      </c>
      <c r="J260" s="13" t="s">
        <v>376</v>
      </c>
      <c r="K260" s="14" t="s">
        <v>377</v>
      </c>
      <c r="L260" s="14" t="s">
        <v>112</v>
      </c>
      <c r="M260" s="14" t="s">
        <v>113</v>
      </c>
      <c r="N260" s="14" t="s">
        <v>378</v>
      </c>
      <c r="O260" s="13">
        <v>10</v>
      </c>
      <c r="P260" s="16">
        <v>8500</v>
      </c>
      <c r="Q260" s="13">
        <v>0</v>
      </c>
      <c r="R260" s="13">
        <v>18</v>
      </c>
      <c r="S260" s="16">
        <v>100300</v>
      </c>
      <c r="T260" s="14" t="s">
        <v>102</v>
      </c>
      <c r="U260" s="15" t="s">
        <v>174</v>
      </c>
      <c r="V260" s="217" t="s">
        <v>212</v>
      </c>
    </row>
    <row r="261" spans="1:22" ht="15.75" customHeight="1">
      <c r="A261" s="216" t="s">
        <v>1271</v>
      </c>
      <c r="B261" s="18" t="s">
        <v>167</v>
      </c>
      <c r="C261" s="18" t="s">
        <v>131</v>
      </c>
      <c r="D261" s="17" t="s">
        <v>1272</v>
      </c>
      <c r="E261" s="18" t="s">
        <v>437</v>
      </c>
      <c r="F261" s="18" t="s">
        <v>1273</v>
      </c>
      <c r="G261" s="18" t="s">
        <v>248</v>
      </c>
      <c r="H261" s="17" t="s">
        <v>249</v>
      </c>
      <c r="I261" s="17" t="s">
        <v>123</v>
      </c>
      <c r="J261" s="17" t="s">
        <v>110</v>
      </c>
      <c r="K261" s="18" t="s">
        <v>111</v>
      </c>
      <c r="L261" s="15" t="s">
        <v>1274</v>
      </c>
      <c r="M261" s="18" t="s">
        <v>113</v>
      </c>
      <c r="N261" s="18" t="s">
        <v>114</v>
      </c>
      <c r="O261" s="20" t="s">
        <v>440</v>
      </c>
      <c r="P261" s="19">
        <v>3500</v>
      </c>
      <c r="Q261" s="17">
        <v>25</v>
      </c>
      <c r="R261" s="17">
        <v>18</v>
      </c>
      <c r="S261" s="19">
        <v>3098</v>
      </c>
      <c r="T261" s="18" t="s">
        <v>86</v>
      </c>
      <c r="U261" s="15" t="s">
        <v>154</v>
      </c>
      <c r="V261" s="218" t="s">
        <v>201</v>
      </c>
    </row>
    <row r="262" spans="1:22" ht="15.75" customHeight="1">
      <c r="A262" s="215" t="s">
        <v>1354</v>
      </c>
      <c r="B262" s="14" t="s">
        <v>1355</v>
      </c>
      <c r="C262" s="15" t="s">
        <v>57</v>
      </c>
      <c r="D262" s="13" t="s">
        <v>1356</v>
      </c>
      <c r="E262" s="14" t="s">
        <v>454</v>
      </c>
      <c r="F262" s="14" t="s">
        <v>1357</v>
      </c>
      <c r="G262" s="14" t="s">
        <v>78</v>
      </c>
      <c r="H262" s="13" t="s">
        <v>79</v>
      </c>
      <c r="I262" s="13" t="s">
        <v>80</v>
      </c>
      <c r="J262" s="13" t="s">
        <v>491</v>
      </c>
      <c r="K262" s="14" t="s">
        <v>492</v>
      </c>
      <c r="L262" s="14" t="s">
        <v>112</v>
      </c>
      <c r="M262" s="14" t="s">
        <v>493</v>
      </c>
      <c r="N262" s="14" t="s">
        <v>494</v>
      </c>
      <c r="O262" s="13">
        <v>5</v>
      </c>
      <c r="P262" s="16">
        <v>4500</v>
      </c>
      <c r="Q262" s="13">
        <v>0</v>
      </c>
      <c r="R262" s="13">
        <v>5</v>
      </c>
      <c r="S262" s="16">
        <v>23625</v>
      </c>
      <c r="T262" s="14" t="s">
        <v>86</v>
      </c>
      <c r="U262" s="15" t="s">
        <v>174</v>
      </c>
      <c r="V262" s="218" t="s">
        <v>128</v>
      </c>
    </row>
    <row r="263" spans="1:22" ht="15.75" customHeight="1">
      <c r="A263" s="216" t="s">
        <v>1358</v>
      </c>
      <c r="B263" s="18" t="s">
        <v>1359</v>
      </c>
      <c r="C263" s="15" t="s">
        <v>842</v>
      </c>
      <c r="D263" s="17" t="s">
        <v>1360</v>
      </c>
      <c r="E263" s="18" t="s">
        <v>1093</v>
      </c>
      <c r="F263" s="18" t="s">
        <v>1361</v>
      </c>
      <c r="G263" s="18" t="s">
        <v>181</v>
      </c>
      <c r="H263" s="17" t="s">
        <v>182</v>
      </c>
      <c r="I263" s="17" t="s">
        <v>123</v>
      </c>
      <c r="J263" s="17" t="s">
        <v>295</v>
      </c>
      <c r="K263" s="18" t="s">
        <v>296</v>
      </c>
      <c r="L263" s="18" t="s">
        <v>66</v>
      </c>
      <c r="M263" s="18" t="s">
        <v>297</v>
      </c>
      <c r="N263" s="18" t="s">
        <v>298</v>
      </c>
      <c r="O263" s="17">
        <v>2</v>
      </c>
      <c r="P263" s="19">
        <v>280</v>
      </c>
      <c r="Q263" s="17">
        <v>12</v>
      </c>
      <c r="R263" s="17">
        <v>5</v>
      </c>
      <c r="S263" s="19">
        <v>517</v>
      </c>
      <c r="T263" s="18" t="s">
        <v>183</v>
      </c>
      <c r="U263" s="15" t="s">
        <v>87</v>
      </c>
      <c r="V263" s="218" t="s">
        <v>190</v>
      </c>
    </row>
    <row r="264" spans="1:22" ht="15.75" customHeight="1">
      <c r="A264" s="215" t="s">
        <v>1362</v>
      </c>
      <c r="B264" s="14" t="s">
        <v>1363</v>
      </c>
      <c r="C264" s="15" t="s">
        <v>541</v>
      </c>
      <c r="D264" s="13" t="s">
        <v>1364</v>
      </c>
      <c r="E264" s="14" t="s">
        <v>1365</v>
      </c>
      <c r="F264" s="14" t="s">
        <v>1366</v>
      </c>
      <c r="G264" s="14" t="s">
        <v>95</v>
      </c>
      <c r="H264" s="13" t="s">
        <v>96</v>
      </c>
      <c r="I264" s="13" t="s">
        <v>63</v>
      </c>
      <c r="J264" s="13" t="s">
        <v>312</v>
      </c>
      <c r="K264" s="14" t="s">
        <v>313</v>
      </c>
      <c r="L264" s="14" t="s">
        <v>66</v>
      </c>
      <c r="M264" s="14" t="s">
        <v>199</v>
      </c>
      <c r="N264" s="14" t="s">
        <v>314</v>
      </c>
      <c r="O264" s="13">
        <v>9</v>
      </c>
      <c r="P264" s="16">
        <v>40</v>
      </c>
      <c r="Q264" s="13">
        <v>20</v>
      </c>
      <c r="R264" s="13">
        <v>5</v>
      </c>
      <c r="S264" s="16">
        <v>302</v>
      </c>
      <c r="T264" s="14" t="s">
        <v>465</v>
      </c>
      <c r="U264" s="15" t="s">
        <v>174</v>
      </c>
      <c r="V264" s="218" t="s">
        <v>190</v>
      </c>
    </row>
    <row r="265" spans="1:22" ht="15.75" customHeight="1">
      <c r="A265" s="216" t="s">
        <v>1367</v>
      </c>
      <c r="B265" s="18" t="s">
        <v>1368</v>
      </c>
      <c r="C265" s="18" t="s">
        <v>74</v>
      </c>
      <c r="D265" s="17" t="s">
        <v>1369</v>
      </c>
      <c r="E265" s="18" t="s">
        <v>205</v>
      </c>
      <c r="F265" s="15"/>
      <c r="G265" s="18" t="s">
        <v>485</v>
      </c>
      <c r="H265" s="17" t="s">
        <v>305</v>
      </c>
      <c r="I265" s="17" t="s">
        <v>306</v>
      </c>
      <c r="J265" s="17" t="s">
        <v>275</v>
      </c>
      <c r="K265" s="18" t="s">
        <v>276</v>
      </c>
      <c r="L265" s="18" t="s">
        <v>99</v>
      </c>
      <c r="M265" s="18" t="s">
        <v>277</v>
      </c>
      <c r="N265" s="18" t="s">
        <v>126</v>
      </c>
      <c r="O265" s="17">
        <v>4</v>
      </c>
      <c r="P265" s="19">
        <v>35000</v>
      </c>
      <c r="Q265" s="17">
        <v>5</v>
      </c>
      <c r="R265" s="17">
        <v>18</v>
      </c>
      <c r="S265" s="19">
        <v>156940</v>
      </c>
      <c r="T265" s="18" t="s">
        <v>465</v>
      </c>
      <c r="U265" s="18" t="s">
        <v>70</v>
      </c>
      <c r="V265" s="219" t="s">
        <v>212</v>
      </c>
    </row>
    <row r="266" spans="1:22" ht="15.75" customHeight="1">
      <c r="A266" s="215" t="s">
        <v>1370</v>
      </c>
      <c r="B266" s="14" t="s">
        <v>1371</v>
      </c>
      <c r="C266" s="15" t="s">
        <v>317</v>
      </c>
      <c r="D266" s="13" t="s">
        <v>1372</v>
      </c>
      <c r="E266" s="14" t="s">
        <v>1063</v>
      </c>
      <c r="F266" s="14" t="s">
        <v>1373</v>
      </c>
      <c r="G266" s="14" t="s">
        <v>61</v>
      </c>
      <c r="H266" s="13" t="s">
        <v>62</v>
      </c>
      <c r="I266" s="13" t="s">
        <v>63</v>
      </c>
      <c r="J266" s="13" t="s">
        <v>477</v>
      </c>
      <c r="K266" s="14" t="s">
        <v>478</v>
      </c>
      <c r="L266" s="14" t="s">
        <v>139</v>
      </c>
      <c r="M266" s="14" t="s">
        <v>349</v>
      </c>
      <c r="N266" s="14" t="s">
        <v>479</v>
      </c>
      <c r="O266" s="20">
        <v>-2</v>
      </c>
      <c r="P266" s="16">
        <v>2200</v>
      </c>
      <c r="Q266" s="13">
        <v>15</v>
      </c>
      <c r="R266" s="13">
        <v>12</v>
      </c>
      <c r="S266" s="21">
        <v>-4189</v>
      </c>
      <c r="T266" s="14" t="s">
        <v>326</v>
      </c>
      <c r="U266" s="14" t="s">
        <v>70</v>
      </c>
      <c r="V266" s="217" t="s">
        <v>144</v>
      </c>
    </row>
    <row r="267" spans="1:22" ht="15.75" customHeight="1">
      <c r="A267" s="216" t="s">
        <v>1374</v>
      </c>
      <c r="B267" s="18" t="s">
        <v>550</v>
      </c>
      <c r="C267" s="18" t="s">
        <v>291</v>
      </c>
      <c r="D267" s="17" t="s">
        <v>1375</v>
      </c>
      <c r="E267" s="18" t="s">
        <v>512</v>
      </c>
      <c r="F267" s="18" t="s">
        <v>1376</v>
      </c>
      <c r="G267" s="18" t="s">
        <v>181</v>
      </c>
      <c r="H267" s="17" t="s">
        <v>182</v>
      </c>
      <c r="I267" s="17" t="s">
        <v>123</v>
      </c>
      <c r="J267" s="17" t="s">
        <v>81</v>
      </c>
      <c r="K267" s="18" t="s">
        <v>82</v>
      </c>
      <c r="L267" s="18" t="s">
        <v>83</v>
      </c>
      <c r="M267" s="18" t="s">
        <v>84</v>
      </c>
      <c r="N267" s="18" t="s">
        <v>85</v>
      </c>
      <c r="O267" s="17">
        <v>9</v>
      </c>
      <c r="P267" s="19">
        <v>25000</v>
      </c>
      <c r="Q267" s="17">
        <v>5</v>
      </c>
      <c r="R267" s="17">
        <v>3</v>
      </c>
      <c r="S267" s="19">
        <v>220162</v>
      </c>
      <c r="T267" s="18" t="s">
        <v>413</v>
      </c>
      <c r="U267" s="15" t="s">
        <v>103</v>
      </c>
      <c r="V267" s="218" t="s">
        <v>88</v>
      </c>
    </row>
    <row r="268" spans="1:22" ht="15.75" customHeight="1">
      <c r="A268" s="215" t="s">
        <v>1377</v>
      </c>
      <c r="B268" s="14" t="s">
        <v>1378</v>
      </c>
      <c r="C268" s="15" t="s">
        <v>158</v>
      </c>
      <c r="D268" s="13" t="s">
        <v>1379</v>
      </c>
      <c r="E268" s="14" t="s">
        <v>324</v>
      </c>
      <c r="F268" s="14" t="s">
        <v>1380</v>
      </c>
      <c r="G268" s="14" t="s">
        <v>135</v>
      </c>
      <c r="H268" s="13" t="s">
        <v>136</v>
      </c>
      <c r="I268" s="13" t="s">
        <v>63</v>
      </c>
      <c r="J268" s="13" t="s">
        <v>137</v>
      </c>
      <c r="K268" s="14" t="s">
        <v>138</v>
      </c>
      <c r="L268" s="14" t="s">
        <v>139</v>
      </c>
      <c r="M268" s="14" t="s">
        <v>140</v>
      </c>
      <c r="N268" s="14" t="s">
        <v>141</v>
      </c>
      <c r="O268" s="13">
        <v>8</v>
      </c>
      <c r="P268" s="16">
        <v>12000</v>
      </c>
      <c r="Q268" s="13">
        <v>20</v>
      </c>
      <c r="R268" s="13">
        <v>18</v>
      </c>
      <c r="S268" s="16">
        <v>90624</v>
      </c>
      <c r="T268" s="14" t="s">
        <v>153</v>
      </c>
      <c r="U268" s="15" t="s">
        <v>174</v>
      </c>
      <c r="V268" s="218" t="s">
        <v>190</v>
      </c>
    </row>
    <row r="269" spans="1:22" ht="15.75" customHeight="1">
      <c r="A269" s="216" t="s">
        <v>1381</v>
      </c>
      <c r="B269" s="18" t="s">
        <v>1382</v>
      </c>
      <c r="C269" s="18" t="s">
        <v>461</v>
      </c>
      <c r="D269" s="17" t="s">
        <v>1383</v>
      </c>
      <c r="E269" s="18" t="s">
        <v>656</v>
      </c>
      <c r="F269" s="18" t="s">
        <v>1384</v>
      </c>
      <c r="G269" s="18" t="s">
        <v>95</v>
      </c>
      <c r="H269" s="17" t="s">
        <v>96</v>
      </c>
      <c r="I269" s="17" t="s">
        <v>63</v>
      </c>
      <c r="J269" s="17" t="s">
        <v>376</v>
      </c>
      <c r="K269" s="18" t="s">
        <v>377</v>
      </c>
      <c r="L269" s="18" t="s">
        <v>112</v>
      </c>
      <c r="M269" s="18" t="s">
        <v>113</v>
      </c>
      <c r="N269" s="18" t="s">
        <v>378</v>
      </c>
      <c r="O269" s="17">
        <v>3</v>
      </c>
      <c r="P269" s="19">
        <v>8500</v>
      </c>
      <c r="Q269" s="17">
        <v>20</v>
      </c>
      <c r="R269" s="17">
        <v>18</v>
      </c>
      <c r="S269" s="19">
        <v>24072</v>
      </c>
      <c r="T269" s="18" t="s">
        <v>127</v>
      </c>
      <c r="U269" s="15" t="s">
        <v>87</v>
      </c>
      <c r="V269" s="218" t="s">
        <v>201</v>
      </c>
    </row>
    <row r="270" spans="1:22" ht="15.75" customHeight="1">
      <c r="A270" s="215" t="s">
        <v>1341</v>
      </c>
      <c r="B270" s="14" t="s">
        <v>1342</v>
      </c>
      <c r="C270" s="14" t="s">
        <v>264</v>
      </c>
      <c r="D270" s="13" t="s">
        <v>1343</v>
      </c>
      <c r="E270" s="14" t="s">
        <v>266</v>
      </c>
      <c r="F270" s="14" t="s">
        <v>1344</v>
      </c>
      <c r="G270" s="14" t="s">
        <v>151</v>
      </c>
      <c r="H270" s="13" t="s">
        <v>152</v>
      </c>
      <c r="I270" s="20" t="s">
        <v>834</v>
      </c>
      <c r="J270" s="13" t="s">
        <v>420</v>
      </c>
      <c r="K270" s="14" t="s">
        <v>421</v>
      </c>
      <c r="L270" s="14" t="s">
        <v>112</v>
      </c>
      <c r="M270" s="14" t="s">
        <v>422</v>
      </c>
      <c r="N270" s="14" t="s">
        <v>423</v>
      </c>
      <c r="O270" s="13">
        <v>6</v>
      </c>
      <c r="P270" s="16">
        <v>4800</v>
      </c>
      <c r="Q270" s="13">
        <v>20</v>
      </c>
      <c r="R270" s="13">
        <v>18</v>
      </c>
      <c r="S270" s="16">
        <v>27187</v>
      </c>
      <c r="T270" s="14" t="s">
        <v>86</v>
      </c>
      <c r="U270" s="14" t="s">
        <v>211</v>
      </c>
      <c r="V270" s="218" t="s">
        <v>201</v>
      </c>
    </row>
    <row r="271" spans="1:22" ht="15.75" customHeight="1">
      <c r="A271" s="216" t="s">
        <v>1385</v>
      </c>
      <c r="B271" s="18" t="s">
        <v>1386</v>
      </c>
      <c r="C271" s="18" t="s">
        <v>264</v>
      </c>
      <c r="D271" s="17" t="s">
        <v>1387</v>
      </c>
      <c r="E271" s="18" t="s">
        <v>1388</v>
      </c>
      <c r="F271" s="18" t="s">
        <v>1389</v>
      </c>
      <c r="G271" s="18" t="s">
        <v>439</v>
      </c>
      <c r="H271" s="17" t="s">
        <v>364</v>
      </c>
      <c r="I271" s="17" t="s">
        <v>63</v>
      </c>
      <c r="J271" s="17" t="s">
        <v>477</v>
      </c>
      <c r="K271" s="18" t="s">
        <v>478</v>
      </c>
      <c r="L271" s="18" t="s">
        <v>139</v>
      </c>
      <c r="M271" s="18" t="s">
        <v>349</v>
      </c>
      <c r="N271" s="18" t="s">
        <v>479</v>
      </c>
      <c r="O271" s="17">
        <v>1</v>
      </c>
      <c r="P271" s="19">
        <v>2200</v>
      </c>
      <c r="Q271" s="17">
        <v>8</v>
      </c>
      <c r="R271" s="17">
        <v>12</v>
      </c>
      <c r="S271" s="19">
        <v>2267</v>
      </c>
      <c r="T271" s="18" t="s">
        <v>326</v>
      </c>
      <c r="U271" s="15" t="s">
        <v>87</v>
      </c>
      <c r="V271" s="219" t="s">
        <v>212</v>
      </c>
    </row>
    <row r="272" spans="1:22" ht="15.75" customHeight="1">
      <c r="A272" s="215" t="s">
        <v>1271</v>
      </c>
      <c r="B272" s="14" t="s">
        <v>167</v>
      </c>
      <c r="C272" s="14" t="s">
        <v>131</v>
      </c>
      <c r="D272" s="13" t="s">
        <v>1272</v>
      </c>
      <c r="E272" s="14" t="s">
        <v>437</v>
      </c>
      <c r="F272" s="14" t="s">
        <v>1273</v>
      </c>
      <c r="G272" s="14" t="s">
        <v>248</v>
      </c>
      <c r="H272" s="13" t="s">
        <v>249</v>
      </c>
      <c r="I272" s="13" t="s">
        <v>123</v>
      </c>
      <c r="J272" s="13" t="s">
        <v>110</v>
      </c>
      <c r="K272" s="14" t="s">
        <v>111</v>
      </c>
      <c r="L272" s="15" t="s">
        <v>1274</v>
      </c>
      <c r="M272" s="14" t="s">
        <v>113</v>
      </c>
      <c r="N272" s="14" t="s">
        <v>114</v>
      </c>
      <c r="O272" s="20" t="s">
        <v>440</v>
      </c>
      <c r="P272" s="16">
        <v>3500</v>
      </c>
      <c r="Q272" s="13">
        <v>25</v>
      </c>
      <c r="R272" s="13">
        <v>18</v>
      </c>
      <c r="S272" s="16">
        <v>3098</v>
      </c>
      <c r="T272" s="14" t="s">
        <v>86</v>
      </c>
      <c r="U272" s="15" t="s">
        <v>154</v>
      </c>
      <c r="V272" s="218" t="s">
        <v>201</v>
      </c>
    </row>
    <row r="273" spans="1:22" ht="15.75" customHeight="1">
      <c r="A273" s="216" t="s">
        <v>1390</v>
      </c>
      <c r="B273" s="18" t="s">
        <v>1391</v>
      </c>
      <c r="C273" s="18" t="s">
        <v>1249</v>
      </c>
      <c r="D273" s="17" t="s">
        <v>1392</v>
      </c>
      <c r="E273" s="18" t="s">
        <v>1251</v>
      </c>
      <c r="F273" s="18" t="s">
        <v>1393</v>
      </c>
      <c r="G273" s="15" t="s">
        <v>363</v>
      </c>
      <c r="H273" s="17" t="s">
        <v>364</v>
      </c>
      <c r="I273" s="17" t="s">
        <v>63</v>
      </c>
      <c r="J273" s="17" t="s">
        <v>137</v>
      </c>
      <c r="K273" s="18" t="s">
        <v>138</v>
      </c>
      <c r="L273" s="18" t="s">
        <v>139</v>
      </c>
      <c r="M273" s="18" t="s">
        <v>140</v>
      </c>
      <c r="N273" s="18" t="s">
        <v>141</v>
      </c>
      <c r="O273" s="17">
        <v>2</v>
      </c>
      <c r="P273" s="19">
        <v>12000</v>
      </c>
      <c r="Q273" s="17">
        <v>0</v>
      </c>
      <c r="R273" s="17">
        <v>18</v>
      </c>
      <c r="S273" s="19">
        <v>28320</v>
      </c>
      <c r="T273" s="18" t="s">
        <v>115</v>
      </c>
      <c r="U273" s="15" t="s">
        <v>174</v>
      </c>
      <c r="V273" s="218" t="s">
        <v>250</v>
      </c>
    </row>
    <row r="274" spans="1:22" ht="15.75" customHeight="1">
      <c r="A274" s="215" t="s">
        <v>1394</v>
      </c>
      <c r="B274" s="14" t="s">
        <v>1395</v>
      </c>
      <c r="C274" s="15" t="s">
        <v>447</v>
      </c>
      <c r="D274" s="13" t="s">
        <v>1396</v>
      </c>
      <c r="E274" s="14" t="s">
        <v>838</v>
      </c>
      <c r="F274" s="14" t="s">
        <v>1397</v>
      </c>
      <c r="G274" s="15" t="s">
        <v>363</v>
      </c>
      <c r="H274" s="13" t="s">
        <v>364</v>
      </c>
      <c r="I274" s="13" t="s">
        <v>63</v>
      </c>
      <c r="J274" s="13" t="s">
        <v>595</v>
      </c>
      <c r="K274" s="14" t="s">
        <v>596</v>
      </c>
      <c r="L274" s="14" t="s">
        <v>112</v>
      </c>
      <c r="M274" s="14" t="s">
        <v>240</v>
      </c>
      <c r="N274" s="14" t="s">
        <v>597</v>
      </c>
      <c r="O274" s="13">
        <v>10</v>
      </c>
      <c r="P274" s="16">
        <v>1200</v>
      </c>
      <c r="Q274" s="13">
        <v>15</v>
      </c>
      <c r="R274" s="13">
        <v>5</v>
      </c>
      <c r="S274" s="16">
        <v>10710</v>
      </c>
      <c r="T274" s="14" t="s">
        <v>86</v>
      </c>
      <c r="U274" s="15" t="s">
        <v>383</v>
      </c>
      <c r="V274" s="217" t="s">
        <v>155</v>
      </c>
    </row>
    <row r="275" spans="1:22" ht="15.75" customHeight="1">
      <c r="A275" s="216" t="s">
        <v>1271</v>
      </c>
      <c r="B275" s="18" t="s">
        <v>167</v>
      </c>
      <c r="C275" s="18" t="s">
        <v>131</v>
      </c>
      <c r="D275" s="17" t="s">
        <v>1272</v>
      </c>
      <c r="E275" s="18" t="s">
        <v>437</v>
      </c>
      <c r="F275" s="18" t="s">
        <v>1273</v>
      </c>
      <c r="G275" s="18" t="s">
        <v>248</v>
      </c>
      <c r="H275" s="17" t="s">
        <v>249</v>
      </c>
      <c r="I275" s="17" t="s">
        <v>123</v>
      </c>
      <c r="J275" s="17" t="s">
        <v>110</v>
      </c>
      <c r="K275" s="18" t="s">
        <v>111</v>
      </c>
      <c r="L275" s="15" t="s">
        <v>1274</v>
      </c>
      <c r="M275" s="18" t="s">
        <v>113</v>
      </c>
      <c r="N275" s="18" t="s">
        <v>114</v>
      </c>
      <c r="O275" s="20" t="s">
        <v>440</v>
      </c>
      <c r="P275" s="19">
        <v>3500</v>
      </c>
      <c r="Q275" s="17">
        <v>25</v>
      </c>
      <c r="R275" s="17">
        <v>18</v>
      </c>
      <c r="S275" s="19">
        <v>3098</v>
      </c>
      <c r="T275" s="18" t="s">
        <v>86</v>
      </c>
      <c r="U275" s="15" t="s">
        <v>154</v>
      </c>
      <c r="V275" s="218" t="s">
        <v>201</v>
      </c>
    </row>
    <row r="276" spans="1:22" ht="15.75" customHeight="1">
      <c r="A276" s="215" t="s">
        <v>1398</v>
      </c>
      <c r="B276" s="14" t="s">
        <v>1399</v>
      </c>
      <c r="C276" s="15" t="s">
        <v>842</v>
      </c>
      <c r="D276" s="13" t="s">
        <v>1400</v>
      </c>
      <c r="E276" s="14" t="s">
        <v>1093</v>
      </c>
      <c r="F276" s="14" t="s">
        <v>1401</v>
      </c>
      <c r="G276" s="14" t="s">
        <v>744</v>
      </c>
      <c r="H276" s="13" t="s">
        <v>79</v>
      </c>
      <c r="I276" s="13" t="s">
        <v>80</v>
      </c>
      <c r="J276" s="13" t="s">
        <v>295</v>
      </c>
      <c r="K276" s="14" t="s">
        <v>296</v>
      </c>
      <c r="L276" s="14" t="s">
        <v>66</v>
      </c>
      <c r="M276" s="14" t="s">
        <v>297</v>
      </c>
      <c r="N276" s="14" t="s">
        <v>298</v>
      </c>
      <c r="O276" s="20" t="s">
        <v>440</v>
      </c>
      <c r="P276" s="16">
        <v>280</v>
      </c>
      <c r="Q276" s="13">
        <v>20</v>
      </c>
      <c r="R276" s="13">
        <v>5</v>
      </c>
      <c r="S276" s="16">
        <v>235</v>
      </c>
      <c r="T276" s="14" t="s">
        <v>142</v>
      </c>
      <c r="U276" s="15" t="s">
        <v>87</v>
      </c>
      <c r="V276" s="217" t="s">
        <v>155</v>
      </c>
    </row>
    <row r="277" spans="1:22" ht="15.75" customHeight="1">
      <c r="A277" s="216" t="s">
        <v>1402</v>
      </c>
      <c r="B277" s="18" t="s">
        <v>284</v>
      </c>
      <c r="C277" s="15" t="s">
        <v>747</v>
      </c>
      <c r="D277" s="17" t="s">
        <v>1403</v>
      </c>
      <c r="E277" s="18" t="s">
        <v>1191</v>
      </c>
      <c r="F277" s="18" t="s">
        <v>1404</v>
      </c>
      <c r="G277" s="18" t="s">
        <v>248</v>
      </c>
      <c r="H277" s="17" t="s">
        <v>249</v>
      </c>
      <c r="I277" s="17" t="s">
        <v>123</v>
      </c>
      <c r="J277" s="17" t="s">
        <v>81</v>
      </c>
      <c r="K277" s="18" t="s">
        <v>82</v>
      </c>
      <c r="L277" s="18" t="s">
        <v>83</v>
      </c>
      <c r="M277" s="18" t="s">
        <v>84</v>
      </c>
      <c r="N277" s="18" t="s">
        <v>85</v>
      </c>
      <c r="O277" s="17">
        <v>4</v>
      </c>
      <c r="P277" s="19">
        <v>25000</v>
      </c>
      <c r="Q277" s="17">
        <v>10</v>
      </c>
      <c r="R277" s="17">
        <v>3</v>
      </c>
      <c r="S277" s="19">
        <v>92700</v>
      </c>
      <c r="T277" s="18" t="s">
        <v>69</v>
      </c>
      <c r="U277" s="18" t="s">
        <v>70</v>
      </c>
      <c r="V277" s="219" t="s">
        <v>212</v>
      </c>
    </row>
    <row r="278" spans="1:22" ht="15.75" customHeight="1">
      <c r="A278" s="215" t="s">
        <v>1405</v>
      </c>
      <c r="B278" s="14" t="s">
        <v>1406</v>
      </c>
      <c r="C278" s="15" t="s">
        <v>147</v>
      </c>
      <c r="D278" s="13" t="s">
        <v>1407</v>
      </c>
      <c r="E278" s="14" t="s">
        <v>757</v>
      </c>
      <c r="F278" s="14" t="s">
        <v>1408</v>
      </c>
      <c r="G278" s="14" t="s">
        <v>151</v>
      </c>
      <c r="H278" s="13" t="s">
        <v>152</v>
      </c>
      <c r="I278" s="13" t="s">
        <v>80</v>
      </c>
      <c r="J278" s="13" t="s">
        <v>491</v>
      </c>
      <c r="K278" s="14" t="s">
        <v>492</v>
      </c>
      <c r="L278" s="14" t="s">
        <v>112</v>
      </c>
      <c r="M278" s="14" t="s">
        <v>493</v>
      </c>
      <c r="N278" s="14" t="s">
        <v>494</v>
      </c>
      <c r="O278" s="13">
        <v>9</v>
      </c>
      <c r="P278" s="16">
        <v>4500</v>
      </c>
      <c r="Q278" s="13">
        <v>8</v>
      </c>
      <c r="R278" s="13">
        <v>5</v>
      </c>
      <c r="S278" s="16">
        <v>39123</v>
      </c>
      <c r="T278" s="14" t="s">
        <v>115</v>
      </c>
      <c r="U278" s="15" t="s">
        <v>87</v>
      </c>
      <c r="V278" s="217" t="s">
        <v>71</v>
      </c>
    </row>
    <row r="279" spans="1:22" ht="15.75" customHeight="1">
      <c r="A279" s="216" t="s">
        <v>1409</v>
      </c>
      <c r="B279" s="18" t="s">
        <v>711</v>
      </c>
      <c r="C279" s="15" t="s">
        <v>147</v>
      </c>
      <c r="D279" s="17" t="s">
        <v>1410</v>
      </c>
      <c r="E279" s="18" t="s">
        <v>651</v>
      </c>
      <c r="F279" s="15"/>
      <c r="G279" s="15" t="s">
        <v>274</v>
      </c>
      <c r="H279" s="17" t="s">
        <v>96</v>
      </c>
      <c r="I279" s="17" t="s">
        <v>63</v>
      </c>
      <c r="J279" s="17" t="s">
        <v>219</v>
      </c>
      <c r="K279" s="18" t="s">
        <v>220</v>
      </c>
      <c r="L279" s="18" t="s">
        <v>99</v>
      </c>
      <c r="M279" s="18" t="s">
        <v>100</v>
      </c>
      <c r="N279" s="18" t="s">
        <v>221</v>
      </c>
      <c r="O279" s="17">
        <v>5</v>
      </c>
      <c r="P279" s="19">
        <v>89000</v>
      </c>
      <c r="Q279" s="17">
        <v>10</v>
      </c>
      <c r="R279" s="17">
        <v>18</v>
      </c>
      <c r="S279" s="19">
        <v>472590</v>
      </c>
      <c r="T279" s="18" t="s">
        <v>115</v>
      </c>
      <c r="U279" s="18" t="s">
        <v>288</v>
      </c>
      <c r="V279" s="218" t="s">
        <v>88</v>
      </c>
    </row>
    <row r="280" spans="1:22" ht="15.75" customHeight="1">
      <c r="A280" s="215" t="s">
        <v>1411</v>
      </c>
      <c r="B280" s="14" t="s">
        <v>1412</v>
      </c>
      <c r="C280" s="15" t="s">
        <v>317</v>
      </c>
      <c r="D280" s="13" t="s">
        <v>1413</v>
      </c>
      <c r="E280" s="14" t="s">
        <v>319</v>
      </c>
      <c r="F280" s="14" t="s">
        <v>1414</v>
      </c>
      <c r="G280" s="14" t="s">
        <v>341</v>
      </c>
      <c r="H280" s="13" t="s">
        <v>62</v>
      </c>
      <c r="I280" s="13" t="s">
        <v>63</v>
      </c>
      <c r="J280" s="13" t="s">
        <v>347</v>
      </c>
      <c r="K280" s="14" t="s">
        <v>348</v>
      </c>
      <c r="L280" s="14" t="s">
        <v>139</v>
      </c>
      <c r="M280" s="14" t="s">
        <v>349</v>
      </c>
      <c r="N280" s="14" t="s">
        <v>350</v>
      </c>
      <c r="O280" s="13">
        <v>1</v>
      </c>
      <c r="P280" s="16">
        <v>3200</v>
      </c>
      <c r="Q280" s="13">
        <v>0</v>
      </c>
      <c r="R280" s="13">
        <v>18</v>
      </c>
      <c r="S280" s="16">
        <v>6757</v>
      </c>
      <c r="T280" s="14" t="s">
        <v>153</v>
      </c>
      <c r="U280" s="15" t="s">
        <v>383</v>
      </c>
      <c r="V280" s="218" t="s">
        <v>201</v>
      </c>
    </row>
    <row r="281" spans="1:22" ht="15.75" customHeight="1">
      <c r="A281" s="216" t="s">
        <v>1415</v>
      </c>
      <c r="B281" s="18" t="s">
        <v>1359</v>
      </c>
      <c r="C281" s="18" t="s">
        <v>168</v>
      </c>
      <c r="D281" s="17" t="s">
        <v>1416</v>
      </c>
      <c r="E281" s="18" t="s">
        <v>688</v>
      </c>
      <c r="F281" s="18" t="s">
        <v>1417</v>
      </c>
      <c r="G281" s="18" t="s">
        <v>744</v>
      </c>
      <c r="H281" s="17" t="s">
        <v>79</v>
      </c>
      <c r="I281" s="17" t="s">
        <v>80</v>
      </c>
      <c r="J281" s="17" t="s">
        <v>162</v>
      </c>
      <c r="K281" s="18" t="s">
        <v>163</v>
      </c>
      <c r="L281" s="18" t="s">
        <v>99</v>
      </c>
      <c r="M281" s="18" t="s">
        <v>164</v>
      </c>
      <c r="N281" s="18" t="s">
        <v>165</v>
      </c>
      <c r="O281" s="17">
        <v>9</v>
      </c>
      <c r="P281" s="19">
        <v>2800</v>
      </c>
      <c r="Q281" s="17">
        <v>15</v>
      </c>
      <c r="R281" s="17">
        <v>18</v>
      </c>
      <c r="S281" s="19">
        <v>25276</v>
      </c>
      <c r="T281" s="18" t="s">
        <v>413</v>
      </c>
      <c r="U281" s="15" t="s">
        <v>261</v>
      </c>
      <c r="V281" s="218" t="s">
        <v>88</v>
      </c>
    </row>
    <row r="282" spans="1:22" ht="15.75" customHeight="1">
      <c r="A282" s="215" t="s">
        <v>1418</v>
      </c>
      <c r="B282" s="14" t="s">
        <v>1419</v>
      </c>
      <c r="C282" s="15" t="s">
        <v>842</v>
      </c>
      <c r="D282" s="13" t="s">
        <v>1420</v>
      </c>
      <c r="E282" s="14" t="s">
        <v>1093</v>
      </c>
      <c r="F282" s="14" t="s">
        <v>1421</v>
      </c>
      <c r="G282" s="15" t="s">
        <v>407</v>
      </c>
      <c r="H282" s="13" t="s">
        <v>152</v>
      </c>
      <c r="I282" s="13" t="s">
        <v>80</v>
      </c>
      <c r="J282" s="13" t="s">
        <v>257</v>
      </c>
      <c r="K282" s="14" t="s">
        <v>258</v>
      </c>
      <c r="L282" s="14" t="s">
        <v>139</v>
      </c>
      <c r="M282" s="14" t="s">
        <v>259</v>
      </c>
      <c r="N282" s="14" t="s">
        <v>260</v>
      </c>
      <c r="O282" s="13">
        <v>5</v>
      </c>
      <c r="P282" s="16">
        <v>299</v>
      </c>
      <c r="Q282" s="13">
        <v>139</v>
      </c>
      <c r="R282" s="13">
        <v>18</v>
      </c>
      <c r="S282" s="20"/>
      <c r="T282" s="14" t="s">
        <v>465</v>
      </c>
      <c r="U282" s="15" t="s">
        <v>154</v>
      </c>
      <c r="V282" s="218" t="s">
        <v>88</v>
      </c>
    </row>
    <row r="283" spans="1:22" ht="15.75" customHeight="1">
      <c r="A283" s="216" t="s">
        <v>1422</v>
      </c>
      <c r="B283" s="18" t="s">
        <v>1423</v>
      </c>
      <c r="C283" s="18" t="s">
        <v>372</v>
      </c>
      <c r="D283" s="17" t="s">
        <v>1424</v>
      </c>
      <c r="E283" s="18" t="s">
        <v>374</v>
      </c>
      <c r="F283" s="18" t="s">
        <v>1425</v>
      </c>
      <c r="G283" s="18" t="s">
        <v>341</v>
      </c>
      <c r="H283" s="17" t="s">
        <v>62</v>
      </c>
      <c r="I283" s="17" t="s">
        <v>63</v>
      </c>
      <c r="J283" s="17" t="s">
        <v>376</v>
      </c>
      <c r="K283" s="18" t="s">
        <v>377</v>
      </c>
      <c r="L283" s="18" t="s">
        <v>112</v>
      </c>
      <c r="M283" s="18" t="s">
        <v>113</v>
      </c>
      <c r="N283" s="18" t="s">
        <v>378</v>
      </c>
      <c r="O283" s="17">
        <v>4</v>
      </c>
      <c r="P283" s="19">
        <v>8500</v>
      </c>
      <c r="Q283" s="17">
        <v>15</v>
      </c>
      <c r="R283" s="17">
        <v>18</v>
      </c>
      <c r="S283" s="19">
        <v>34102</v>
      </c>
      <c r="T283" s="18" t="s">
        <v>465</v>
      </c>
      <c r="U283" s="18" t="s">
        <v>288</v>
      </c>
      <c r="V283" s="219" t="s">
        <v>212</v>
      </c>
    </row>
    <row r="284" spans="1:22" ht="15.75" customHeight="1">
      <c r="A284" s="215" t="s">
        <v>1426</v>
      </c>
      <c r="B284" s="14" t="s">
        <v>1427</v>
      </c>
      <c r="C284" s="15" t="s">
        <v>253</v>
      </c>
      <c r="D284" s="13" t="s">
        <v>1428</v>
      </c>
      <c r="E284" s="14" t="s">
        <v>832</v>
      </c>
      <c r="F284" s="14" t="s">
        <v>1429</v>
      </c>
      <c r="G284" s="14" t="s">
        <v>485</v>
      </c>
      <c r="H284" s="13" t="s">
        <v>305</v>
      </c>
      <c r="I284" s="13" t="s">
        <v>306</v>
      </c>
      <c r="J284" s="13" t="s">
        <v>312</v>
      </c>
      <c r="K284" s="14" t="s">
        <v>313</v>
      </c>
      <c r="L284" s="14" t="s">
        <v>66</v>
      </c>
      <c r="M284" s="14" t="s">
        <v>199</v>
      </c>
      <c r="N284" s="14" t="s">
        <v>314</v>
      </c>
      <c r="O284" s="13">
        <v>6</v>
      </c>
      <c r="P284" s="16">
        <v>40</v>
      </c>
      <c r="Q284" s="13">
        <v>25</v>
      </c>
      <c r="R284" s="13">
        <v>5</v>
      </c>
      <c r="S284" s="16">
        <v>189</v>
      </c>
      <c r="T284" s="14" t="s">
        <v>102</v>
      </c>
      <c r="U284" s="14" t="s">
        <v>288</v>
      </c>
      <c r="V284" s="218" t="s">
        <v>190</v>
      </c>
    </row>
    <row r="285" spans="1:22" ht="15.75" customHeight="1">
      <c r="A285" s="216" t="s">
        <v>1430</v>
      </c>
      <c r="B285" s="18" t="s">
        <v>1431</v>
      </c>
      <c r="C285" s="18" t="s">
        <v>168</v>
      </c>
      <c r="D285" s="17" t="s">
        <v>1432</v>
      </c>
      <c r="E285" s="18" t="s">
        <v>1018</v>
      </c>
      <c r="F285" s="18" t="s">
        <v>1433</v>
      </c>
      <c r="G285" s="15" t="s">
        <v>304</v>
      </c>
      <c r="H285" s="17" t="s">
        <v>305</v>
      </c>
      <c r="I285" s="17" t="s">
        <v>306</v>
      </c>
      <c r="J285" s="17" t="s">
        <v>897</v>
      </c>
      <c r="K285" s="18" t="s">
        <v>898</v>
      </c>
      <c r="L285" s="18" t="s">
        <v>139</v>
      </c>
      <c r="M285" s="18" t="s">
        <v>140</v>
      </c>
      <c r="N285" s="18" t="s">
        <v>899</v>
      </c>
      <c r="O285" s="17">
        <v>10</v>
      </c>
      <c r="P285" s="19">
        <v>38000</v>
      </c>
      <c r="Q285" s="17">
        <v>8</v>
      </c>
      <c r="R285" s="17">
        <v>18</v>
      </c>
      <c r="S285" s="19">
        <v>412528</v>
      </c>
      <c r="T285" s="18" t="s">
        <v>326</v>
      </c>
      <c r="U285" s="18" t="s">
        <v>70</v>
      </c>
      <c r="V285" s="219" t="s">
        <v>155</v>
      </c>
    </row>
    <row r="286" spans="1:22" ht="15.75" customHeight="1">
      <c r="A286" s="215" t="s">
        <v>1434</v>
      </c>
      <c r="B286" s="14" t="s">
        <v>1435</v>
      </c>
      <c r="C286" s="15" t="s">
        <v>842</v>
      </c>
      <c r="D286" s="13" t="s">
        <v>1436</v>
      </c>
      <c r="E286" s="14" t="s">
        <v>943</v>
      </c>
      <c r="F286" s="14" t="s">
        <v>1437</v>
      </c>
      <c r="G286" s="14" t="s">
        <v>333</v>
      </c>
      <c r="H286" s="13" t="s">
        <v>334</v>
      </c>
      <c r="I286" s="13" t="s">
        <v>63</v>
      </c>
      <c r="J286" s="13" t="s">
        <v>124</v>
      </c>
      <c r="K286" s="14" t="s">
        <v>125</v>
      </c>
      <c r="L286" s="14" t="s">
        <v>99</v>
      </c>
      <c r="M286" s="14" t="s">
        <v>100</v>
      </c>
      <c r="N286" s="14" t="s">
        <v>126</v>
      </c>
      <c r="O286" s="20">
        <v>-5</v>
      </c>
      <c r="P286" s="16">
        <v>14000</v>
      </c>
      <c r="Q286" s="13">
        <v>25</v>
      </c>
      <c r="R286" s="13">
        <v>18</v>
      </c>
      <c r="S286" s="21">
        <v>-61950</v>
      </c>
      <c r="T286" s="14" t="s">
        <v>127</v>
      </c>
      <c r="U286" s="14" t="s">
        <v>288</v>
      </c>
      <c r="V286" s="217" t="s">
        <v>71</v>
      </c>
    </row>
    <row r="287" spans="1:22" ht="15.75" customHeight="1">
      <c r="A287" s="216" t="s">
        <v>1438</v>
      </c>
      <c r="B287" s="18" t="s">
        <v>186</v>
      </c>
      <c r="C287" s="18" t="s">
        <v>291</v>
      </c>
      <c r="D287" s="17" t="s">
        <v>1439</v>
      </c>
      <c r="E287" s="18" t="s">
        <v>664</v>
      </c>
      <c r="F287" s="18" t="s">
        <v>1440</v>
      </c>
      <c r="G287" s="18" t="s">
        <v>172</v>
      </c>
      <c r="H287" s="17" t="s">
        <v>96</v>
      </c>
      <c r="I287" s="17" t="s">
        <v>63</v>
      </c>
      <c r="J287" s="17" t="s">
        <v>389</v>
      </c>
      <c r="K287" s="18" t="s">
        <v>390</v>
      </c>
      <c r="L287" s="15" t="s">
        <v>1441</v>
      </c>
      <c r="M287" s="18" t="s">
        <v>164</v>
      </c>
      <c r="N287" s="18" t="s">
        <v>391</v>
      </c>
      <c r="O287" s="17">
        <v>10</v>
      </c>
      <c r="P287" s="20"/>
      <c r="Q287" s="17">
        <v>15</v>
      </c>
      <c r="R287" s="17">
        <v>18</v>
      </c>
      <c r="S287" s="19">
        <v>0</v>
      </c>
      <c r="T287" s="18" t="s">
        <v>69</v>
      </c>
      <c r="U287" s="15" t="s">
        <v>261</v>
      </c>
      <c r="V287" s="218" t="s">
        <v>201</v>
      </c>
    </row>
    <row r="288" spans="1:22" ht="15.75" customHeight="1">
      <c r="A288" s="215" t="s">
        <v>1402</v>
      </c>
      <c r="B288" s="14" t="s">
        <v>284</v>
      </c>
      <c r="C288" s="15" t="s">
        <v>747</v>
      </c>
      <c r="D288" s="13" t="s">
        <v>1403</v>
      </c>
      <c r="E288" s="14" t="s">
        <v>1191</v>
      </c>
      <c r="F288" s="14" t="s">
        <v>1404</v>
      </c>
      <c r="G288" s="14" t="s">
        <v>248</v>
      </c>
      <c r="H288" s="13" t="s">
        <v>249</v>
      </c>
      <c r="I288" s="13" t="s">
        <v>123</v>
      </c>
      <c r="J288" s="13" t="s">
        <v>81</v>
      </c>
      <c r="K288" s="14" t="s">
        <v>82</v>
      </c>
      <c r="L288" s="14" t="s">
        <v>83</v>
      </c>
      <c r="M288" s="14" t="s">
        <v>84</v>
      </c>
      <c r="N288" s="14" t="s">
        <v>85</v>
      </c>
      <c r="O288" s="13">
        <v>4</v>
      </c>
      <c r="P288" s="16">
        <v>25000</v>
      </c>
      <c r="Q288" s="13">
        <v>10</v>
      </c>
      <c r="R288" s="13">
        <v>3</v>
      </c>
      <c r="S288" s="16">
        <v>92700</v>
      </c>
      <c r="T288" s="14" t="s">
        <v>69</v>
      </c>
      <c r="U288" s="14" t="s">
        <v>70</v>
      </c>
      <c r="V288" s="217" t="s">
        <v>212</v>
      </c>
    </row>
    <row r="289" spans="1:22" ht="15.75" customHeight="1">
      <c r="A289" s="216" t="s">
        <v>1442</v>
      </c>
      <c r="B289" s="18" t="s">
        <v>1443</v>
      </c>
      <c r="C289" s="15"/>
      <c r="D289" s="17" t="s">
        <v>1444</v>
      </c>
      <c r="E289" s="18" t="s">
        <v>345</v>
      </c>
      <c r="F289" s="18" t="s">
        <v>1445</v>
      </c>
      <c r="G289" s="15" t="s">
        <v>304</v>
      </c>
      <c r="H289" s="17" t="s">
        <v>305</v>
      </c>
      <c r="I289" s="17" t="s">
        <v>306</v>
      </c>
      <c r="J289" s="17" t="s">
        <v>124</v>
      </c>
      <c r="K289" s="18" t="s">
        <v>125</v>
      </c>
      <c r="L289" s="18" t="s">
        <v>99</v>
      </c>
      <c r="M289" s="18" t="s">
        <v>100</v>
      </c>
      <c r="N289" s="18" t="s">
        <v>126</v>
      </c>
      <c r="O289" s="17">
        <v>7</v>
      </c>
      <c r="P289" s="19">
        <v>14000</v>
      </c>
      <c r="Q289" s="17">
        <v>0</v>
      </c>
      <c r="R289" s="17">
        <v>18</v>
      </c>
      <c r="S289" s="19">
        <v>115640</v>
      </c>
      <c r="T289" s="18" t="s">
        <v>86</v>
      </c>
      <c r="U289" s="15" t="s">
        <v>174</v>
      </c>
      <c r="V289" s="218" t="s">
        <v>128</v>
      </c>
    </row>
    <row r="290" spans="1:22" ht="15.75" customHeight="1">
      <c r="A290" s="215" t="s">
        <v>1446</v>
      </c>
      <c r="B290" s="14" t="s">
        <v>457</v>
      </c>
      <c r="C290" s="14" t="s">
        <v>168</v>
      </c>
      <c r="D290" s="13" t="s">
        <v>1447</v>
      </c>
      <c r="E290" s="14" t="s">
        <v>1448</v>
      </c>
      <c r="F290" s="14" t="s">
        <v>1449</v>
      </c>
      <c r="G290" s="15" t="s">
        <v>407</v>
      </c>
      <c r="H290" s="13" t="s">
        <v>152</v>
      </c>
      <c r="I290" s="13" t="s">
        <v>80</v>
      </c>
      <c r="J290" s="13" t="s">
        <v>207</v>
      </c>
      <c r="K290" s="14" t="s">
        <v>208</v>
      </c>
      <c r="L290" s="14" t="s">
        <v>99</v>
      </c>
      <c r="M290" s="14" t="s">
        <v>209</v>
      </c>
      <c r="N290" s="14" t="s">
        <v>210</v>
      </c>
      <c r="O290" s="13">
        <v>10</v>
      </c>
      <c r="P290" s="16">
        <v>55000</v>
      </c>
      <c r="Q290" s="13">
        <v>8</v>
      </c>
      <c r="R290" s="13">
        <v>18</v>
      </c>
      <c r="S290" s="16">
        <v>597080</v>
      </c>
      <c r="T290" s="14" t="s">
        <v>115</v>
      </c>
      <c r="U290" s="15" t="s">
        <v>103</v>
      </c>
      <c r="V290" s="217" t="s">
        <v>71</v>
      </c>
    </row>
    <row r="291" spans="1:22" ht="15.75" customHeight="1">
      <c r="A291" s="216" t="s">
        <v>1450</v>
      </c>
      <c r="B291" s="18" t="s">
        <v>1451</v>
      </c>
      <c r="C291" s="15" t="s">
        <v>177</v>
      </c>
      <c r="D291" s="17" t="s">
        <v>1452</v>
      </c>
      <c r="E291" s="18" t="s">
        <v>400</v>
      </c>
      <c r="F291" s="18" t="s">
        <v>1453</v>
      </c>
      <c r="G291" s="18" t="s">
        <v>172</v>
      </c>
      <c r="H291" s="17" t="s">
        <v>96</v>
      </c>
      <c r="I291" s="17" t="s">
        <v>63</v>
      </c>
      <c r="J291" s="17" t="s">
        <v>595</v>
      </c>
      <c r="K291" s="18" t="s">
        <v>596</v>
      </c>
      <c r="L291" s="18" t="s">
        <v>112</v>
      </c>
      <c r="M291" s="18" t="s">
        <v>240</v>
      </c>
      <c r="N291" s="18" t="s">
        <v>597</v>
      </c>
      <c r="O291" s="17">
        <v>8</v>
      </c>
      <c r="P291" s="19">
        <v>1200</v>
      </c>
      <c r="Q291" s="17">
        <v>10</v>
      </c>
      <c r="R291" s="17">
        <v>5</v>
      </c>
      <c r="S291" s="19">
        <v>9072</v>
      </c>
      <c r="T291" s="18" t="s">
        <v>183</v>
      </c>
      <c r="U291" s="18" t="s">
        <v>288</v>
      </c>
      <c r="V291" s="218" t="s">
        <v>88</v>
      </c>
    </row>
    <row r="292" spans="1:22" ht="15.75" customHeight="1">
      <c r="A292" s="215" t="s">
        <v>1454</v>
      </c>
      <c r="B292" s="14" t="s">
        <v>1455</v>
      </c>
      <c r="C292" s="15" t="s">
        <v>158</v>
      </c>
      <c r="D292" s="13" t="s">
        <v>1456</v>
      </c>
      <c r="E292" s="14" t="s">
        <v>1457</v>
      </c>
      <c r="F292" s="14" t="s">
        <v>1458</v>
      </c>
      <c r="G292" s="14" t="s">
        <v>95</v>
      </c>
      <c r="H292" s="13" t="s">
        <v>96</v>
      </c>
      <c r="I292" s="13" t="s">
        <v>63</v>
      </c>
      <c r="J292" s="13" t="s">
        <v>275</v>
      </c>
      <c r="K292" s="14" t="s">
        <v>276</v>
      </c>
      <c r="L292" s="14" t="s">
        <v>99</v>
      </c>
      <c r="M292" s="14" t="s">
        <v>277</v>
      </c>
      <c r="N292" s="14" t="s">
        <v>126</v>
      </c>
      <c r="O292" s="13">
        <v>2</v>
      </c>
      <c r="P292" s="16">
        <v>35000</v>
      </c>
      <c r="Q292" s="13">
        <v>25</v>
      </c>
      <c r="R292" s="13">
        <v>18</v>
      </c>
      <c r="S292" s="16">
        <v>61950</v>
      </c>
      <c r="T292" s="14" t="s">
        <v>465</v>
      </c>
      <c r="U292" s="15" t="s">
        <v>383</v>
      </c>
      <c r="V292" s="217" t="s">
        <v>155</v>
      </c>
    </row>
    <row r="293" spans="1:22" ht="15.75" customHeight="1">
      <c r="A293" s="216" t="s">
        <v>1459</v>
      </c>
      <c r="B293" s="18" t="s">
        <v>1460</v>
      </c>
      <c r="C293" s="18" t="s">
        <v>337</v>
      </c>
      <c r="D293" s="17" t="s">
        <v>1461</v>
      </c>
      <c r="E293" s="18" t="s">
        <v>574</v>
      </c>
      <c r="F293" s="18" t="s">
        <v>1462</v>
      </c>
      <c r="G293" s="18" t="s">
        <v>248</v>
      </c>
      <c r="H293" s="17" t="s">
        <v>249</v>
      </c>
      <c r="I293" s="17" t="s">
        <v>123</v>
      </c>
      <c r="J293" s="17" t="s">
        <v>162</v>
      </c>
      <c r="K293" s="18" t="s">
        <v>163</v>
      </c>
      <c r="L293" s="18" t="s">
        <v>99</v>
      </c>
      <c r="M293" s="18" t="s">
        <v>164</v>
      </c>
      <c r="N293" s="18" t="s">
        <v>165</v>
      </c>
      <c r="O293" s="17">
        <v>3</v>
      </c>
      <c r="P293" s="19">
        <v>2800</v>
      </c>
      <c r="Q293" s="17">
        <v>10</v>
      </c>
      <c r="R293" s="17">
        <v>18</v>
      </c>
      <c r="S293" s="19">
        <v>8921</v>
      </c>
      <c r="T293" s="18" t="s">
        <v>102</v>
      </c>
      <c r="U293" s="18" t="s">
        <v>184</v>
      </c>
      <c r="V293" s="219" t="s">
        <v>212</v>
      </c>
    </row>
    <row r="294" spans="1:22" ht="15.75" customHeight="1">
      <c r="A294" s="215" t="s">
        <v>1463</v>
      </c>
      <c r="B294" s="14" t="s">
        <v>1464</v>
      </c>
      <c r="C294" s="15" t="s">
        <v>253</v>
      </c>
      <c r="D294" s="13" t="s">
        <v>1465</v>
      </c>
      <c r="E294" s="14" t="s">
        <v>255</v>
      </c>
      <c r="F294" s="14" t="s">
        <v>1466</v>
      </c>
      <c r="G294" s="14" t="s">
        <v>135</v>
      </c>
      <c r="H294" s="13" t="s">
        <v>136</v>
      </c>
      <c r="I294" s="13" t="s">
        <v>63</v>
      </c>
      <c r="J294" s="13" t="s">
        <v>595</v>
      </c>
      <c r="K294" s="14" t="s">
        <v>596</v>
      </c>
      <c r="L294" s="14" t="s">
        <v>112</v>
      </c>
      <c r="M294" s="14" t="s">
        <v>240</v>
      </c>
      <c r="N294" s="14" t="s">
        <v>597</v>
      </c>
      <c r="O294" s="13">
        <v>2</v>
      </c>
      <c r="P294" s="16">
        <v>1200</v>
      </c>
      <c r="Q294" s="13">
        <v>20</v>
      </c>
      <c r="R294" s="13">
        <v>5</v>
      </c>
      <c r="S294" s="16">
        <v>2016</v>
      </c>
      <c r="T294" s="14" t="s">
        <v>102</v>
      </c>
      <c r="U294" s="14" t="s">
        <v>70</v>
      </c>
      <c r="V294" s="218" t="s">
        <v>128</v>
      </c>
    </row>
    <row r="295" spans="1:22" ht="15.75" customHeight="1">
      <c r="A295" s="216" t="s">
        <v>1467</v>
      </c>
      <c r="B295" s="18" t="s">
        <v>889</v>
      </c>
      <c r="C295" s="18" t="s">
        <v>131</v>
      </c>
      <c r="D295" s="17" t="s">
        <v>1468</v>
      </c>
      <c r="E295" s="18" t="s">
        <v>895</v>
      </c>
      <c r="F295" s="18" t="s">
        <v>1469</v>
      </c>
      <c r="G295" s="18" t="s">
        <v>439</v>
      </c>
      <c r="H295" s="17" t="s">
        <v>364</v>
      </c>
      <c r="I295" s="17" t="s">
        <v>63</v>
      </c>
      <c r="J295" s="17" t="s">
        <v>365</v>
      </c>
      <c r="K295" s="18" t="s">
        <v>366</v>
      </c>
      <c r="L295" s="18" t="s">
        <v>112</v>
      </c>
      <c r="M295" s="18" t="s">
        <v>367</v>
      </c>
      <c r="N295" s="18" t="s">
        <v>368</v>
      </c>
      <c r="O295" s="17">
        <v>2</v>
      </c>
      <c r="P295" s="19">
        <v>3500</v>
      </c>
      <c r="Q295" s="17">
        <v>25</v>
      </c>
      <c r="R295" s="17">
        <v>5</v>
      </c>
      <c r="S295" s="19">
        <v>5512</v>
      </c>
      <c r="T295" s="18" t="s">
        <v>127</v>
      </c>
      <c r="U295" s="15" t="s">
        <v>87</v>
      </c>
      <c r="V295" s="219" t="s">
        <v>212</v>
      </c>
    </row>
    <row r="296" spans="1:22" ht="15.75" customHeight="1">
      <c r="A296" s="215" t="s">
        <v>1470</v>
      </c>
      <c r="B296" s="14" t="s">
        <v>906</v>
      </c>
      <c r="C296" s="15" t="s">
        <v>215</v>
      </c>
      <c r="D296" s="13" t="s">
        <v>1471</v>
      </c>
      <c r="E296" s="14" t="s">
        <v>418</v>
      </c>
      <c r="F296" s="15"/>
      <c r="G296" s="14" t="s">
        <v>122</v>
      </c>
      <c r="H296" s="13" t="s">
        <v>122</v>
      </c>
      <c r="I296" s="13" t="s">
        <v>123</v>
      </c>
      <c r="J296" s="13" t="s">
        <v>257</v>
      </c>
      <c r="K296" s="14" t="s">
        <v>258</v>
      </c>
      <c r="L296" s="14" t="s">
        <v>139</v>
      </c>
      <c r="M296" s="14" t="s">
        <v>259</v>
      </c>
      <c r="N296" s="14" t="s">
        <v>260</v>
      </c>
      <c r="O296" s="13">
        <v>10</v>
      </c>
      <c r="P296" s="16">
        <v>299</v>
      </c>
      <c r="Q296" s="13">
        <v>10</v>
      </c>
      <c r="R296" s="13">
        <v>18</v>
      </c>
      <c r="S296" s="16">
        <v>3175</v>
      </c>
      <c r="T296" s="14" t="s">
        <v>102</v>
      </c>
      <c r="U296" s="14" t="s">
        <v>143</v>
      </c>
      <c r="V296" s="218" t="s">
        <v>250</v>
      </c>
    </row>
    <row r="297" spans="1:22" ht="15.75" customHeight="1">
      <c r="A297" s="216" t="s">
        <v>1472</v>
      </c>
      <c r="B297" s="18" t="s">
        <v>696</v>
      </c>
      <c r="C297" s="18" t="s">
        <v>712</v>
      </c>
      <c r="D297" s="17" t="s">
        <v>1473</v>
      </c>
      <c r="E297" s="18" t="s">
        <v>1137</v>
      </c>
      <c r="F297" s="18" t="s">
        <v>1474</v>
      </c>
      <c r="G297" s="18" t="s">
        <v>341</v>
      </c>
      <c r="H297" s="17" t="s">
        <v>62</v>
      </c>
      <c r="I297" s="17" t="s">
        <v>63</v>
      </c>
      <c r="J297" s="17" t="s">
        <v>420</v>
      </c>
      <c r="K297" s="18" t="s">
        <v>421</v>
      </c>
      <c r="L297" s="18" t="s">
        <v>112</v>
      </c>
      <c r="M297" s="18" t="s">
        <v>422</v>
      </c>
      <c r="N297" s="18" t="s">
        <v>423</v>
      </c>
      <c r="O297" s="17">
        <v>10</v>
      </c>
      <c r="P297" s="19">
        <v>4800</v>
      </c>
      <c r="Q297" s="17">
        <v>12</v>
      </c>
      <c r="R297" s="17">
        <v>18</v>
      </c>
      <c r="S297" s="19">
        <v>49843</v>
      </c>
      <c r="T297" s="18" t="s">
        <v>465</v>
      </c>
      <c r="U297" s="18" t="s">
        <v>70</v>
      </c>
      <c r="V297" s="219" t="s">
        <v>155</v>
      </c>
    </row>
    <row r="298" spans="1:22" ht="15.75" customHeight="1">
      <c r="A298" s="215" t="s">
        <v>1475</v>
      </c>
      <c r="B298" s="14" t="s">
        <v>1476</v>
      </c>
      <c r="C298" s="15"/>
      <c r="D298" s="13" t="s">
        <v>1477</v>
      </c>
      <c r="E298" s="14" t="s">
        <v>345</v>
      </c>
      <c r="F298" s="14" t="s">
        <v>1478</v>
      </c>
      <c r="G298" s="14" t="s">
        <v>151</v>
      </c>
      <c r="H298" s="13" t="s">
        <v>152</v>
      </c>
      <c r="I298" s="13" t="s">
        <v>80</v>
      </c>
      <c r="J298" s="13" t="s">
        <v>81</v>
      </c>
      <c r="K298" s="14" t="s">
        <v>82</v>
      </c>
      <c r="L298" s="14" t="s">
        <v>83</v>
      </c>
      <c r="M298" s="14" t="s">
        <v>84</v>
      </c>
      <c r="N298" s="14" t="s">
        <v>85</v>
      </c>
      <c r="O298" s="13">
        <v>3</v>
      </c>
      <c r="P298" s="20" t="s">
        <v>1479</v>
      </c>
      <c r="Q298" s="13">
        <v>25</v>
      </c>
      <c r="R298" s="13">
        <v>3</v>
      </c>
      <c r="S298" s="16">
        <v>57938</v>
      </c>
      <c r="T298" s="14" t="s">
        <v>69</v>
      </c>
      <c r="U298" s="14" t="s">
        <v>211</v>
      </c>
      <c r="V298" s="218" t="s">
        <v>190</v>
      </c>
    </row>
    <row r="299" spans="1:22" ht="15.75" customHeight="1">
      <c r="A299" s="216" t="s">
        <v>1480</v>
      </c>
      <c r="B299" s="18" t="s">
        <v>1481</v>
      </c>
      <c r="C299" s="18" t="s">
        <v>627</v>
      </c>
      <c r="D299" s="17" t="s">
        <v>1482</v>
      </c>
      <c r="E299" s="18" t="s">
        <v>454</v>
      </c>
      <c r="F299" s="18" t="s">
        <v>1483</v>
      </c>
      <c r="G299" s="15" t="s">
        <v>304</v>
      </c>
      <c r="H299" s="17" t="s">
        <v>305</v>
      </c>
      <c r="I299" s="17" t="s">
        <v>306</v>
      </c>
      <c r="J299" s="17" t="s">
        <v>365</v>
      </c>
      <c r="K299" s="18" t="s">
        <v>366</v>
      </c>
      <c r="L299" s="15" t="s">
        <v>1484</v>
      </c>
      <c r="M299" s="18" t="s">
        <v>367</v>
      </c>
      <c r="N299" s="18" t="s">
        <v>368</v>
      </c>
      <c r="O299" s="17">
        <v>8</v>
      </c>
      <c r="P299" s="20"/>
      <c r="Q299" s="17">
        <v>5</v>
      </c>
      <c r="R299" s="17">
        <v>5</v>
      </c>
      <c r="S299" s="19">
        <v>0</v>
      </c>
      <c r="T299" s="18" t="s">
        <v>153</v>
      </c>
      <c r="U299" s="15" t="s">
        <v>174</v>
      </c>
      <c r="V299" s="218" t="s">
        <v>190</v>
      </c>
    </row>
    <row r="300" spans="1:22" ht="15.75" customHeight="1">
      <c r="A300" s="215" t="s">
        <v>1485</v>
      </c>
      <c r="B300" s="14" t="s">
        <v>1486</v>
      </c>
      <c r="C300" s="15" t="s">
        <v>91</v>
      </c>
      <c r="D300" s="13" t="s">
        <v>1487</v>
      </c>
      <c r="E300" s="14" t="s">
        <v>876</v>
      </c>
      <c r="F300" s="14" t="s">
        <v>1488</v>
      </c>
      <c r="G300" s="15" t="s">
        <v>268</v>
      </c>
      <c r="H300" s="13" t="s">
        <v>122</v>
      </c>
      <c r="I300" s="13" t="s">
        <v>123</v>
      </c>
      <c r="J300" s="13" t="s">
        <v>420</v>
      </c>
      <c r="K300" s="14" t="s">
        <v>421</v>
      </c>
      <c r="L300" s="14" t="s">
        <v>112</v>
      </c>
      <c r="M300" s="14" t="s">
        <v>422</v>
      </c>
      <c r="N300" s="14" t="s">
        <v>423</v>
      </c>
      <c r="O300" s="13">
        <v>3</v>
      </c>
      <c r="P300" s="16">
        <v>4800</v>
      </c>
      <c r="Q300" s="13">
        <v>15</v>
      </c>
      <c r="R300" s="13">
        <v>18</v>
      </c>
      <c r="S300" s="16">
        <v>14443</v>
      </c>
      <c r="T300" s="14" t="s">
        <v>326</v>
      </c>
      <c r="U300" s="14" t="s">
        <v>70</v>
      </c>
      <c r="V300" s="218" t="s">
        <v>201</v>
      </c>
    </row>
    <row r="301" spans="1:22" ht="15.75" customHeight="1">
      <c r="A301" s="216" t="s">
        <v>1489</v>
      </c>
      <c r="B301" s="18" t="s">
        <v>1490</v>
      </c>
      <c r="C301" s="15" t="s">
        <v>253</v>
      </c>
      <c r="D301" s="17"/>
      <c r="E301" s="18" t="s">
        <v>395</v>
      </c>
      <c r="F301" s="18" t="s">
        <v>1491</v>
      </c>
      <c r="G301" s="18" t="s">
        <v>172</v>
      </c>
      <c r="H301" s="17" t="s">
        <v>96</v>
      </c>
      <c r="I301" s="17" t="s">
        <v>63</v>
      </c>
      <c r="J301" s="17" t="s">
        <v>595</v>
      </c>
      <c r="K301" s="18" t="s">
        <v>596</v>
      </c>
      <c r="L301" s="18" t="s">
        <v>112</v>
      </c>
      <c r="M301" s="18" t="s">
        <v>240</v>
      </c>
      <c r="N301" s="18" t="s">
        <v>597</v>
      </c>
      <c r="O301" s="17">
        <v>5</v>
      </c>
      <c r="P301" s="19">
        <v>1200</v>
      </c>
      <c r="Q301" s="17">
        <v>0</v>
      </c>
      <c r="R301" s="17">
        <v>5</v>
      </c>
      <c r="S301" s="19">
        <v>6300</v>
      </c>
      <c r="T301" s="18" t="s">
        <v>413</v>
      </c>
      <c r="U301" s="18" t="s">
        <v>143</v>
      </c>
      <c r="V301" s="219" t="s">
        <v>144</v>
      </c>
    </row>
    <row r="302" spans="1:22" ht="15.75" customHeight="1">
      <c r="A302" s="215" t="s">
        <v>1492</v>
      </c>
      <c r="B302" s="14" t="s">
        <v>1493</v>
      </c>
      <c r="C302" s="15" t="s">
        <v>447</v>
      </c>
      <c r="D302" s="13" t="s">
        <v>1494</v>
      </c>
      <c r="E302" s="14" t="s">
        <v>838</v>
      </c>
      <c r="F302" s="14" t="s">
        <v>1495</v>
      </c>
      <c r="G302" s="14" t="s">
        <v>78</v>
      </c>
      <c r="H302" s="13" t="s">
        <v>79</v>
      </c>
      <c r="I302" s="13" t="s">
        <v>80</v>
      </c>
      <c r="J302" s="13" t="s">
        <v>257</v>
      </c>
      <c r="K302" s="14" t="s">
        <v>258</v>
      </c>
      <c r="L302" s="14" t="s">
        <v>139</v>
      </c>
      <c r="M302" s="14" t="s">
        <v>259</v>
      </c>
      <c r="N302" s="14" t="s">
        <v>260</v>
      </c>
      <c r="O302" s="13">
        <v>8</v>
      </c>
      <c r="P302" s="16">
        <v>299</v>
      </c>
      <c r="Q302" s="13">
        <v>5</v>
      </c>
      <c r="R302" s="13">
        <v>18</v>
      </c>
      <c r="S302" s="16">
        <v>2681</v>
      </c>
      <c r="T302" s="14" t="s">
        <v>102</v>
      </c>
      <c r="U302" s="14" t="s">
        <v>143</v>
      </c>
      <c r="V302" s="218" t="s">
        <v>88</v>
      </c>
    </row>
    <row r="303" spans="1:22" ht="15.75" customHeight="1">
      <c r="A303" s="216" t="s">
        <v>1496</v>
      </c>
      <c r="B303" s="18" t="s">
        <v>371</v>
      </c>
      <c r="C303" s="15" t="s">
        <v>253</v>
      </c>
      <c r="D303" s="17" t="s">
        <v>1497</v>
      </c>
      <c r="E303" s="18" t="s">
        <v>832</v>
      </c>
      <c r="F303" s="18" t="s">
        <v>1498</v>
      </c>
      <c r="G303" s="18" t="s">
        <v>439</v>
      </c>
      <c r="H303" s="17" t="s">
        <v>364</v>
      </c>
      <c r="I303" s="17" t="s">
        <v>63</v>
      </c>
      <c r="J303" s="17" t="s">
        <v>897</v>
      </c>
      <c r="K303" s="18" t="s">
        <v>898</v>
      </c>
      <c r="L303" s="18" t="s">
        <v>139</v>
      </c>
      <c r="M303" s="18" t="s">
        <v>140</v>
      </c>
      <c r="N303" s="18" t="s">
        <v>899</v>
      </c>
      <c r="O303" s="17">
        <v>1</v>
      </c>
      <c r="P303" s="19">
        <v>38000</v>
      </c>
      <c r="Q303" s="17">
        <v>5</v>
      </c>
      <c r="R303" s="17">
        <v>18</v>
      </c>
      <c r="S303" s="19">
        <v>42598</v>
      </c>
      <c r="T303" s="18" t="s">
        <v>102</v>
      </c>
      <c r="U303" s="15" t="s">
        <v>154</v>
      </c>
      <c r="V303" s="218" t="s">
        <v>88</v>
      </c>
    </row>
    <row r="304" spans="1:22" ht="15.75" customHeight="1">
      <c r="A304" s="215" t="s">
        <v>1499</v>
      </c>
      <c r="B304" s="14" t="s">
        <v>1299</v>
      </c>
      <c r="C304" s="15" t="s">
        <v>177</v>
      </c>
      <c r="D304" s="13" t="s">
        <v>1500</v>
      </c>
      <c r="E304" s="14" t="s">
        <v>400</v>
      </c>
      <c r="F304" s="14" t="s">
        <v>1501</v>
      </c>
      <c r="G304" s="15" t="s">
        <v>268</v>
      </c>
      <c r="H304" s="13" t="s">
        <v>122</v>
      </c>
      <c r="I304" s="13" t="s">
        <v>123</v>
      </c>
      <c r="J304" s="13" t="s">
        <v>197</v>
      </c>
      <c r="K304" s="14" t="s">
        <v>198</v>
      </c>
      <c r="L304" s="14" t="s">
        <v>66</v>
      </c>
      <c r="M304" s="14" t="s">
        <v>199</v>
      </c>
      <c r="N304" s="14" t="s">
        <v>200</v>
      </c>
      <c r="O304" s="13">
        <v>9</v>
      </c>
      <c r="P304" s="16">
        <v>50</v>
      </c>
      <c r="Q304" s="13">
        <v>8</v>
      </c>
      <c r="R304" s="13">
        <v>5</v>
      </c>
      <c r="S304" s="16">
        <v>435</v>
      </c>
      <c r="T304" s="14" t="s">
        <v>102</v>
      </c>
      <c r="U304" s="14" t="s">
        <v>184</v>
      </c>
      <c r="V304" s="217" t="s">
        <v>155</v>
      </c>
    </row>
    <row r="305" spans="1:22" ht="15.75" customHeight="1">
      <c r="A305" s="216" t="s">
        <v>1502</v>
      </c>
      <c r="B305" s="18" t="s">
        <v>1503</v>
      </c>
      <c r="C305" s="15" t="s">
        <v>431</v>
      </c>
      <c r="D305" s="17" t="s">
        <v>1504</v>
      </c>
      <c r="E305" s="18" t="s">
        <v>433</v>
      </c>
      <c r="F305" s="18" t="s">
        <v>1505</v>
      </c>
      <c r="G305" s="18" t="s">
        <v>61</v>
      </c>
      <c r="H305" s="17" t="s">
        <v>62</v>
      </c>
      <c r="I305" s="17" t="s">
        <v>63</v>
      </c>
      <c r="J305" s="17" t="s">
        <v>312</v>
      </c>
      <c r="K305" s="18" t="s">
        <v>313</v>
      </c>
      <c r="L305" s="18" t="s">
        <v>66</v>
      </c>
      <c r="M305" s="18" t="s">
        <v>199</v>
      </c>
      <c r="N305" s="18" t="s">
        <v>314</v>
      </c>
      <c r="O305" s="17">
        <v>9</v>
      </c>
      <c r="P305" s="19">
        <v>40</v>
      </c>
      <c r="Q305" s="17">
        <v>20</v>
      </c>
      <c r="R305" s="17">
        <v>5</v>
      </c>
      <c r="S305" s="19">
        <v>302</v>
      </c>
      <c r="T305" s="18" t="s">
        <v>183</v>
      </c>
      <c r="U305" s="15" t="s">
        <v>383</v>
      </c>
      <c r="V305" s="218" t="s">
        <v>250</v>
      </c>
    </row>
    <row r="306" spans="1:22" ht="15.75" customHeight="1">
      <c r="A306" s="215" t="s">
        <v>1506</v>
      </c>
      <c r="B306" s="14" t="s">
        <v>1507</v>
      </c>
      <c r="C306" s="15" t="s">
        <v>541</v>
      </c>
      <c r="D306" s="13" t="s">
        <v>1508</v>
      </c>
      <c r="E306" s="14" t="s">
        <v>543</v>
      </c>
      <c r="F306" s="14" t="s">
        <v>1509</v>
      </c>
      <c r="G306" s="14" t="s">
        <v>61</v>
      </c>
      <c r="H306" s="13" t="s">
        <v>62</v>
      </c>
      <c r="I306" s="20" t="s">
        <v>1313</v>
      </c>
      <c r="J306" s="13" t="s">
        <v>64</v>
      </c>
      <c r="K306" s="14" t="s">
        <v>65</v>
      </c>
      <c r="L306" s="14" t="s">
        <v>66</v>
      </c>
      <c r="M306" s="14" t="s">
        <v>67</v>
      </c>
      <c r="N306" s="14" t="s">
        <v>68</v>
      </c>
      <c r="O306" s="13">
        <v>1</v>
      </c>
      <c r="P306" s="16">
        <v>450</v>
      </c>
      <c r="Q306" s="13">
        <v>5</v>
      </c>
      <c r="R306" s="13">
        <v>5</v>
      </c>
      <c r="S306" s="16">
        <v>453</v>
      </c>
      <c r="T306" s="14" t="s">
        <v>413</v>
      </c>
      <c r="U306" s="15" t="s">
        <v>87</v>
      </c>
      <c r="V306" s="217" t="s">
        <v>144</v>
      </c>
    </row>
    <row r="307" spans="1:22" ht="15.75" customHeight="1">
      <c r="A307" s="216" t="s">
        <v>1510</v>
      </c>
      <c r="B307" s="18" t="s">
        <v>671</v>
      </c>
      <c r="C307" s="18" t="s">
        <v>168</v>
      </c>
      <c r="D307" s="17" t="s">
        <v>1511</v>
      </c>
      <c r="E307" s="18" t="s">
        <v>1512</v>
      </c>
      <c r="F307" s="18" t="s">
        <v>1513</v>
      </c>
      <c r="G307" s="18" t="s">
        <v>333</v>
      </c>
      <c r="H307" s="17" t="s">
        <v>334</v>
      </c>
      <c r="I307" s="17" t="s">
        <v>63</v>
      </c>
      <c r="J307" s="17" t="s">
        <v>64</v>
      </c>
      <c r="K307" s="18" t="s">
        <v>65</v>
      </c>
      <c r="L307" s="18" t="s">
        <v>66</v>
      </c>
      <c r="M307" s="18" t="s">
        <v>67</v>
      </c>
      <c r="N307" s="18" t="s">
        <v>68</v>
      </c>
      <c r="O307" s="17">
        <v>8</v>
      </c>
      <c r="P307" s="19">
        <v>450</v>
      </c>
      <c r="Q307" s="17">
        <v>0</v>
      </c>
      <c r="R307" s="17">
        <v>5</v>
      </c>
      <c r="S307" s="19">
        <v>3780</v>
      </c>
      <c r="T307" s="18" t="s">
        <v>153</v>
      </c>
      <c r="U307" s="15" t="s">
        <v>383</v>
      </c>
      <c r="V307" s="219" t="s">
        <v>144</v>
      </c>
    </row>
    <row r="308" spans="1:22" ht="15.75" customHeight="1">
      <c r="A308" s="215" t="s">
        <v>1514</v>
      </c>
      <c r="B308" s="14" t="s">
        <v>1515</v>
      </c>
      <c r="C308" s="15" t="s">
        <v>158</v>
      </c>
      <c r="D308" s="13" t="s">
        <v>1516</v>
      </c>
      <c r="E308" s="14" t="s">
        <v>160</v>
      </c>
      <c r="F308" s="14" t="s">
        <v>1517</v>
      </c>
      <c r="G308" s="14" t="s">
        <v>172</v>
      </c>
      <c r="H308" s="13" t="s">
        <v>96</v>
      </c>
      <c r="I308" s="13" t="s">
        <v>63</v>
      </c>
      <c r="J308" s="13" t="s">
        <v>389</v>
      </c>
      <c r="K308" s="14" t="s">
        <v>390</v>
      </c>
      <c r="L308" s="14" t="s">
        <v>99</v>
      </c>
      <c r="M308" s="14" t="s">
        <v>164</v>
      </c>
      <c r="N308" s="14" t="s">
        <v>391</v>
      </c>
      <c r="O308" s="13">
        <v>9</v>
      </c>
      <c r="P308" s="16">
        <v>1500</v>
      </c>
      <c r="Q308" s="13">
        <v>8</v>
      </c>
      <c r="R308" s="13">
        <v>18</v>
      </c>
      <c r="S308" s="16">
        <v>14656</v>
      </c>
      <c r="T308" s="14" t="s">
        <v>326</v>
      </c>
      <c r="U308" s="15" t="s">
        <v>261</v>
      </c>
      <c r="V308" s="217" t="s">
        <v>212</v>
      </c>
    </row>
    <row r="309" spans="1:22" ht="15.75" customHeight="1">
      <c r="A309" s="216" t="s">
        <v>1518</v>
      </c>
      <c r="B309" s="18" t="s">
        <v>1519</v>
      </c>
      <c r="C309" s="15" t="s">
        <v>473</v>
      </c>
      <c r="D309" s="17" t="s">
        <v>1520</v>
      </c>
      <c r="E309" s="18" t="s">
        <v>1521</v>
      </c>
      <c r="F309" s="18" t="s">
        <v>1522</v>
      </c>
      <c r="G309" s="18" t="s">
        <v>181</v>
      </c>
      <c r="H309" s="17" t="s">
        <v>182</v>
      </c>
      <c r="I309" s="17" t="s">
        <v>123</v>
      </c>
      <c r="J309" s="17" t="s">
        <v>275</v>
      </c>
      <c r="K309" s="18" t="s">
        <v>276</v>
      </c>
      <c r="L309" s="18" t="s">
        <v>99</v>
      </c>
      <c r="M309" s="18" t="s">
        <v>277</v>
      </c>
      <c r="N309" s="18" t="s">
        <v>126</v>
      </c>
      <c r="O309" s="17">
        <v>5</v>
      </c>
      <c r="P309" s="19">
        <v>35000</v>
      </c>
      <c r="Q309" s="17">
        <v>5</v>
      </c>
      <c r="R309" s="17">
        <v>18</v>
      </c>
      <c r="S309" s="19">
        <v>196175</v>
      </c>
      <c r="T309" s="18" t="s">
        <v>142</v>
      </c>
      <c r="U309" s="15" t="s">
        <v>87</v>
      </c>
      <c r="V309" s="218" t="s">
        <v>201</v>
      </c>
    </row>
    <row r="310" spans="1:22" ht="15.75" customHeight="1">
      <c r="A310" s="215" t="s">
        <v>1523</v>
      </c>
      <c r="B310" s="14" t="s">
        <v>1524</v>
      </c>
      <c r="C310" s="14" t="s">
        <v>168</v>
      </c>
      <c r="D310" s="13" t="s">
        <v>1525</v>
      </c>
      <c r="E310" s="14" t="s">
        <v>688</v>
      </c>
      <c r="F310" s="14" t="s">
        <v>1526</v>
      </c>
      <c r="G310" s="14" t="s">
        <v>439</v>
      </c>
      <c r="H310" s="13" t="s">
        <v>364</v>
      </c>
      <c r="I310" s="13" t="s">
        <v>63</v>
      </c>
      <c r="J310" s="13" t="s">
        <v>97</v>
      </c>
      <c r="K310" s="14" t="s">
        <v>98</v>
      </c>
      <c r="L310" s="14" t="s">
        <v>99</v>
      </c>
      <c r="M310" s="14" t="s">
        <v>100</v>
      </c>
      <c r="N310" s="14" t="s">
        <v>101</v>
      </c>
      <c r="O310" s="13">
        <v>2</v>
      </c>
      <c r="P310" s="16">
        <v>28000</v>
      </c>
      <c r="Q310" s="13">
        <v>20</v>
      </c>
      <c r="R310" s="13">
        <v>18</v>
      </c>
      <c r="S310" s="16">
        <v>52864</v>
      </c>
      <c r="T310" s="14" t="s">
        <v>142</v>
      </c>
      <c r="U310" s="14" t="s">
        <v>288</v>
      </c>
      <c r="V310" s="217" t="s">
        <v>212</v>
      </c>
    </row>
    <row r="311" spans="1:22" ht="15.75" customHeight="1">
      <c r="A311" s="216" t="s">
        <v>1527</v>
      </c>
      <c r="B311" s="18" t="s">
        <v>1528</v>
      </c>
      <c r="C311" s="18" t="s">
        <v>461</v>
      </c>
      <c r="D311" s="17" t="s">
        <v>1529</v>
      </c>
      <c r="E311" s="18" t="s">
        <v>1278</v>
      </c>
      <c r="F311" s="18" t="s">
        <v>1530</v>
      </c>
      <c r="G311" s="18" t="s">
        <v>151</v>
      </c>
      <c r="H311" s="17" t="s">
        <v>152</v>
      </c>
      <c r="I311" s="17" t="s">
        <v>80</v>
      </c>
      <c r="J311" s="17" t="s">
        <v>137</v>
      </c>
      <c r="K311" s="18" t="s">
        <v>138</v>
      </c>
      <c r="L311" s="18" t="s">
        <v>139</v>
      </c>
      <c r="M311" s="18" t="s">
        <v>140</v>
      </c>
      <c r="N311" s="18" t="s">
        <v>141</v>
      </c>
      <c r="O311" s="20" t="s">
        <v>440</v>
      </c>
      <c r="P311" s="19">
        <v>12000</v>
      </c>
      <c r="Q311" s="17">
        <v>0</v>
      </c>
      <c r="R311" s="17">
        <v>18</v>
      </c>
      <c r="S311" s="19">
        <v>14160</v>
      </c>
      <c r="T311" s="18" t="s">
        <v>326</v>
      </c>
      <c r="U311" s="15" t="s">
        <v>174</v>
      </c>
      <c r="V311" s="219" t="s">
        <v>212</v>
      </c>
    </row>
    <row r="312" spans="1:22" ht="15.75" customHeight="1">
      <c r="A312" s="215" t="s">
        <v>1531</v>
      </c>
      <c r="B312" s="14" t="s">
        <v>1460</v>
      </c>
      <c r="C312" s="15" t="s">
        <v>147</v>
      </c>
      <c r="D312" s="13" t="s">
        <v>1532</v>
      </c>
      <c r="E312" s="14" t="s">
        <v>651</v>
      </c>
      <c r="F312" s="14" t="s">
        <v>1533</v>
      </c>
      <c r="G312" s="14" t="s">
        <v>485</v>
      </c>
      <c r="H312" s="13" t="s">
        <v>305</v>
      </c>
      <c r="I312" s="13" t="s">
        <v>306</v>
      </c>
      <c r="J312" s="13" t="s">
        <v>312</v>
      </c>
      <c r="K312" s="14" t="s">
        <v>313</v>
      </c>
      <c r="L312" s="14" t="s">
        <v>66</v>
      </c>
      <c r="M312" s="14" t="s">
        <v>199</v>
      </c>
      <c r="N312" s="14" t="s">
        <v>314</v>
      </c>
      <c r="O312" s="13">
        <v>3</v>
      </c>
      <c r="P312" s="16">
        <v>40</v>
      </c>
      <c r="Q312" s="13">
        <v>20</v>
      </c>
      <c r="R312" s="13">
        <v>5</v>
      </c>
      <c r="S312" s="16">
        <v>101</v>
      </c>
      <c r="T312" s="14" t="s">
        <v>115</v>
      </c>
      <c r="U312" s="14" t="s">
        <v>211</v>
      </c>
      <c r="V312" s="217" t="s">
        <v>155</v>
      </c>
    </row>
    <row r="313" spans="1:22" ht="15.75" customHeight="1">
      <c r="A313" s="216" t="s">
        <v>1534</v>
      </c>
      <c r="B313" s="18" t="s">
        <v>1535</v>
      </c>
      <c r="C313" s="15" t="s">
        <v>57</v>
      </c>
      <c r="D313" s="17" t="s">
        <v>1536</v>
      </c>
      <c r="E313" s="18" t="s">
        <v>584</v>
      </c>
      <c r="F313" s="18" t="s">
        <v>1537</v>
      </c>
      <c r="G313" s="18" t="s">
        <v>228</v>
      </c>
      <c r="H313" s="17" t="s">
        <v>152</v>
      </c>
      <c r="I313" s="17" t="s">
        <v>80</v>
      </c>
      <c r="J313" s="17" t="s">
        <v>81</v>
      </c>
      <c r="K313" s="18" t="s">
        <v>82</v>
      </c>
      <c r="L313" s="18" t="s">
        <v>83</v>
      </c>
      <c r="M313" s="18" t="s">
        <v>84</v>
      </c>
      <c r="N313" s="18" t="s">
        <v>85</v>
      </c>
      <c r="O313" s="17">
        <v>2</v>
      </c>
      <c r="P313" s="19">
        <v>25000</v>
      </c>
      <c r="Q313" s="17">
        <v>0</v>
      </c>
      <c r="R313" s="17">
        <v>3</v>
      </c>
      <c r="S313" s="19">
        <v>51500</v>
      </c>
      <c r="T313" s="18" t="s">
        <v>127</v>
      </c>
      <c r="U313" s="15" t="s">
        <v>103</v>
      </c>
      <c r="V313" s="219" t="s">
        <v>212</v>
      </c>
    </row>
    <row r="314" spans="1:22" ht="15.75" customHeight="1">
      <c r="A314" s="215" t="s">
        <v>1538</v>
      </c>
      <c r="B314" s="14" t="s">
        <v>1539</v>
      </c>
      <c r="C314" s="15" t="s">
        <v>747</v>
      </c>
      <c r="D314" s="13" t="s">
        <v>1540</v>
      </c>
      <c r="E314" s="14" t="s">
        <v>1317</v>
      </c>
      <c r="F314" s="14" t="s">
        <v>1541</v>
      </c>
      <c r="G314" s="14" t="s">
        <v>439</v>
      </c>
      <c r="H314" s="13" t="s">
        <v>364</v>
      </c>
      <c r="I314" s="13" t="s">
        <v>63</v>
      </c>
      <c r="J314" s="13" t="s">
        <v>356</v>
      </c>
      <c r="K314" s="14" t="s">
        <v>357</v>
      </c>
      <c r="L314" s="14" t="s">
        <v>139</v>
      </c>
      <c r="M314" s="14" t="s">
        <v>140</v>
      </c>
      <c r="N314" s="14" t="s">
        <v>358</v>
      </c>
      <c r="O314" s="13">
        <v>8</v>
      </c>
      <c r="P314" s="16">
        <v>42000</v>
      </c>
      <c r="Q314" s="13">
        <v>131</v>
      </c>
      <c r="R314" s="13">
        <v>18</v>
      </c>
      <c r="S314" s="20"/>
      <c r="T314" s="14" t="s">
        <v>102</v>
      </c>
      <c r="U314" s="15" t="s">
        <v>261</v>
      </c>
      <c r="V314" s="218" t="s">
        <v>190</v>
      </c>
    </row>
    <row r="315" spans="1:22" ht="15.75" customHeight="1">
      <c r="A315" s="216" t="s">
        <v>1542</v>
      </c>
      <c r="B315" s="18" t="s">
        <v>1543</v>
      </c>
      <c r="C315" s="15" t="s">
        <v>825</v>
      </c>
      <c r="D315" s="17" t="s">
        <v>1544</v>
      </c>
      <c r="E315" s="18" t="s">
        <v>1023</v>
      </c>
      <c r="F315" s="18" t="s">
        <v>1545</v>
      </c>
      <c r="G315" s="18" t="s">
        <v>122</v>
      </c>
      <c r="H315" s="17" t="s">
        <v>122</v>
      </c>
      <c r="I315" s="17" t="s">
        <v>123</v>
      </c>
      <c r="J315" s="17" t="s">
        <v>376</v>
      </c>
      <c r="K315" s="18" t="s">
        <v>377</v>
      </c>
      <c r="L315" s="18" t="s">
        <v>112</v>
      </c>
      <c r="M315" s="18" t="s">
        <v>113</v>
      </c>
      <c r="N315" s="18" t="s">
        <v>378</v>
      </c>
      <c r="O315" s="17">
        <v>7</v>
      </c>
      <c r="P315" s="19">
        <v>8500</v>
      </c>
      <c r="Q315" s="17">
        <v>15</v>
      </c>
      <c r="R315" s="17">
        <v>18</v>
      </c>
      <c r="S315" s="19">
        <v>59678</v>
      </c>
      <c r="T315" s="18" t="s">
        <v>127</v>
      </c>
      <c r="U315" s="18" t="s">
        <v>70</v>
      </c>
      <c r="V315" s="218" t="s">
        <v>190</v>
      </c>
    </row>
    <row r="316" spans="1:22" ht="15.75" customHeight="1">
      <c r="A316" s="215" t="s">
        <v>1442</v>
      </c>
      <c r="B316" s="14" t="s">
        <v>1443</v>
      </c>
      <c r="C316" s="15"/>
      <c r="D316" s="13" t="s">
        <v>1444</v>
      </c>
      <c r="E316" s="14" t="s">
        <v>345</v>
      </c>
      <c r="F316" s="14" t="s">
        <v>1445</v>
      </c>
      <c r="G316" s="15" t="s">
        <v>304</v>
      </c>
      <c r="H316" s="13" t="s">
        <v>305</v>
      </c>
      <c r="I316" s="13" t="s">
        <v>306</v>
      </c>
      <c r="J316" s="13" t="s">
        <v>124</v>
      </c>
      <c r="K316" s="14" t="s">
        <v>125</v>
      </c>
      <c r="L316" s="14" t="s">
        <v>99</v>
      </c>
      <c r="M316" s="14" t="s">
        <v>100</v>
      </c>
      <c r="N316" s="14" t="s">
        <v>126</v>
      </c>
      <c r="O316" s="13">
        <v>7</v>
      </c>
      <c r="P316" s="16">
        <v>14000</v>
      </c>
      <c r="Q316" s="13">
        <v>0</v>
      </c>
      <c r="R316" s="13">
        <v>18</v>
      </c>
      <c r="S316" s="16">
        <v>115640</v>
      </c>
      <c r="T316" s="14" t="s">
        <v>86</v>
      </c>
      <c r="U316" s="15" t="s">
        <v>174</v>
      </c>
      <c r="V316" s="218" t="s">
        <v>128</v>
      </c>
    </row>
    <row r="317" spans="1:22" ht="15.75" customHeight="1">
      <c r="A317" s="216" t="s">
        <v>1546</v>
      </c>
      <c r="B317" s="18" t="s">
        <v>1547</v>
      </c>
      <c r="C317" s="18" t="s">
        <v>639</v>
      </c>
      <c r="D317" s="17" t="s">
        <v>1548</v>
      </c>
      <c r="E317" s="18" t="s">
        <v>992</v>
      </c>
      <c r="F317" s="18" t="s">
        <v>1549</v>
      </c>
      <c r="G317" s="15" t="s">
        <v>304</v>
      </c>
      <c r="H317" s="17" t="s">
        <v>305</v>
      </c>
      <c r="I317" s="17" t="s">
        <v>306</v>
      </c>
      <c r="J317" s="17" t="s">
        <v>275</v>
      </c>
      <c r="K317" s="18" t="s">
        <v>276</v>
      </c>
      <c r="L317" s="18" t="s">
        <v>99</v>
      </c>
      <c r="M317" s="18" t="s">
        <v>277</v>
      </c>
      <c r="N317" s="18" t="s">
        <v>126</v>
      </c>
      <c r="O317" s="17">
        <v>7</v>
      </c>
      <c r="P317" s="19">
        <v>35000</v>
      </c>
      <c r="Q317" s="17">
        <v>0</v>
      </c>
      <c r="R317" s="17">
        <v>18</v>
      </c>
      <c r="S317" s="19">
        <v>289100</v>
      </c>
      <c r="T317" s="18" t="s">
        <v>153</v>
      </c>
      <c r="U317" s="15" t="s">
        <v>383</v>
      </c>
      <c r="V317" s="218" t="s">
        <v>250</v>
      </c>
    </row>
    <row r="318" spans="1:22" ht="15.75" customHeight="1">
      <c r="A318" s="215" t="s">
        <v>1550</v>
      </c>
      <c r="B318" s="14" t="s">
        <v>1551</v>
      </c>
      <c r="C318" s="14" t="s">
        <v>728</v>
      </c>
      <c r="D318" s="13" t="s">
        <v>1552</v>
      </c>
      <c r="E318" s="14" t="s">
        <v>1348</v>
      </c>
      <c r="F318" s="14" t="s">
        <v>1553</v>
      </c>
      <c r="G318" s="14" t="s">
        <v>61</v>
      </c>
      <c r="H318" s="13" t="s">
        <v>62</v>
      </c>
      <c r="I318" s="13" t="s">
        <v>63</v>
      </c>
      <c r="J318" s="13" t="s">
        <v>275</v>
      </c>
      <c r="K318" s="14" t="s">
        <v>276</v>
      </c>
      <c r="L318" s="14" t="s">
        <v>99</v>
      </c>
      <c r="M318" s="14" t="s">
        <v>277</v>
      </c>
      <c r="N318" s="14" t="s">
        <v>126</v>
      </c>
      <c r="O318" s="13">
        <v>10</v>
      </c>
      <c r="P318" s="16">
        <v>35000</v>
      </c>
      <c r="Q318" s="13">
        <v>15</v>
      </c>
      <c r="R318" s="13">
        <v>18</v>
      </c>
      <c r="S318" s="16">
        <v>351050</v>
      </c>
      <c r="T318" s="14" t="s">
        <v>326</v>
      </c>
      <c r="U318" s="14" t="s">
        <v>70</v>
      </c>
      <c r="V318" s="217" t="s">
        <v>155</v>
      </c>
    </row>
    <row r="319" spans="1:22" ht="15.75" customHeight="1">
      <c r="A319" s="216" t="s">
        <v>1554</v>
      </c>
      <c r="B319" s="18" t="s">
        <v>1036</v>
      </c>
      <c r="C319" s="18" t="s">
        <v>291</v>
      </c>
      <c r="D319" s="17" t="s">
        <v>1555</v>
      </c>
      <c r="E319" s="18"/>
      <c r="F319" s="18" t="s">
        <v>1556</v>
      </c>
      <c r="G319" s="15" t="s">
        <v>274</v>
      </c>
      <c r="H319" s="17" t="s">
        <v>96</v>
      </c>
      <c r="I319" s="17" t="s">
        <v>63</v>
      </c>
      <c r="J319" s="17" t="s">
        <v>124</v>
      </c>
      <c r="K319" s="18" t="s">
        <v>125</v>
      </c>
      <c r="L319" s="18" t="s">
        <v>99</v>
      </c>
      <c r="M319" s="18" t="s">
        <v>100</v>
      </c>
      <c r="N319" s="18" t="s">
        <v>126</v>
      </c>
      <c r="O319" s="17">
        <v>5</v>
      </c>
      <c r="P319" s="19">
        <v>14000</v>
      </c>
      <c r="Q319" s="17">
        <v>12</v>
      </c>
      <c r="R319" s="17">
        <v>18</v>
      </c>
      <c r="S319" s="19">
        <v>72688</v>
      </c>
      <c r="T319" s="18" t="s">
        <v>102</v>
      </c>
      <c r="U319" s="15" t="s">
        <v>103</v>
      </c>
      <c r="V319" s="218" t="s">
        <v>201</v>
      </c>
    </row>
    <row r="320" spans="1:22" ht="15.75" customHeight="1">
      <c r="A320" s="215" t="s">
        <v>1557</v>
      </c>
      <c r="B320" s="14" t="s">
        <v>1558</v>
      </c>
      <c r="C320" s="15" t="s">
        <v>605</v>
      </c>
      <c r="D320" s="13" t="s">
        <v>1559</v>
      </c>
      <c r="E320" s="14" t="s">
        <v>971</v>
      </c>
      <c r="F320" s="14" t="s">
        <v>1560</v>
      </c>
      <c r="G320" s="14" t="s">
        <v>172</v>
      </c>
      <c r="H320" s="13" t="s">
        <v>96</v>
      </c>
      <c r="I320" s="13" t="s">
        <v>63</v>
      </c>
      <c r="J320" s="13" t="s">
        <v>347</v>
      </c>
      <c r="K320" s="14" t="s">
        <v>348</v>
      </c>
      <c r="L320" s="14" t="s">
        <v>139</v>
      </c>
      <c r="M320" s="14" t="s">
        <v>349</v>
      </c>
      <c r="N320" s="14" t="s">
        <v>350</v>
      </c>
      <c r="O320" s="13">
        <v>1</v>
      </c>
      <c r="P320" s="16">
        <v>3200</v>
      </c>
      <c r="Q320" s="13">
        <v>25</v>
      </c>
      <c r="R320" s="13">
        <v>18</v>
      </c>
      <c r="S320" s="16">
        <v>2832</v>
      </c>
      <c r="T320" s="14" t="s">
        <v>326</v>
      </c>
      <c r="U320" s="14" t="s">
        <v>211</v>
      </c>
      <c r="V320" s="218" t="s">
        <v>88</v>
      </c>
    </row>
    <row r="321" spans="1:22" ht="15.75" customHeight="1">
      <c r="A321" s="216" t="s">
        <v>1561</v>
      </c>
      <c r="B321" s="18" t="s">
        <v>284</v>
      </c>
      <c r="C321" s="15" t="s">
        <v>253</v>
      </c>
      <c r="D321" s="17" t="s">
        <v>1562</v>
      </c>
      <c r="E321" s="18" t="s">
        <v>1223</v>
      </c>
      <c r="F321" s="18" t="s">
        <v>1563</v>
      </c>
      <c r="G321" s="18" t="s">
        <v>61</v>
      </c>
      <c r="H321" s="17" t="s">
        <v>62</v>
      </c>
      <c r="I321" s="17" t="s">
        <v>63</v>
      </c>
      <c r="J321" s="17" t="s">
        <v>275</v>
      </c>
      <c r="K321" s="18" t="s">
        <v>276</v>
      </c>
      <c r="L321" s="18" t="s">
        <v>99</v>
      </c>
      <c r="M321" s="18" t="s">
        <v>277</v>
      </c>
      <c r="N321" s="18" t="s">
        <v>126</v>
      </c>
      <c r="O321" s="17">
        <v>2</v>
      </c>
      <c r="P321" s="19">
        <v>35000</v>
      </c>
      <c r="Q321" s="17">
        <v>10</v>
      </c>
      <c r="R321" s="17">
        <v>18</v>
      </c>
      <c r="S321" s="19">
        <v>74340</v>
      </c>
      <c r="T321" s="18" t="s">
        <v>153</v>
      </c>
      <c r="U321" s="15" t="s">
        <v>154</v>
      </c>
      <c r="V321" s="219" t="s">
        <v>71</v>
      </c>
    </row>
    <row r="322" spans="1:22" ht="15.75" customHeight="1">
      <c r="A322" s="215" t="s">
        <v>1564</v>
      </c>
      <c r="B322" s="14" t="s">
        <v>1565</v>
      </c>
      <c r="C322" s="14" t="s">
        <v>482</v>
      </c>
      <c r="D322" s="13" t="s">
        <v>1566</v>
      </c>
      <c r="E322" s="14" t="s">
        <v>966</v>
      </c>
      <c r="F322" s="14" t="s">
        <v>1567</v>
      </c>
      <c r="G322" s="14" t="s">
        <v>439</v>
      </c>
      <c r="H322" s="13" t="s">
        <v>364</v>
      </c>
      <c r="I322" s="13" t="s">
        <v>63</v>
      </c>
      <c r="J322" s="13" t="s">
        <v>97</v>
      </c>
      <c r="K322" s="14" t="s">
        <v>98</v>
      </c>
      <c r="L322" s="14" t="s">
        <v>99</v>
      </c>
      <c r="M322" s="14" t="s">
        <v>100</v>
      </c>
      <c r="N322" s="14" t="s">
        <v>101</v>
      </c>
      <c r="O322" s="13">
        <v>1</v>
      </c>
      <c r="P322" s="16">
        <v>28000</v>
      </c>
      <c r="Q322" s="13">
        <v>20</v>
      </c>
      <c r="R322" s="13">
        <v>18</v>
      </c>
      <c r="S322" s="16">
        <v>26432</v>
      </c>
      <c r="T322" s="14" t="s">
        <v>465</v>
      </c>
      <c r="U322" s="15" t="s">
        <v>174</v>
      </c>
      <c r="V322" s="218" t="s">
        <v>250</v>
      </c>
    </row>
    <row r="323" spans="1:22" ht="15.75" customHeight="1">
      <c r="A323" s="216" t="s">
        <v>1568</v>
      </c>
      <c r="B323" s="18" t="s">
        <v>768</v>
      </c>
      <c r="C323" s="15" t="s">
        <v>271</v>
      </c>
      <c r="D323" s="17" t="s">
        <v>1569</v>
      </c>
      <c r="E323" s="18" t="s">
        <v>1570</v>
      </c>
      <c r="F323" s="18" t="s">
        <v>1571</v>
      </c>
      <c r="G323" s="18" t="s">
        <v>341</v>
      </c>
      <c r="H323" s="17" t="s">
        <v>62</v>
      </c>
      <c r="I323" s="17" t="s">
        <v>63</v>
      </c>
      <c r="J323" s="17" t="s">
        <v>110</v>
      </c>
      <c r="K323" s="18" t="s">
        <v>111</v>
      </c>
      <c r="L323" s="18" t="s">
        <v>112</v>
      </c>
      <c r="M323" s="18" t="s">
        <v>113</v>
      </c>
      <c r="N323" s="18" t="s">
        <v>114</v>
      </c>
      <c r="O323" s="17">
        <v>4</v>
      </c>
      <c r="P323" s="19">
        <v>3500</v>
      </c>
      <c r="Q323" s="17">
        <v>25</v>
      </c>
      <c r="R323" s="17">
        <v>18</v>
      </c>
      <c r="S323" s="19">
        <v>12390</v>
      </c>
      <c r="T323" s="18" t="s">
        <v>465</v>
      </c>
      <c r="U323" s="18" t="s">
        <v>211</v>
      </c>
      <c r="V323" s="218" t="s">
        <v>128</v>
      </c>
    </row>
    <row r="324" spans="1:22" ht="15.75" customHeight="1">
      <c r="A324" s="215" t="s">
        <v>1572</v>
      </c>
      <c r="B324" s="14" t="s">
        <v>1573</v>
      </c>
      <c r="C324" s="15"/>
      <c r="D324" s="13" t="s">
        <v>1574</v>
      </c>
      <c r="E324" s="14" t="s">
        <v>345</v>
      </c>
      <c r="F324" s="14" t="s">
        <v>1575</v>
      </c>
      <c r="G324" s="14" t="s">
        <v>439</v>
      </c>
      <c r="H324" s="13" t="s">
        <v>364</v>
      </c>
      <c r="I324" s="13" t="s">
        <v>63</v>
      </c>
      <c r="J324" s="13" t="s">
        <v>124</v>
      </c>
      <c r="K324" s="14" t="s">
        <v>125</v>
      </c>
      <c r="L324" s="14" t="s">
        <v>99</v>
      </c>
      <c r="M324" s="14" t="s">
        <v>100</v>
      </c>
      <c r="N324" s="14" t="s">
        <v>126</v>
      </c>
      <c r="O324" s="13">
        <v>3</v>
      </c>
      <c r="P324" s="16">
        <v>14000</v>
      </c>
      <c r="Q324" s="13">
        <v>20</v>
      </c>
      <c r="R324" s="13">
        <v>18</v>
      </c>
      <c r="S324" s="16">
        <v>39648</v>
      </c>
      <c r="T324" s="14" t="s">
        <v>413</v>
      </c>
      <c r="U324" s="14" t="s">
        <v>143</v>
      </c>
      <c r="V324" s="218" t="s">
        <v>190</v>
      </c>
    </row>
    <row r="325" spans="1:22" ht="15.75" customHeight="1">
      <c r="A325" s="216" t="s">
        <v>1576</v>
      </c>
      <c r="B325" s="18" t="s">
        <v>1577</v>
      </c>
      <c r="C325" s="15" t="s">
        <v>825</v>
      </c>
      <c r="D325" s="17" t="s">
        <v>1578</v>
      </c>
      <c r="E325" s="18" t="s">
        <v>1579</v>
      </c>
      <c r="F325" s="18" t="s">
        <v>1580</v>
      </c>
      <c r="G325" s="18" t="s">
        <v>248</v>
      </c>
      <c r="H325" s="17" t="s">
        <v>249</v>
      </c>
      <c r="I325" s="17" t="s">
        <v>123</v>
      </c>
      <c r="J325" s="17" t="s">
        <v>347</v>
      </c>
      <c r="K325" s="18" t="s">
        <v>348</v>
      </c>
      <c r="L325" s="18" t="s">
        <v>139</v>
      </c>
      <c r="M325" s="18" t="s">
        <v>349</v>
      </c>
      <c r="N325" s="18" t="s">
        <v>350</v>
      </c>
      <c r="O325" s="20" t="s">
        <v>440</v>
      </c>
      <c r="P325" s="19">
        <v>3200</v>
      </c>
      <c r="Q325" s="17">
        <v>10</v>
      </c>
      <c r="R325" s="17">
        <v>18</v>
      </c>
      <c r="S325" s="19">
        <v>3398</v>
      </c>
      <c r="T325" s="18" t="s">
        <v>86</v>
      </c>
      <c r="U325" s="15" t="s">
        <v>261</v>
      </c>
      <c r="V325" s="218" t="s">
        <v>88</v>
      </c>
    </row>
    <row r="326" spans="1:22" ht="15.75" customHeight="1">
      <c r="A326" s="215" t="s">
        <v>1581</v>
      </c>
      <c r="B326" s="14" t="s">
        <v>1582</v>
      </c>
      <c r="C326" s="15" t="s">
        <v>447</v>
      </c>
      <c r="D326" s="13" t="s">
        <v>1583</v>
      </c>
      <c r="E326" s="14" t="s">
        <v>1584</v>
      </c>
      <c r="F326" s="14" t="s">
        <v>1585</v>
      </c>
      <c r="G326" s="14" t="s">
        <v>95</v>
      </c>
      <c r="H326" s="13" t="s">
        <v>96</v>
      </c>
      <c r="I326" s="13" t="s">
        <v>63</v>
      </c>
      <c r="J326" s="13" t="s">
        <v>97</v>
      </c>
      <c r="K326" s="14" t="s">
        <v>98</v>
      </c>
      <c r="L326" s="14" t="s">
        <v>99</v>
      </c>
      <c r="M326" s="14" t="s">
        <v>100</v>
      </c>
      <c r="N326" s="14" t="s">
        <v>101</v>
      </c>
      <c r="O326" s="13">
        <v>1</v>
      </c>
      <c r="P326" s="16">
        <v>28000</v>
      </c>
      <c r="Q326" s="13">
        <v>8</v>
      </c>
      <c r="R326" s="13">
        <v>18</v>
      </c>
      <c r="S326" s="16">
        <v>30397</v>
      </c>
      <c r="T326" s="14" t="s">
        <v>465</v>
      </c>
      <c r="U326" s="14" t="s">
        <v>184</v>
      </c>
      <c r="V326" s="218" t="s">
        <v>201</v>
      </c>
    </row>
    <row r="327" spans="1:22" ht="15.75" customHeight="1">
      <c r="A327" s="216" t="s">
        <v>1586</v>
      </c>
      <c r="B327" s="18" t="s">
        <v>1587</v>
      </c>
      <c r="C327" s="18" t="s">
        <v>74</v>
      </c>
      <c r="D327" s="17" t="s">
        <v>1588</v>
      </c>
      <c r="E327" s="18" t="s">
        <v>1589</v>
      </c>
      <c r="F327" s="18" t="s">
        <v>1590</v>
      </c>
      <c r="G327" s="18" t="s">
        <v>151</v>
      </c>
      <c r="H327" s="17" t="s">
        <v>152</v>
      </c>
      <c r="I327" s="17" t="s">
        <v>80</v>
      </c>
      <c r="J327" s="17" t="s">
        <v>64</v>
      </c>
      <c r="K327" s="18" t="s">
        <v>65</v>
      </c>
      <c r="L327" s="18" t="s">
        <v>66</v>
      </c>
      <c r="M327" s="18" t="s">
        <v>67</v>
      </c>
      <c r="N327" s="18" t="s">
        <v>68</v>
      </c>
      <c r="O327" s="17">
        <v>10</v>
      </c>
      <c r="P327" s="19">
        <v>450</v>
      </c>
      <c r="Q327" s="17">
        <v>8</v>
      </c>
      <c r="R327" s="17">
        <v>5</v>
      </c>
      <c r="S327" s="19">
        <v>4347</v>
      </c>
      <c r="T327" s="18" t="s">
        <v>86</v>
      </c>
      <c r="U327" s="15" t="s">
        <v>383</v>
      </c>
      <c r="V327" s="218" t="s">
        <v>250</v>
      </c>
    </row>
    <row r="328" spans="1:22" ht="15.75" customHeight="1">
      <c r="A328" s="215" t="s">
        <v>1591</v>
      </c>
      <c r="B328" s="14" t="s">
        <v>752</v>
      </c>
      <c r="C328" s="14" t="s">
        <v>131</v>
      </c>
      <c r="D328" s="13" t="s">
        <v>1592</v>
      </c>
      <c r="E328" s="14" t="s">
        <v>387</v>
      </c>
      <c r="F328" s="14" t="s">
        <v>1593</v>
      </c>
      <c r="G328" s="14" t="s">
        <v>248</v>
      </c>
      <c r="H328" s="13" t="s">
        <v>249</v>
      </c>
      <c r="I328" s="13" t="s">
        <v>123</v>
      </c>
      <c r="J328" s="13" t="s">
        <v>295</v>
      </c>
      <c r="K328" s="14" t="s">
        <v>296</v>
      </c>
      <c r="L328" s="14" t="s">
        <v>66</v>
      </c>
      <c r="M328" s="14" t="s">
        <v>297</v>
      </c>
      <c r="N328" s="14" t="s">
        <v>298</v>
      </c>
      <c r="O328" s="13">
        <v>8</v>
      </c>
      <c r="P328" s="16">
        <v>280</v>
      </c>
      <c r="Q328" s="13">
        <v>5</v>
      </c>
      <c r="R328" s="13">
        <v>5</v>
      </c>
      <c r="S328" s="16">
        <v>2234</v>
      </c>
      <c r="T328" s="14" t="s">
        <v>183</v>
      </c>
      <c r="U328" s="15" t="s">
        <v>383</v>
      </c>
      <c r="V328" s="217" t="s">
        <v>71</v>
      </c>
    </row>
    <row r="329" spans="1:22" ht="15.75" customHeight="1">
      <c r="A329" s="216" t="s">
        <v>1594</v>
      </c>
      <c r="B329" s="18" t="s">
        <v>1595</v>
      </c>
      <c r="C329" s="18" t="s">
        <v>712</v>
      </c>
      <c r="D329" s="17" t="s">
        <v>1596</v>
      </c>
      <c r="E329" s="18" t="s">
        <v>1053</v>
      </c>
      <c r="F329" s="18" t="s">
        <v>1597</v>
      </c>
      <c r="G329" s="18" t="s">
        <v>78</v>
      </c>
      <c r="H329" s="17" t="s">
        <v>79</v>
      </c>
      <c r="I329" s="17" t="s">
        <v>80</v>
      </c>
      <c r="J329" s="17" t="s">
        <v>295</v>
      </c>
      <c r="K329" s="18" t="s">
        <v>296</v>
      </c>
      <c r="L329" s="18" t="s">
        <v>66</v>
      </c>
      <c r="M329" s="18" t="s">
        <v>297</v>
      </c>
      <c r="N329" s="18" t="s">
        <v>298</v>
      </c>
      <c r="O329" s="17">
        <v>4</v>
      </c>
      <c r="P329" s="19">
        <v>280</v>
      </c>
      <c r="Q329" s="17">
        <v>20</v>
      </c>
      <c r="R329" s="17">
        <v>5</v>
      </c>
      <c r="S329" s="19">
        <v>941</v>
      </c>
      <c r="T329" s="18" t="s">
        <v>183</v>
      </c>
      <c r="U329" s="18" t="s">
        <v>143</v>
      </c>
      <c r="V329" s="218" t="s">
        <v>128</v>
      </c>
    </row>
    <row r="330" spans="1:22" ht="15.75" customHeight="1">
      <c r="A330" s="215" t="s">
        <v>1598</v>
      </c>
      <c r="B330" s="14" t="s">
        <v>1582</v>
      </c>
      <c r="C330" s="15" t="s">
        <v>244</v>
      </c>
      <c r="D330" s="13" t="s">
        <v>1599</v>
      </c>
      <c r="E330" s="14" t="s">
        <v>246</v>
      </c>
      <c r="F330" s="14" t="s">
        <v>1600</v>
      </c>
      <c r="G330" s="14" t="s">
        <v>248</v>
      </c>
      <c r="H330" s="13" t="s">
        <v>249</v>
      </c>
      <c r="I330" s="13" t="s">
        <v>123</v>
      </c>
      <c r="J330" s="13" t="s">
        <v>97</v>
      </c>
      <c r="K330" s="14" t="s">
        <v>98</v>
      </c>
      <c r="L330" s="14" t="s">
        <v>99</v>
      </c>
      <c r="M330" s="14" t="s">
        <v>100</v>
      </c>
      <c r="N330" s="14" t="s">
        <v>101</v>
      </c>
      <c r="O330" s="13">
        <v>1</v>
      </c>
      <c r="P330" s="16">
        <v>28000</v>
      </c>
      <c r="Q330" s="13">
        <v>5</v>
      </c>
      <c r="R330" s="13">
        <v>18</v>
      </c>
      <c r="S330" s="16">
        <v>31388</v>
      </c>
      <c r="T330" s="14" t="s">
        <v>153</v>
      </c>
      <c r="U330" s="14" t="s">
        <v>288</v>
      </c>
      <c r="V330" s="218" t="s">
        <v>88</v>
      </c>
    </row>
    <row r="331" spans="1:22" ht="15.75" customHeight="1">
      <c r="A331" s="216" t="s">
        <v>1601</v>
      </c>
      <c r="B331" s="18" t="s">
        <v>371</v>
      </c>
      <c r="C331" s="18" t="s">
        <v>74</v>
      </c>
      <c r="D331" s="17" t="s">
        <v>1602</v>
      </c>
      <c r="E331" s="18" t="s">
        <v>1603</v>
      </c>
      <c r="F331" s="18" t="s">
        <v>1604</v>
      </c>
      <c r="G331" s="18" t="s">
        <v>78</v>
      </c>
      <c r="H331" s="17" t="s">
        <v>79</v>
      </c>
      <c r="I331" s="17" t="s">
        <v>80</v>
      </c>
      <c r="J331" s="17" t="s">
        <v>81</v>
      </c>
      <c r="K331" s="18" t="s">
        <v>82</v>
      </c>
      <c r="L331" s="18" t="s">
        <v>83</v>
      </c>
      <c r="M331" s="18" t="s">
        <v>84</v>
      </c>
      <c r="N331" s="18" t="s">
        <v>85</v>
      </c>
      <c r="O331" s="20" t="s">
        <v>440</v>
      </c>
      <c r="P331" s="19">
        <v>25000</v>
      </c>
      <c r="Q331" s="17">
        <v>20</v>
      </c>
      <c r="R331" s="17">
        <v>3</v>
      </c>
      <c r="S331" s="19">
        <v>20600</v>
      </c>
      <c r="T331" s="18" t="s">
        <v>465</v>
      </c>
      <c r="U331" s="15" t="s">
        <v>174</v>
      </c>
      <c r="V331" s="219" t="s">
        <v>144</v>
      </c>
    </row>
    <row r="332" spans="1:22" ht="15.75" customHeight="1">
      <c r="A332" s="215" t="s">
        <v>1605</v>
      </c>
      <c r="B332" s="14" t="s">
        <v>1490</v>
      </c>
      <c r="C332" s="15" t="s">
        <v>447</v>
      </c>
      <c r="D332" s="13" t="s">
        <v>1606</v>
      </c>
      <c r="E332" s="14" t="s">
        <v>838</v>
      </c>
      <c r="F332" s="14" t="s">
        <v>1607</v>
      </c>
      <c r="G332" s="14" t="s">
        <v>341</v>
      </c>
      <c r="H332" s="13" t="s">
        <v>62</v>
      </c>
      <c r="I332" s="13" t="s">
        <v>63</v>
      </c>
      <c r="J332" s="13" t="s">
        <v>97</v>
      </c>
      <c r="K332" s="14" t="s">
        <v>98</v>
      </c>
      <c r="L332" s="14" t="s">
        <v>99</v>
      </c>
      <c r="M332" s="14" t="s">
        <v>100</v>
      </c>
      <c r="N332" s="14" t="s">
        <v>101</v>
      </c>
      <c r="O332" s="13">
        <v>7</v>
      </c>
      <c r="P332" s="16">
        <v>28000</v>
      </c>
      <c r="Q332" s="13">
        <v>8</v>
      </c>
      <c r="R332" s="13">
        <v>18</v>
      </c>
      <c r="S332" s="16">
        <v>212778</v>
      </c>
      <c r="T332" s="14" t="s">
        <v>102</v>
      </c>
      <c r="U332" s="15" t="s">
        <v>383</v>
      </c>
      <c r="V332" s="218" t="s">
        <v>190</v>
      </c>
    </row>
    <row r="333" spans="1:22" ht="15.75" customHeight="1">
      <c r="A333" s="216" t="s">
        <v>1608</v>
      </c>
      <c r="B333" s="18" t="s">
        <v>1609</v>
      </c>
      <c r="C333" s="15" t="s">
        <v>605</v>
      </c>
      <c r="D333" s="17" t="s">
        <v>1610</v>
      </c>
      <c r="E333" s="18" t="s">
        <v>1150</v>
      </c>
      <c r="F333" s="18" t="s">
        <v>1611</v>
      </c>
      <c r="G333" s="15" t="s">
        <v>274</v>
      </c>
      <c r="H333" s="17" t="s">
        <v>96</v>
      </c>
      <c r="I333" s="20" t="s">
        <v>1612</v>
      </c>
      <c r="J333" s="17" t="s">
        <v>389</v>
      </c>
      <c r="K333" s="18" t="s">
        <v>390</v>
      </c>
      <c r="L333" s="18" t="s">
        <v>99</v>
      </c>
      <c r="M333" s="18" t="s">
        <v>164</v>
      </c>
      <c r="N333" s="18" t="s">
        <v>391</v>
      </c>
      <c r="O333" s="17">
        <v>10</v>
      </c>
      <c r="P333" s="19">
        <v>1500</v>
      </c>
      <c r="Q333" s="17">
        <v>20</v>
      </c>
      <c r="R333" s="17">
        <v>18</v>
      </c>
      <c r="S333" s="19">
        <v>14160</v>
      </c>
      <c r="T333" s="18" t="s">
        <v>86</v>
      </c>
      <c r="U333" s="15" t="s">
        <v>87</v>
      </c>
      <c r="V333" s="219" t="s">
        <v>71</v>
      </c>
    </row>
    <row r="334" spans="1:22" ht="15.75" customHeight="1">
      <c r="A334" s="215" t="s">
        <v>1613</v>
      </c>
      <c r="B334" s="14" t="s">
        <v>841</v>
      </c>
      <c r="C334" s="15" t="s">
        <v>118</v>
      </c>
      <c r="D334" s="13" t="s">
        <v>1614</v>
      </c>
      <c r="E334" s="14" t="s">
        <v>1615</v>
      </c>
      <c r="F334" s="14" t="s">
        <v>1616</v>
      </c>
      <c r="G334" s="15" t="s">
        <v>407</v>
      </c>
      <c r="H334" s="13" t="s">
        <v>152</v>
      </c>
      <c r="I334" s="20" t="s">
        <v>904</v>
      </c>
      <c r="J334" s="13" t="s">
        <v>491</v>
      </c>
      <c r="K334" s="14" t="s">
        <v>492</v>
      </c>
      <c r="L334" s="14" t="s">
        <v>112</v>
      </c>
      <c r="M334" s="14" t="s">
        <v>493</v>
      </c>
      <c r="N334" s="14" t="s">
        <v>494</v>
      </c>
      <c r="O334" s="13">
        <v>9</v>
      </c>
      <c r="P334" s="16">
        <v>4500</v>
      </c>
      <c r="Q334" s="13">
        <v>20</v>
      </c>
      <c r="R334" s="13">
        <v>5</v>
      </c>
      <c r="S334" s="16">
        <v>34020</v>
      </c>
      <c r="T334" s="14" t="s">
        <v>69</v>
      </c>
      <c r="U334" s="15" t="s">
        <v>174</v>
      </c>
      <c r="V334" s="217" t="s">
        <v>212</v>
      </c>
    </row>
    <row r="335" spans="1:22" ht="15.75" customHeight="1">
      <c r="A335" s="216" t="s">
        <v>1617</v>
      </c>
      <c r="B335" s="18" t="s">
        <v>1618</v>
      </c>
      <c r="C335" s="18" t="s">
        <v>712</v>
      </c>
      <c r="D335" s="17" t="s">
        <v>1619</v>
      </c>
      <c r="E335" s="18" t="s">
        <v>714</v>
      </c>
      <c r="F335" s="18" t="s">
        <v>1620</v>
      </c>
      <c r="G335" s="18" t="s">
        <v>485</v>
      </c>
      <c r="H335" s="17" t="s">
        <v>305</v>
      </c>
      <c r="I335" s="17" t="s">
        <v>306</v>
      </c>
      <c r="J335" s="17" t="s">
        <v>365</v>
      </c>
      <c r="K335" s="18" t="s">
        <v>366</v>
      </c>
      <c r="L335" s="18" t="s">
        <v>112</v>
      </c>
      <c r="M335" s="18" t="s">
        <v>367</v>
      </c>
      <c r="N335" s="18" t="s">
        <v>368</v>
      </c>
      <c r="O335" s="17">
        <v>1</v>
      </c>
      <c r="P335" s="19">
        <v>3500</v>
      </c>
      <c r="Q335" s="17">
        <v>10</v>
      </c>
      <c r="R335" s="17">
        <v>5</v>
      </c>
      <c r="S335" s="19">
        <v>3308</v>
      </c>
      <c r="T335" s="18" t="s">
        <v>142</v>
      </c>
      <c r="U335" s="15" t="s">
        <v>174</v>
      </c>
      <c r="V335" s="219" t="s">
        <v>155</v>
      </c>
    </row>
    <row r="336" spans="1:22" ht="15.75" customHeight="1">
      <c r="A336" s="215" t="s">
        <v>1621</v>
      </c>
      <c r="B336" s="14" t="s">
        <v>1622</v>
      </c>
      <c r="C336" s="15" t="s">
        <v>317</v>
      </c>
      <c r="D336" s="13" t="s">
        <v>1623</v>
      </c>
      <c r="E336" s="14" t="s">
        <v>1624</v>
      </c>
      <c r="F336" s="14" t="s">
        <v>1625</v>
      </c>
      <c r="G336" s="14" t="s">
        <v>333</v>
      </c>
      <c r="H336" s="13" t="s">
        <v>334</v>
      </c>
      <c r="I336" s="13" t="s">
        <v>63</v>
      </c>
      <c r="J336" s="13" t="s">
        <v>356</v>
      </c>
      <c r="K336" s="14" t="s">
        <v>357</v>
      </c>
      <c r="L336" s="14" t="s">
        <v>139</v>
      </c>
      <c r="M336" s="14" t="s">
        <v>140</v>
      </c>
      <c r="N336" s="14" t="s">
        <v>358</v>
      </c>
      <c r="O336" s="13">
        <v>7</v>
      </c>
      <c r="P336" s="16">
        <v>42000</v>
      </c>
      <c r="Q336" s="13">
        <v>0</v>
      </c>
      <c r="R336" s="13">
        <v>18</v>
      </c>
      <c r="S336" s="16">
        <v>346920</v>
      </c>
      <c r="T336" s="14" t="s">
        <v>102</v>
      </c>
      <c r="U336" s="15" t="s">
        <v>103</v>
      </c>
      <c r="V336" s="218" t="s">
        <v>201</v>
      </c>
    </row>
    <row r="337" spans="1:22" ht="15.75" customHeight="1">
      <c r="A337" s="216" t="s">
        <v>1626</v>
      </c>
      <c r="B337" s="18" t="s">
        <v>1102</v>
      </c>
      <c r="C337" s="15" t="s">
        <v>447</v>
      </c>
      <c r="D337" s="17" t="s">
        <v>1627</v>
      </c>
      <c r="E337" s="18" t="s">
        <v>1584</v>
      </c>
      <c r="F337" s="18" t="s">
        <v>1628</v>
      </c>
      <c r="G337" s="18" t="s">
        <v>95</v>
      </c>
      <c r="H337" s="17" t="s">
        <v>96</v>
      </c>
      <c r="I337" s="17" t="s">
        <v>63</v>
      </c>
      <c r="J337" s="17" t="s">
        <v>491</v>
      </c>
      <c r="K337" s="18" t="s">
        <v>492</v>
      </c>
      <c r="L337" s="18" t="s">
        <v>112</v>
      </c>
      <c r="M337" s="18" t="s">
        <v>493</v>
      </c>
      <c r="N337" s="18" t="s">
        <v>494</v>
      </c>
      <c r="O337" s="17">
        <v>3</v>
      </c>
      <c r="P337" s="19">
        <v>4500</v>
      </c>
      <c r="Q337" s="17">
        <v>25</v>
      </c>
      <c r="R337" s="17">
        <v>5</v>
      </c>
      <c r="S337" s="19">
        <v>10631</v>
      </c>
      <c r="T337" s="18" t="s">
        <v>69</v>
      </c>
      <c r="U337" s="18" t="s">
        <v>211</v>
      </c>
      <c r="V337" s="219" t="s">
        <v>155</v>
      </c>
    </row>
    <row r="338" spans="1:22" ht="15.75" customHeight="1">
      <c r="A338" s="215" t="s">
        <v>1629</v>
      </c>
      <c r="B338" s="14" t="s">
        <v>1113</v>
      </c>
      <c r="C338" s="15" t="s">
        <v>177</v>
      </c>
      <c r="D338" s="13" t="s">
        <v>1630</v>
      </c>
      <c r="E338" s="14" t="s">
        <v>400</v>
      </c>
      <c r="F338" s="14" t="s">
        <v>1631</v>
      </c>
      <c r="G338" s="14" t="s">
        <v>122</v>
      </c>
      <c r="H338" s="13" t="s">
        <v>122</v>
      </c>
      <c r="I338" s="13" t="s">
        <v>123</v>
      </c>
      <c r="J338" s="13" t="s">
        <v>420</v>
      </c>
      <c r="K338" s="14" t="s">
        <v>421</v>
      </c>
      <c r="L338" s="14" t="s">
        <v>112</v>
      </c>
      <c r="M338" s="14" t="s">
        <v>422</v>
      </c>
      <c r="N338" s="14" t="s">
        <v>423</v>
      </c>
      <c r="O338" s="20" t="s">
        <v>440</v>
      </c>
      <c r="P338" s="16">
        <v>4800</v>
      </c>
      <c r="Q338" s="13">
        <v>20</v>
      </c>
      <c r="R338" s="13">
        <v>18</v>
      </c>
      <c r="S338" s="16">
        <v>4123</v>
      </c>
      <c r="T338" s="14" t="s">
        <v>142</v>
      </c>
      <c r="U338" s="15" t="s">
        <v>383</v>
      </c>
      <c r="V338" s="218" t="s">
        <v>128</v>
      </c>
    </row>
    <row r="339" spans="1:22" ht="15.75" customHeight="1">
      <c r="A339" s="216" t="s">
        <v>1632</v>
      </c>
      <c r="B339" s="18" t="s">
        <v>1633</v>
      </c>
      <c r="C339" s="15" t="s">
        <v>329</v>
      </c>
      <c r="D339" s="17" t="s">
        <v>1634</v>
      </c>
      <c r="E339" s="18" t="s">
        <v>612</v>
      </c>
      <c r="F339" s="18" t="s">
        <v>1635</v>
      </c>
      <c r="G339" s="18" t="s">
        <v>95</v>
      </c>
      <c r="H339" s="17" t="s">
        <v>96</v>
      </c>
      <c r="I339" s="17" t="s">
        <v>63</v>
      </c>
      <c r="J339" s="17" t="s">
        <v>365</v>
      </c>
      <c r="K339" s="18" t="s">
        <v>366</v>
      </c>
      <c r="L339" s="18" t="s">
        <v>112</v>
      </c>
      <c r="M339" s="18" t="s">
        <v>367</v>
      </c>
      <c r="N339" s="18" t="s">
        <v>368</v>
      </c>
      <c r="O339" s="17">
        <v>4</v>
      </c>
      <c r="P339" s="19">
        <v>3500</v>
      </c>
      <c r="Q339" s="17">
        <v>101</v>
      </c>
      <c r="R339" s="17">
        <v>5</v>
      </c>
      <c r="S339" s="20"/>
      <c r="T339" s="18" t="s">
        <v>102</v>
      </c>
      <c r="U339" s="18" t="s">
        <v>143</v>
      </c>
      <c r="V339" s="218" t="s">
        <v>88</v>
      </c>
    </row>
    <row r="340" spans="1:22" ht="15.75" customHeight="1">
      <c r="A340" s="215" t="s">
        <v>1636</v>
      </c>
      <c r="B340" s="14" t="s">
        <v>1637</v>
      </c>
      <c r="C340" s="15" t="s">
        <v>605</v>
      </c>
      <c r="D340" s="13" t="s">
        <v>1638</v>
      </c>
      <c r="E340" s="14" t="s">
        <v>798</v>
      </c>
      <c r="F340" s="14" t="s">
        <v>1639</v>
      </c>
      <c r="G340" s="15" t="s">
        <v>363</v>
      </c>
      <c r="H340" s="13" t="s">
        <v>364</v>
      </c>
      <c r="I340" s="13" t="s">
        <v>63</v>
      </c>
      <c r="J340" s="13" t="s">
        <v>124</v>
      </c>
      <c r="K340" s="14" t="s">
        <v>125</v>
      </c>
      <c r="L340" s="14" t="s">
        <v>99</v>
      </c>
      <c r="M340" s="14" t="s">
        <v>100</v>
      </c>
      <c r="N340" s="14" t="s">
        <v>126</v>
      </c>
      <c r="O340" s="13">
        <v>4</v>
      </c>
      <c r="P340" s="20"/>
      <c r="Q340" s="13">
        <v>0</v>
      </c>
      <c r="R340" s="13">
        <v>18</v>
      </c>
      <c r="S340" s="16">
        <v>0</v>
      </c>
      <c r="T340" s="14" t="s">
        <v>127</v>
      </c>
      <c r="U340" s="15" t="s">
        <v>154</v>
      </c>
      <c r="V340" s="218" t="s">
        <v>190</v>
      </c>
    </row>
    <row r="341" spans="1:22" ht="15.75" customHeight="1">
      <c r="A341" s="216" t="s">
        <v>1640</v>
      </c>
      <c r="B341" s="18" t="s">
        <v>1641</v>
      </c>
      <c r="C341" s="18" t="s">
        <v>416</v>
      </c>
      <c r="D341" s="17" t="s">
        <v>1642</v>
      </c>
      <c r="E341" s="18" t="s">
        <v>1256</v>
      </c>
      <c r="F341" s="18" t="s">
        <v>1643</v>
      </c>
      <c r="G341" s="15" t="s">
        <v>274</v>
      </c>
      <c r="H341" s="17" t="s">
        <v>96</v>
      </c>
      <c r="I341" s="17" t="s">
        <v>63</v>
      </c>
      <c r="J341" s="17" t="s">
        <v>477</v>
      </c>
      <c r="K341" s="18" t="s">
        <v>478</v>
      </c>
      <c r="L341" s="18" t="s">
        <v>139</v>
      </c>
      <c r="M341" s="18" t="s">
        <v>349</v>
      </c>
      <c r="N341" s="18" t="s">
        <v>479</v>
      </c>
      <c r="O341" s="17">
        <v>3</v>
      </c>
      <c r="P341" s="19">
        <v>2200</v>
      </c>
      <c r="Q341" s="20" t="s">
        <v>519</v>
      </c>
      <c r="R341" s="17">
        <v>12</v>
      </c>
      <c r="S341" s="19">
        <v>5544</v>
      </c>
      <c r="T341" s="18" t="s">
        <v>142</v>
      </c>
      <c r="U341" s="15" t="s">
        <v>261</v>
      </c>
      <c r="V341" s="219" t="s">
        <v>144</v>
      </c>
    </row>
    <row r="342" spans="1:22" ht="15.75" customHeight="1">
      <c r="A342" s="215" t="s">
        <v>1644</v>
      </c>
      <c r="B342" s="14" t="s">
        <v>1645</v>
      </c>
      <c r="C342" s="15" t="s">
        <v>57</v>
      </c>
      <c r="D342" s="13" t="s">
        <v>1646</v>
      </c>
      <c r="E342" s="14" t="s">
        <v>1647</v>
      </c>
      <c r="F342" s="14" t="s">
        <v>1648</v>
      </c>
      <c r="G342" s="14" t="s">
        <v>181</v>
      </c>
      <c r="H342" s="13" t="s">
        <v>182</v>
      </c>
      <c r="I342" s="13" t="s">
        <v>123</v>
      </c>
      <c r="J342" s="13" t="s">
        <v>347</v>
      </c>
      <c r="K342" s="14" t="s">
        <v>348</v>
      </c>
      <c r="L342" s="14" t="s">
        <v>139</v>
      </c>
      <c r="M342" s="14" t="s">
        <v>349</v>
      </c>
      <c r="N342" s="14" t="s">
        <v>350</v>
      </c>
      <c r="O342" s="13">
        <v>5</v>
      </c>
      <c r="P342" s="16">
        <v>3200</v>
      </c>
      <c r="Q342" s="13">
        <v>25</v>
      </c>
      <c r="R342" s="13">
        <v>18</v>
      </c>
      <c r="S342" s="16">
        <v>14160</v>
      </c>
      <c r="T342" s="14" t="s">
        <v>102</v>
      </c>
      <c r="U342" s="14" t="s">
        <v>211</v>
      </c>
      <c r="V342" s="217" t="s">
        <v>144</v>
      </c>
    </row>
    <row r="343" spans="1:22" ht="15.75" customHeight="1">
      <c r="A343" s="216" t="s">
        <v>1649</v>
      </c>
      <c r="B343" s="18" t="s">
        <v>1650</v>
      </c>
      <c r="C343" s="15" t="s">
        <v>747</v>
      </c>
      <c r="D343" s="17" t="s">
        <v>1651</v>
      </c>
      <c r="E343" s="18" t="s">
        <v>975</v>
      </c>
      <c r="F343" s="18" t="s">
        <v>1652</v>
      </c>
      <c r="G343" s="15" t="s">
        <v>363</v>
      </c>
      <c r="H343" s="17" t="s">
        <v>364</v>
      </c>
      <c r="I343" s="20" t="s">
        <v>904</v>
      </c>
      <c r="J343" s="17" t="s">
        <v>420</v>
      </c>
      <c r="K343" s="18" t="s">
        <v>421</v>
      </c>
      <c r="L343" s="18" t="s">
        <v>112</v>
      </c>
      <c r="M343" s="18" t="s">
        <v>422</v>
      </c>
      <c r="N343" s="18" t="s">
        <v>423</v>
      </c>
      <c r="O343" s="20" t="s">
        <v>440</v>
      </c>
      <c r="P343" s="19">
        <v>4800</v>
      </c>
      <c r="Q343" s="17">
        <v>10</v>
      </c>
      <c r="R343" s="17">
        <v>18</v>
      </c>
      <c r="S343" s="19">
        <v>5098</v>
      </c>
      <c r="T343" s="18" t="s">
        <v>115</v>
      </c>
      <c r="U343" s="18" t="s">
        <v>143</v>
      </c>
      <c r="V343" s="218" t="s">
        <v>128</v>
      </c>
    </row>
    <row r="344" spans="1:22" ht="15.75" customHeight="1">
      <c r="A344" s="215" t="s">
        <v>1653</v>
      </c>
      <c r="B344" s="14" t="s">
        <v>1654</v>
      </c>
      <c r="C344" s="14" t="s">
        <v>291</v>
      </c>
      <c r="D344" s="13" t="s">
        <v>1655</v>
      </c>
      <c r="E344" s="14" t="s">
        <v>664</v>
      </c>
      <c r="F344" s="14" t="s">
        <v>1656</v>
      </c>
      <c r="G344" s="14" t="s">
        <v>744</v>
      </c>
      <c r="H344" s="13" t="s">
        <v>79</v>
      </c>
      <c r="I344" s="13" t="s">
        <v>80</v>
      </c>
      <c r="J344" s="13" t="s">
        <v>124</v>
      </c>
      <c r="K344" s="14" t="s">
        <v>125</v>
      </c>
      <c r="L344" s="14" t="s">
        <v>99</v>
      </c>
      <c r="M344" s="14" t="s">
        <v>100</v>
      </c>
      <c r="N344" s="14" t="s">
        <v>126</v>
      </c>
      <c r="O344" s="13">
        <v>5</v>
      </c>
      <c r="P344" s="16">
        <v>14000</v>
      </c>
      <c r="Q344" s="13">
        <v>20</v>
      </c>
      <c r="R344" s="13">
        <v>18</v>
      </c>
      <c r="S344" s="16">
        <v>66080</v>
      </c>
      <c r="T344" s="14" t="s">
        <v>69</v>
      </c>
      <c r="U344" s="14" t="s">
        <v>184</v>
      </c>
      <c r="V344" s="217" t="s">
        <v>71</v>
      </c>
    </row>
    <row r="345" spans="1:22" ht="15.75" customHeight="1">
      <c r="A345" s="216" t="s">
        <v>1657</v>
      </c>
      <c r="B345" s="18" t="s">
        <v>1658</v>
      </c>
      <c r="C345" s="18" t="s">
        <v>416</v>
      </c>
      <c r="D345" s="17" t="s">
        <v>1659</v>
      </c>
      <c r="E345" s="18" t="s">
        <v>559</v>
      </c>
      <c r="F345" s="18" t="s">
        <v>1660</v>
      </c>
      <c r="G345" s="18" t="s">
        <v>439</v>
      </c>
      <c r="H345" s="17" t="s">
        <v>364</v>
      </c>
      <c r="I345" s="17" t="s">
        <v>63</v>
      </c>
      <c r="J345" s="17" t="s">
        <v>356</v>
      </c>
      <c r="K345" s="18" t="s">
        <v>357</v>
      </c>
      <c r="L345" s="18" t="s">
        <v>139</v>
      </c>
      <c r="M345" s="18" t="s">
        <v>140</v>
      </c>
      <c r="N345" s="18" t="s">
        <v>358</v>
      </c>
      <c r="O345" s="17">
        <v>10</v>
      </c>
      <c r="P345" s="19">
        <v>42000</v>
      </c>
      <c r="Q345" s="17">
        <v>133</v>
      </c>
      <c r="R345" s="17">
        <v>18</v>
      </c>
      <c r="S345" s="20"/>
      <c r="T345" s="18" t="s">
        <v>69</v>
      </c>
      <c r="U345" s="15" t="s">
        <v>261</v>
      </c>
      <c r="V345" s="218" t="s">
        <v>250</v>
      </c>
    </row>
    <row r="346" spans="1:22" ht="15.75" customHeight="1">
      <c r="A346" s="215" t="s">
        <v>1661</v>
      </c>
      <c r="B346" s="14" t="s">
        <v>1662</v>
      </c>
      <c r="C346" s="15" t="s">
        <v>57</v>
      </c>
      <c r="D346" s="13" t="s">
        <v>1663</v>
      </c>
      <c r="E346" s="14" t="s">
        <v>584</v>
      </c>
      <c r="F346" s="14" t="s">
        <v>1664</v>
      </c>
      <c r="G346" s="14" t="s">
        <v>333</v>
      </c>
      <c r="H346" s="13" t="s">
        <v>334</v>
      </c>
      <c r="I346" s="13" t="s">
        <v>63</v>
      </c>
      <c r="J346" s="13" t="s">
        <v>356</v>
      </c>
      <c r="K346" s="14" t="s">
        <v>357</v>
      </c>
      <c r="L346" s="14" t="s">
        <v>139</v>
      </c>
      <c r="M346" s="14" t="s">
        <v>140</v>
      </c>
      <c r="N346" s="14" t="s">
        <v>358</v>
      </c>
      <c r="O346" s="13">
        <v>6</v>
      </c>
      <c r="P346" s="16">
        <v>42000</v>
      </c>
      <c r="Q346" s="13">
        <v>20</v>
      </c>
      <c r="R346" s="13">
        <v>18</v>
      </c>
      <c r="S346" s="16">
        <v>237888</v>
      </c>
      <c r="T346" s="14" t="s">
        <v>465</v>
      </c>
      <c r="U346" s="15" t="s">
        <v>383</v>
      </c>
      <c r="V346" s="217" t="s">
        <v>155</v>
      </c>
    </row>
    <row r="347" spans="1:22" ht="15.75" customHeight="1">
      <c r="A347" s="216" t="s">
        <v>1665</v>
      </c>
      <c r="B347" s="18" t="s">
        <v>56</v>
      </c>
      <c r="C347" s="15" t="s">
        <v>118</v>
      </c>
      <c r="D347" s="17" t="s">
        <v>1666</v>
      </c>
      <c r="E347" s="18" t="s">
        <v>405</v>
      </c>
      <c r="F347" s="18" t="s">
        <v>1667</v>
      </c>
      <c r="G347" s="15" t="s">
        <v>274</v>
      </c>
      <c r="H347" s="17" t="s">
        <v>96</v>
      </c>
      <c r="I347" s="17" t="s">
        <v>63</v>
      </c>
      <c r="J347" s="17" t="s">
        <v>356</v>
      </c>
      <c r="K347" s="18" t="s">
        <v>357</v>
      </c>
      <c r="L347" s="15" t="s">
        <v>805</v>
      </c>
      <c r="M347" s="18" t="s">
        <v>140</v>
      </c>
      <c r="N347" s="18" t="s">
        <v>358</v>
      </c>
      <c r="O347" s="17">
        <v>10</v>
      </c>
      <c r="P347" s="19">
        <v>42000</v>
      </c>
      <c r="Q347" s="17">
        <v>8</v>
      </c>
      <c r="R347" s="17">
        <v>18</v>
      </c>
      <c r="S347" s="19">
        <v>455952</v>
      </c>
      <c r="T347" s="18" t="s">
        <v>183</v>
      </c>
      <c r="U347" s="15" t="s">
        <v>154</v>
      </c>
      <c r="V347" s="218" t="s">
        <v>250</v>
      </c>
    </row>
    <row r="348" spans="1:22" ht="15.75" customHeight="1">
      <c r="A348" s="215" t="s">
        <v>1668</v>
      </c>
      <c r="B348" s="14" t="s">
        <v>1669</v>
      </c>
      <c r="C348" s="15" t="s">
        <v>431</v>
      </c>
      <c r="D348" s="13" t="s">
        <v>1670</v>
      </c>
      <c r="E348" s="14" t="s">
        <v>1671</v>
      </c>
      <c r="F348" s="14" t="s">
        <v>1672</v>
      </c>
      <c r="G348" s="14" t="s">
        <v>439</v>
      </c>
      <c r="H348" s="13" t="s">
        <v>364</v>
      </c>
      <c r="I348" s="13" t="s">
        <v>63</v>
      </c>
      <c r="J348" s="13" t="s">
        <v>238</v>
      </c>
      <c r="K348" s="14" t="s">
        <v>239</v>
      </c>
      <c r="L348" s="14" t="s">
        <v>112</v>
      </c>
      <c r="M348" s="14" t="s">
        <v>240</v>
      </c>
      <c r="N348" s="14" t="s">
        <v>241</v>
      </c>
      <c r="O348" s="20">
        <v>-1</v>
      </c>
      <c r="P348" s="16">
        <v>2500</v>
      </c>
      <c r="Q348" s="13">
        <v>12</v>
      </c>
      <c r="R348" s="13">
        <v>5</v>
      </c>
      <c r="S348" s="21">
        <v>-2310</v>
      </c>
      <c r="T348" s="14" t="s">
        <v>115</v>
      </c>
      <c r="U348" s="14" t="s">
        <v>70</v>
      </c>
      <c r="V348" s="217" t="s">
        <v>71</v>
      </c>
    </row>
    <row r="349" spans="1:22" ht="15.75" customHeight="1">
      <c r="A349" s="216" t="s">
        <v>1673</v>
      </c>
      <c r="B349" s="18" t="s">
        <v>1622</v>
      </c>
      <c r="C349" s="18" t="s">
        <v>291</v>
      </c>
      <c r="D349" s="17" t="s">
        <v>1674</v>
      </c>
      <c r="E349" s="18" t="s">
        <v>719</v>
      </c>
      <c r="F349" s="18" t="s">
        <v>1675</v>
      </c>
      <c r="G349" s="18" t="s">
        <v>78</v>
      </c>
      <c r="H349" s="17" t="s">
        <v>79</v>
      </c>
      <c r="I349" s="17" t="s">
        <v>80</v>
      </c>
      <c r="J349" s="17" t="s">
        <v>347</v>
      </c>
      <c r="K349" s="18" t="s">
        <v>348</v>
      </c>
      <c r="L349" s="18" t="s">
        <v>139</v>
      </c>
      <c r="M349" s="18" t="s">
        <v>349</v>
      </c>
      <c r="N349" s="18" t="s">
        <v>350</v>
      </c>
      <c r="O349" s="17">
        <v>2</v>
      </c>
      <c r="P349" s="19">
        <v>3200</v>
      </c>
      <c r="Q349" s="17">
        <v>10</v>
      </c>
      <c r="R349" s="17">
        <v>18</v>
      </c>
      <c r="S349" s="19">
        <v>6797</v>
      </c>
      <c r="T349" s="18" t="s">
        <v>465</v>
      </c>
      <c r="U349" s="18" t="s">
        <v>288</v>
      </c>
      <c r="V349" s="219" t="s">
        <v>155</v>
      </c>
    </row>
    <row r="350" spans="1:22" ht="15.75" customHeight="1">
      <c r="A350" s="215" t="s">
        <v>1676</v>
      </c>
      <c r="B350" s="14" t="s">
        <v>1677</v>
      </c>
      <c r="C350" s="14" t="s">
        <v>264</v>
      </c>
      <c r="D350" s="13" t="s">
        <v>1678</v>
      </c>
      <c r="E350" s="14" t="s">
        <v>1679</v>
      </c>
      <c r="F350" s="14" t="s">
        <v>1680</v>
      </c>
      <c r="G350" s="15" t="s">
        <v>407</v>
      </c>
      <c r="H350" s="13" t="s">
        <v>152</v>
      </c>
      <c r="I350" s="13" t="s">
        <v>80</v>
      </c>
      <c r="J350" s="13" t="s">
        <v>897</v>
      </c>
      <c r="K350" s="14" t="s">
        <v>898</v>
      </c>
      <c r="L350" s="14" t="s">
        <v>139</v>
      </c>
      <c r="M350" s="14" t="s">
        <v>140</v>
      </c>
      <c r="N350" s="14" t="s">
        <v>899</v>
      </c>
      <c r="O350" s="13">
        <v>6</v>
      </c>
      <c r="P350" s="16">
        <v>38000</v>
      </c>
      <c r="Q350" s="13">
        <v>0</v>
      </c>
      <c r="R350" s="13">
        <v>18</v>
      </c>
      <c r="S350" s="16">
        <v>269040</v>
      </c>
      <c r="T350" s="14" t="s">
        <v>465</v>
      </c>
      <c r="U350" s="15" t="s">
        <v>174</v>
      </c>
      <c r="V350" s="218" t="s">
        <v>250</v>
      </c>
    </row>
    <row r="351" spans="1:22" ht="15.75" customHeight="1">
      <c r="A351" s="216" t="s">
        <v>1681</v>
      </c>
      <c r="B351" s="18" t="s">
        <v>1682</v>
      </c>
      <c r="C351" s="18" t="s">
        <v>372</v>
      </c>
      <c r="D351" s="17" t="s">
        <v>1683</v>
      </c>
      <c r="E351" s="18" t="s">
        <v>374</v>
      </c>
      <c r="F351" s="18" t="s">
        <v>1684</v>
      </c>
      <c r="G351" s="18" t="s">
        <v>135</v>
      </c>
      <c r="H351" s="17" t="s">
        <v>136</v>
      </c>
      <c r="I351" s="17" t="s">
        <v>63</v>
      </c>
      <c r="J351" s="17" t="s">
        <v>420</v>
      </c>
      <c r="K351" s="18" t="s">
        <v>421</v>
      </c>
      <c r="L351" s="18" t="s">
        <v>112</v>
      </c>
      <c r="M351" s="18" t="s">
        <v>422</v>
      </c>
      <c r="N351" s="18" t="s">
        <v>423</v>
      </c>
      <c r="O351" s="20">
        <v>-3</v>
      </c>
      <c r="P351" s="19">
        <v>4800</v>
      </c>
      <c r="Q351" s="17">
        <v>25</v>
      </c>
      <c r="R351" s="17">
        <v>18</v>
      </c>
      <c r="S351" s="21">
        <v>-12744</v>
      </c>
      <c r="T351" s="18" t="s">
        <v>153</v>
      </c>
      <c r="U351" s="15" t="s">
        <v>383</v>
      </c>
      <c r="V351" s="218" t="s">
        <v>250</v>
      </c>
    </row>
    <row r="352" spans="1:22" ht="15.75" customHeight="1">
      <c r="A352" s="215" t="s">
        <v>1685</v>
      </c>
      <c r="B352" s="14" t="s">
        <v>1686</v>
      </c>
      <c r="C352" s="15" t="s">
        <v>329</v>
      </c>
      <c r="D352" s="13" t="s">
        <v>1687</v>
      </c>
      <c r="E352" s="14" t="s">
        <v>1243</v>
      </c>
      <c r="F352" s="14" t="s">
        <v>1688</v>
      </c>
      <c r="G352" s="15" t="s">
        <v>274</v>
      </c>
      <c r="H352" s="13" t="s">
        <v>96</v>
      </c>
      <c r="I352" s="13" t="s">
        <v>63</v>
      </c>
      <c r="J352" s="13" t="s">
        <v>257</v>
      </c>
      <c r="K352" s="14" t="s">
        <v>258</v>
      </c>
      <c r="L352" s="14" t="s">
        <v>139</v>
      </c>
      <c r="M352" s="14" t="s">
        <v>259</v>
      </c>
      <c r="N352" s="14" t="s">
        <v>260</v>
      </c>
      <c r="O352" s="13">
        <v>9</v>
      </c>
      <c r="P352" s="16">
        <v>299</v>
      </c>
      <c r="Q352" s="13">
        <v>25</v>
      </c>
      <c r="R352" s="13">
        <v>18</v>
      </c>
      <c r="S352" s="16">
        <v>2382</v>
      </c>
      <c r="T352" s="14" t="s">
        <v>102</v>
      </c>
      <c r="U352" s="14" t="s">
        <v>143</v>
      </c>
      <c r="V352" s="217" t="s">
        <v>212</v>
      </c>
    </row>
    <row r="353" spans="1:22" ht="15.75" customHeight="1">
      <c r="A353" s="216" t="s">
        <v>1689</v>
      </c>
      <c r="B353" s="18" t="s">
        <v>787</v>
      </c>
      <c r="C353" s="18" t="s">
        <v>1249</v>
      </c>
      <c r="D353" s="17" t="s">
        <v>1690</v>
      </c>
      <c r="E353" s="18" t="s">
        <v>1269</v>
      </c>
      <c r="F353" s="18" t="s">
        <v>1691</v>
      </c>
      <c r="G353" s="15" t="s">
        <v>407</v>
      </c>
      <c r="H353" s="17" t="s">
        <v>152</v>
      </c>
      <c r="I353" s="17" t="s">
        <v>80</v>
      </c>
      <c r="J353" s="17" t="s">
        <v>420</v>
      </c>
      <c r="K353" s="18" t="s">
        <v>421</v>
      </c>
      <c r="L353" s="18" t="s">
        <v>112</v>
      </c>
      <c r="M353" s="18" t="s">
        <v>422</v>
      </c>
      <c r="N353" s="18" t="s">
        <v>423</v>
      </c>
      <c r="O353" s="17">
        <v>2</v>
      </c>
      <c r="P353" s="19">
        <v>4800</v>
      </c>
      <c r="Q353" s="17">
        <v>5</v>
      </c>
      <c r="R353" s="17">
        <v>18</v>
      </c>
      <c r="S353" s="19">
        <v>10762</v>
      </c>
      <c r="T353" s="18" t="s">
        <v>69</v>
      </c>
      <c r="U353" s="15" t="s">
        <v>154</v>
      </c>
      <c r="V353" s="219" t="s">
        <v>144</v>
      </c>
    </row>
    <row r="354" spans="1:22" ht="15.75" customHeight="1">
      <c r="A354" s="215" t="s">
        <v>1692</v>
      </c>
      <c r="B354" s="14" t="s">
        <v>1693</v>
      </c>
      <c r="C354" s="14" t="s">
        <v>627</v>
      </c>
      <c r="D354" s="13" t="s">
        <v>1694</v>
      </c>
      <c r="E354" s="14"/>
      <c r="F354" s="14" t="s">
        <v>1695</v>
      </c>
      <c r="G354" s="14" t="s">
        <v>151</v>
      </c>
      <c r="H354" s="13" t="s">
        <v>152</v>
      </c>
      <c r="I354" s="13" t="s">
        <v>80</v>
      </c>
      <c r="J354" s="13" t="s">
        <v>477</v>
      </c>
      <c r="K354" s="14" t="s">
        <v>478</v>
      </c>
      <c r="L354" s="14" t="s">
        <v>139</v>
      </c>
      <c r="M354" s="14" t="s">
        <v>349</v>
      </c>
      <c r="N354" s="14" t="s">
        <v>479</v>
      </c>
      <c r="O354" s="13">
        <v>1</v>
      </c>
      <c r="P354" s="16">
        <v>2200</v>
      </c>
      <c r="Q354" s="13">
        <v>20</v>
      </c>
      <c r="R354" s="13">
        <v>12</v>
      </c>
      <c r="S354" s="16">
        <v>1971</v>
      </c>
      <c r="T354" s="14" t="s">
        <v>115</v>
      </c>
      <c r="U354" s="15" t="s">
        <v>103</v>
      </c>
      <c r="V354" s="218" t="s">
        <v>88</v>
      </c>
    </row>
    <row r="355" spans="1:22" ht="15.75" customHeight="1">
      <c r="A355" s="216" t="s">
        <v>1696</v>
      </c>
      <c r="B355" s="18" t="s">
        <v>1697</v>
      </c>
      <c r="C355" s="15" t="s">
        <v>91</v>
      </c>
      <c r="D355" s="17" t="s">
        <v>1698</v>
      </c>
      <c r="E355" s="18" t="s">
        <v>876</v>
      </c>
      <c r="F355" s="18" t="s">
        <v>1699</v>
      </c>
      <c r="G355" s="15" t="s">
        <v>407</v>
      </c>
      <c r="H355" s="17" t="s">
        <v>152</v>
      </c>
      <c r="I355" s="17" t="s">
        <v>80</v>
      </c>
      <c r="J355" s="17" t="s">
        <v>389</v>
      </c>
      <c r="K355" s="18" t="s">
        <v>390</v>
      </c>
      <c r="L355" s="18" t="s">
        <v>99</v>
      </c>
      <c r="M355" s="18" t="s">
        <v>164</v>
      </c>
      <c r="N355" s="18" t="s">
        <v>391</v>
      </c>
      <c r="O355" s="17">
        <v>1</v>
      </c>
      <c r="P355" s="19">
        <v>1500</v>
      </c>
      <c r="Q355" s="17">
        <v>25</v>
      </c>
      <c r="R355" s="17">
        <v>18</v>
      </c>
      <c r="S355" s="19">
        <v>1328</v>
      </c>
      <c r="T355" s="18" t="s">
        <v>69</v>
      </c>
      <c r="U355" s="18" t="s">
        <v>211</v>
      </c>
      <c r="V355" s="218" t="s">
        <v>190</v>
      </c>
    </row>
    <row r="356" spans="1:22" ht="15.75" customHeight="1">
      <c r="A356" s="215" t="s">
        <v>1700</v>
      </c>
      <c r="B356" s="14" t="s">
        <v>1633</v>
      </c>
      <c r="C356" s="15" t="s">
        <v>410</v>
      </c>
      <c r="D356" s="13" t="s">
        <v>1701</v>
      </c>
      <c r="E356" s="14" t="s">
        <v>507</v>
      </c>
      <c r="F356" s="14" t="s">
        <v>1702</v>
      </c>
      <c r="G356" s="15" t="s">
        <v>407</v>
      </c>
      <c r="H356" s="13" t="s">
        <v>152</v>
      </c>
      <c r="I356" s="13" t="s">
        <v>80</v>
      </c>
      <c r="J356" s="13" t="s">
        <v>365</v>
      </c>
      <c r="K356" s="14" t="s">
        <v>366</v>
      </c>
      <c r="L356" s="14" t="s">
        <v>112</v>
      </c>
      <c r="M356" s="14" t="s">
        <v>367</v>
      </c>
      <c r="N356" s="14" t="s">
        <v>368</v>
      </c>
      <c r="O356" s="13">
        <v>9</v>
      </c>
      <c r="P356" s="16">
        <v>3500</v>
      </c>
      <c r="Q356" s="13">
        <v>20</v>
      </c>
      <c r="R356" s="13">
        <v>5</v>
      </c>
      <c r="S356" s="16">
        <v>26460</v>
      </c>
      <c r="T356" s="14" t="s">
        <v>413</v>
      </c>
      <c r="U356" s="15" t="s">
        <v>103</v>
      </c>
      <c r="V356" s="218" t="s">
        <v>250</v>
      </c>
    </row>
    <row r="357" spans="1:22" ht="15.75" customHeight="1">
      <c r="A357" s="216" t="s">
        <v>1703</v>
      </c>
      <c r="B357" s="18" t="s">
        <v>1704</v>
      </c>
      <c r="C357" s="15" t="s">
        <v>317</v>
      </c>
      <c r="D357" s="17" t="s">
        <v>1705</v>
      </c>
      <c r="E357" s="18" t="s">
        <v>1706</v>
      </c>
      <c r="F357" s="18" t="s">
        <v>1707</v>
      </c>
      <c r="G357" s="18" t="s">
        <v>341</v>
      </c>
      <c r="H357" s="17" t="s">
        <v>62</v>
      </c>
      <c r="I357" s="17" t="s">
        <v>63</v>
      </c>
      <c r="J357" s="17" t="s">
        <v>110</v>
      </c>
      <c r="K357" s="18" t="s">
        <v>111</v>
      </c>
      <c r="L357" s="18" t="s">
        <v>112</v>
      </c>
      <c r="M357" s="18" t="s">
        <v>113</v>
      </c>
      <c r="N357" s="18" t="s">
        <v>114</v>
      </c>
      <c r="O357" s="17">
        <v>4</v>
      </c>
      <c r="P357" s="19">
        <v>3500</v>
      </c>
      <c r="Q357" s="17">
        <v>5</v>
      </c>
      <c r="R357" s="17">
        <v>18</v>
      </c>
      <c r="S357" s="19">
        <v>15694</v>
      </c>
      <c r="T357" s="18" t="s">
        <v>69</v>
      </c>
      <c r="U357" s="15" t="s">
        <v>154</v>
      </c>
      <c r="V357" s="218" t="s">
        <v>128</v>
      </c>
    </row>
    <row r="358" spans="1:22" ht="15.75" customHeight="1">
      <c r="A358" s="215" t="s">
        <v>1708</v>
      </c>
      <c r="B358" s="14" t="s">
        <v>1709</v>
      </c>
      <c r="C358" s="14" t="s">
        <v>74</v>
      </c>
      <c r="D358" s="13" t="s">
        <v>1710</v>
      </c>
      <c r="E358" s="14" t="s">
        <v>1711</v>
      </c>
      <c r="F358" s="14" t="s">
        <v>1712</v>
      </c>
      <c r="G358" s="15" t="s">
        <v>274</v>
      </c>
      <c r="H358" s="13" t="s">
        <v>96</v>
      </c>
      <c r="I358" s="13" t="s">
        <v>63</v>
      </c>
      <c r="J358" s="13" t="s">
        <v>389</v>
      </c>
      <c r="K358" s="14" t="s">
        <v>390</v>
      </c>
      <c r="L358" s="14" t="s">
        <v>99</v>
      </c>
      <c r="M358" s="14" t="s">
        <v>164</v>
      </c>
      <c r="N358" s="14" t="s">
        <v>391</v>
      </c>
      <c r="O358" s="13">
        <v>8</v>
      </c>
      <c r="P358" s="16">
        <v>1500</v>
      </c>
      <c r="Q358" s="13">
        <v>5</v>
      </c>
      <c r="R358" s="13">
        <v>18</v>
      </c>
      <c r="S358" s="16">
        <v>13452</v>
      </c>
      <c r="T358" s="14" t="s">
        <v>127</v>
      </c>
      <c r="U358" s="15" t="s">
        <v>154</v>
      </c>
      <c r="V358" s="217" t="s">
        <v>71</v>
      </c>
    </row>
    <row r="359" spans="1:22" ht="15.75" customHeight="1">
      <c r="A359" s="216" t="s">
        <v>1713</v>
      </c>
      <c r="B359" s="18" t="s">
        <v>1714</v>
      </c>
      <c r="C359" s="15" t="s">
        <v>193</v>
      </c>
      <c r="D359" s="17" t="s">
        <v>1715</v>
      </c>
      <c r="E359" s="18" t="s">
        <v>195</v>
      </c>
      <c r="F359" s="18" t="s">
        <v>1716</v>
      </c>
      <c r="G359" s="18" t="s">
        <v>744</v>
      </c>
      <c r="H359" s="17" t="s">
        <v>79</v>
      </c>
      <c r="I359" s="20" t="s">
        <v>834</v>
      </c>
      <c r="J359" s="17" t="s">
        <v>207</v>
      </c>
      <c r="K359" s="18" t="s">
        <v>208</v>
      </c>
      <c r="L359" s="18" t="s">
        <v>99</v>
      </c>
      <c r="M359" s="18" t="s">
        <v>209</v>
      </c>
      <c r="N359" s="18" t="s">
        <v>210</v>
      </c>
      <c r="O359" s="17">
        <v>7</v>
      </c>
      <c r="P359" s="19">
        <v>55000</v>
      </c>
      <c r="Q359" s="17">
        <v>8</v>
      </c>
      <c r="R359" s="17">
        <v>18</v>
      </c>
      <c r="S359" s="19">
        <v>417956</v>
      </c>
      <c r="T359" s="18" t="s">
        <v>183</v>
      </c>
      <c r="U359" s="15" t="s">
        <v>103</v>
      </c>
      <c r="V359" s="219" t="s">
        <v>71</v>
      </c>
    </row>
    <row r="360" spans="1:22" ht="15.75" customHeight="1">
      <c r="A360" s="215" t="s">
        <v>1717</v>
      </c>
      <c r="B360" s="14" t="s">
        <v>604</v>
      </c>
      <c r="C360" s="15" t="s">
        <v>118</v>
      </c>
      <c r="D360" s="13" t="s">
        <v>1718</v>
      </c>
      <c r="E360" s="14" t="s">
        <v>310</v>
      </c>
      <c r="F360" s="14" t="s">
        <v>1719</v>
      </c>
      <c r="G360" s="14" t="s">
        <v>485</v>
      </c>
      <c r="H360" s="13" t="s">
        <v>305</v>
      </c>
      <c r="I360" s="20" t="s">
        <v>834</v>
      </c>
      <c r="J360" s="13" t="s">
        <v>897</v>
      </c>
      <c r="K360" s="14" t="s">
        <v>898</v>
      </c>
      <c r="L360" s="14" t="s">
        <v>139</v>
      </c>
      <c r="M360" s="14" t="s">
        <v>140</v>
      </c>
      <c r="N360" s="14" t="s">
        <v>899</v>
      </c>
      <c r="O360" s="13">
        <v>9</v>
      </c>
      <c r="P360" s="16">
        <v>38000</v>
      </c>
      <c r="Q360" s="13">
        <v>12</v>
      </c>
      <c r="R360" s="13">
        <v>18</v>
      </c>
      <c r="S360" s="16">
        <v>355133</v>
      </c>
      <c r="T360" s="14" t="s">
        <v>102</v>
      </c>
      <c r="U360" s="14" t="s">
        <v>211</v>
      </c>
      <c r="V360" s="218" t="s">
        <v>88</v>
      </c>
    </row>
    <row r="361" spans="1:22" ht="15.75" customHeight="1">
      <c r="A361" s="216" t="s">
        <v>1720</v>
      </c>
      <c r="B361" s="18" t="s">
        <v>1721</v>
      </c>
      <c r="C361" s="18" t="s">
        <v>728</v>
      </c>
      <c r="D361" s="17" t="s">
        <v>1722</v>
      </c>
      <c r="E361" s="18" t="s">
        <v>1142</v>
      </c>
      <c r="F361" s="18" t="s">
        <v>1723</v>
      </c>
      <c r="G361" s="18" t="s">
        <v>439</v>
      </c>
      <c r="H361" s="17" t="s">
        <v>364</v>
      </c>
      <c r="I361" s="17" t="s">
        <v>63</v>
      </c>
      <c r="J361" s="17" t="s">
        <v>257</v>
      </c>
      <c r="K361" s="18" t="s">
        <v>258</v>
      </c>
      <c r="L361" s="18" t="s">
        <v>139</v>
      </c>
      <c r="M361" s="18" t="s">
        <v>259</v>
      </c>
      <c r="N361" s="18" t="s">
        <v>260</v>
      </c>
      <c r="O361" s="17">
        <v>9</v>
      </c>
      <c r="P361" s="19">
        <v>299</v>
      </c>
      <c r="Q361" s="17">
        <v>10</v>
      </c>
      <c r="R361" s="17">
        <v>18</v>
      </c>
      <c r="S361" s="19">
        <v>2858</v>
      </c>
      <c r="T361" s="18" t="s">
        <v>115</v>
      </c>
      <c r="U361" s="15" t="s">
        <v>87</v>
      </c>
      <c r="V361" s="219" t="s">
        <v>144</v>
      </c>
    </row>
    <row r="362" spans="1:22" ht="15.75" customHeight="1">
      <c r="A362" s="215" t="s">
        <v>1724</v>
      </c>
      <c r="B362" s="14" t="s">
        <v>1725</v>
      </c>
      <c r="C362" s="15" t="s">
        <v>224</v>
      </c>
      <c r="D362" s="13" t="s">
        <v>1726</v>
      </c>
      <c r="E362" s="14" t="s">
        <v>528</v>
      </c>
      <c r="F362" s="14" t="s">
        <v>1727</v>
      </c>
      <c r="G362" s="14" t="s">
        <v>485</v>
      </c>
      <c r="H362" s="13" t="s">
        <v>305</v>
      </c>
      <c r="I362" s="13" t="s">
        <v>306</v>
      </c>
      <c r="J362" s="13" t="s">
        <v>491</v>
      </c>
      <c r="K362" s="14" t="s">
        <v>492</v>
      </c>
      <c r="L362" s="14" t="s">
        <v>112</v>
      </c>
      <c r="M362" s="14" t="s">
        <v>493</v>
      </c>
      <c r="N362" s="14" t="s">
        <v>494</v>
      </c>
      <c r="O362" s="13">
        <v>4</v>
      </c>
      <c r="P362" s="16">
        <v>4500</v>
      </c>
      <c r="Q362" s="13">
        <v>10</v>
      </c>
      <c r="R362" s="13">
        <v>5</v>
      </c>
      <c r="S362" s="16">
        <v>17010</v>
      </c>
      <c r="T362" s="14" t="s">
        <v>183</v>
      </c>
      <c r="U362" s="15" t="s">
        <v>87</v>
      </c>
      <c r="V362" s="218" t="s">
        <v>128</v>
      </c>
    </row>
    <row r="363" spans="1:22" ht="15.75" customHeight="1">
      <c r="A363" s="216" t="s">
        <v>1728</v>
      </c>
      <c r="B363" s="18" t="s">
        <v>1729</v>
      </c>
      <c r="C363" s="18" t="s">
        <v>482</v>
      </c>
      <c r="D363" s="17" t="s">
        <v>1730</v>
      </c>
      <c r="E363" s="18" t="s">
        <v>484</v>
      </c>
      <c r="F363" s="18" t="s">
        <v>1731</v>
      </c>
      <c r="G363" s="18" t="s">
        <v>78</v>
      </c>
      <c r="H363" s="17" t="s">
        <v>79</v>
      </c>
      <c r="I363" s="17" t="s">
        <v>80</v>
      </c>
      <c r="J363" s="17" t="s">
        <v>477</v>
      </c>
      <c r="K363" s="18" t="s">
        <v>478</v>
      </c>
      <c r="L363" s="18" t="s">
        <v>139</v>
      </c>
      <c r="M363" s="18" t="s">
        <v>349</v>
      </c>
      <c r="N363" s="18" t="s">
        <v>479</v>
      </c>
      <c r="O363" s="17">
        <v>6</v>
      </c>
      <c r="P363" s="19">
        <v>2200</v>
      </c>
      <c r="Q363" s="17">
        <v>5</v>
      </c>
      <c r="R363" s="17">
        <v>12</v>
      </c>
      <c r="S363" s="19">
        <v>14045</v>
      </c>
      <c r="T363" s="18" t="s">
        <v>153</v>
      </c>
      <c r="U363" s="18" t="s">
        <v>143</v>
      </c>
      <c r="V363" s="218" t="s">
        <v>128</v>
      </c>
    </row>
    <row r="364" spans="1:22" ht="15.75" customHeight="1">
      <c r="A364" s="215" t="s">
        <v>1732</v>
      </c>
      <c r="B364" s="14" t="s">
        <v>1733</v>
      </c>
      <c r="C364" s="14" t="s">
        <v>337</v>
      </c>
      <c r="D364" s="13" t="s">
        <v>1734</v>
      </c>
      <c r="E364" s="14" t="s">
        <v>574</v>
      </c>
      <c r="F364" s="14" t="s">
        <v>1735</v>
      </c>
      <c r="G364" s="15" t="s">
        <v>363</v>
      </c>
      <c r="H364" s="13" t="s">
        <v>364</v>
      </c>
      <c r="I364" s="13" t="s">
        <v>63</v>
      </c>
      <c r="J364" s="13" t="s">
        <v>477</v>
      </c>
      <c r="K364" s="14" t="s">
        <v>478</v>
      </c>
      <c r="L364" s="14" t="s">
        <v>139</v>
      </c>
      <c r="M364" s="14" t="s">
        <v>349</v>
      </c>
      <c r="N364" s="14" t="s">
        <v>479</v>
      </c>
      <c r="O364" s="13">
        <v>6</v>
      </c>
      <c r="P364" s="16">
        <v>2200</v>
      </c>
      <c r="Q364" s="13">
        <v>20</v>
      </c>
      <c r="R364" s="13">
        <v>12</v>
      </c>
      <c r="S364" s="16">
        <v>15024</v>
      </c>
      <c r="T364" s="14" t="s">
        <v>115</v>
      </c>
      <c r="U364" s="15" t="s">
        <v>154</v>
      </c>
      <c r="V364" s="218" t="s">
        <v>128</v>
      </c>
    </row>
    <row r="365" spans="1:22" ht="15.75" customHeight="1">
      <c r="A365" s="216" t="s">
        <v>1736</v>
      </c>
      <c r="B365" s="18" t="s">
        <v>1737</v>
      </c>
      <c r="C365" s="18" t="s">
        <v>372</v>
      </c>
      <c r="D365" s="17" t="s">
        <v>1738</v>
      </c>
      <c r="E365" s="18" t="s">
        <v>618</v>
      </c>
      <c r="F365" s="18" t="s">
        <v>1739</v>
      </c>
      <c r="G365" s="15" t="s">
        <v>304</v>
      </c>
      <c r="H365" s="17" t="s">
        <v>305</v>
      </c>
      <c r="I365" s="17" t="s">
        <v>306</v>
      </c>
      <c r="J365" s="17" t="s">
        <v>97</v>
      </c>
      <c r="K365" s="18" t="s">
        <v>98</v>
      </c>
      <c r="L365" s="18" t="s">
        <v>99</v>
      </c>
      <c r="M365" s="18" t="s">
        <v>100</v>
      </c>
      <c r="N365" s="18" t="s">
        <v>101</v>
      </c>
      <c r="O365" s="17">
        <v>5</v>
      </c>
      <c r="P365" s="19">
        <v>28000</v>
      </c>
      <c r="Q365" s="17">
        <v>10</v>
      </c>
      <c r="R365" s="17">
        <v>18</v>
      </c>
      <c r="S365" s="19">
        <v>148680</v>
      </c>
      <c r="T365" s="18" t="s">
        <v>69</v>
      </c>
      <c r="U365" s="15" t="s">
        <v>383</v>
      </c>
      <c r="V365" s="219" t="s">
        <v>212</v>
      </c>
    </row>
    <row r="366" spans="1:22" ht="15.75" customHeight="1">
      <c r="A366" s="215" t="s">
        <v>1740</v>
      </c>
      <c r="B366" s="14" t="s">
        <v>1741</v>
      </c>
      <c r="C366" s="14" t="s">
        <v>461</v>
      </c>
      <c r="D366" s="13" t="s">
        <v>1742</v>
      </c>
      <c r="E366" s="14" t="s">
        <v>656</v>
      </c>
      <c r="F366" s="14" t="s">
        <v>1743</v>
      </c>
      <c r="G366" s="14" t="s">
        <v>181</v>
      </c>
      <c r="H366" s="13" t="s">
        <v>182</v>
      </c>
      <c r="I366" s="13" t="s">
        <v>123</v>
      </c>
      <c r="J366" s="13" t="s">
        <v>595</v>
      </c>
      <c r="K366" s="14"/>
      <c r="L366" s="14" t="s">
        <v>112</v>
      </c>
      <c r="M366" s="14" t="s">
        <v>240</v>
      </c>
      <c r="N366" s="14" t="s">
        <v>597</v>
      </c>
      <c r="O366" s="13">
        <v>3</v>
      </c>
      <c r="P366" s="16">
        <v>1200</v>
      </c>
      <c r="Q366" s="13">
        <v>5</v>
      </c>
      <c r="R366" s="13">
        <v>5</v>
      </c>
      <c r="S366" s="16">
        <v>3591</v>
      </c>
      <c r="T366" s="14" t="s">
        <v>465</v>
      </c>
      <c r="U366" s="15" t="s">
        <v>261</v>
      </c>
      <c r="V366" s="217" t="s">
        <v>144</v>
      </c>
    </row>
    <row r="367" spans="1:22" ht="15.75" customHeight="1">
      <c r="A367" s="216" t="s">
        <v>1744</v>
      </c>
      <c r="B367" s="18" t="s">
        <v>1745</v>
      </c>
      <c r="C367" s="15" t="s">
        <v>541</v>
      </c>
      <c r="D367" s="17" t="s">
        <v>1746</v>
      </c>
      <c r="E367" s="18" t="s">
        <v>693</v>
      </c>
      <c r="F367" s="18" t="s">
        <v>1747</v>
      </c>
      <c r="G367" s="15" t="s">
        <v>268</v>
      </c>
      <c r="H367" s="17" t="s">
        <v>122</v>
      </c>
      <c r="I367" s="17" t="s">
        <v>123</v>
      </c>
      <c r="J367" s="17" t="s">
        <v>356</v>
      </c>
      <c r="K367" s="18" t="s">
        <v>357</v>
      </c>
      <c r="L367" s="18" t="s">
        <v>139</v>
      </c>
      <c r="M367" s="18" t="s">
        <v>140</v>
      </c>
      <c r="N367" s="18" t="s">
        <v>358</v>
      </c>
      <c r="O367" s="17">
        <v>7</v>
      </c>
      <c r="P367" s="19">
        <v>42000</v>
      </c>
      <c r="Q367" s="17">
        <v>10</v>
      </c>
      <c r="R367" s="17">
        <v>18</v>
      </c>
      <c r="S367" s="19">
        <v>312228</v>
      </c>
      <c r="T367" s="18" t="s">
        <v>127</v>
      </c>
      <c r="U367" s="18" t="s">
        <v>288</v>
      </c>
      <c r="V367" s="219" t="s">
        <v>71</v>
      </c>
    </row>
    <row r="368" spans="1:22" ht="15.75" customHeight="1">
      <c r="A368" s="215" t="s">
        <v>1748</v>
      </c>
      <c r="B368" s="14" t="s">
        <v>336</v>
      </c>
      <c r="C368" s="15"/>
      <c r="D368" s="13" t="s">
        <v>1749</v>
      </c>
      <c r="E368" s="14" t="s">
        <v>489</v>
      </c>
      <c r="F368" s="14" t="s">
        <v>1750</v>
      </c>
      <c r="G368" s="14" t="s">
        <v>228</v>
      </c>
      <c r="H368" s="13" t="s">
        <v>152</v>
      </c>
      <c r="I368" s="13" t="s">
        <v>80</v>
      </c>
      <c r="J368" s="13" t="s">
        <v>124</v>
      </c>
      <c r="K368" s="14" t="s">
        <v>125</v>
      </c>
      <c r="L368" s="14" t="s">
        <v>99</v>
      </c>
      <c r="M368" s="14" t="s">
        <v>100</v>
      </c>
      <c r="N368" s="14" t="s">
        <v>126</v>
      </c>
      <c r="O368" s="20" t="s">
        <v>440</v>
      </c>
      <c r="P368" s="16">
        <v>14000</v>
      </c>
      <c r="Q368" s="13">
        <v>128</v>
      </c>
      <c r="R368" s="13">
        <v>18</v>
      </c>
      <c r="S368" s="20"/>
      <c r="T368" s="14" t="s">
        <v>183</v>
      </c>
      <c r="U368" s="14" t="s">
        <v>184</v>
      </c>
      <c r="V368" s="218" t="s">
        <v>250</v>
      </c>
    </row>
    <row r="369" spans="1:22" ht="15.75" customHeight="1">
      <c r="A369" s="216" t="s">
        <v>1751</v>
      </c>
      <c r="B369" s="18" t="s">
        <v>1752</v>
      </c>
      <c r="C369" s="15" t="s">
        <v>317</v>
      </c>
      <c r="D369" s="17" t="s">
        <v>1753</v>
      </c>
      <c r="E369" s="18" t="s">
        <v>1211</v>
      </c>
      <c r="F369" s="18" t="s">
        <v>1754</v>
      </c>
      <c r="G369" s="18" t="s">
        <v>135</v>
      </c>
      <c r="H369" s="17" t="s">
        <v>136</v>
      </c>
      <c r="I369" s="17" t="s">
        <v>63</v>
      </c>
      <c r="J369" s="17" t="s">
        <v>356</v>
      </c>
      <c r="K369" s="18" t="s">
        <v>357</v>
      </c>
      <c r="L369" s="18" t="s">
        <v>139</v>
      </c>
      <c r="M369" s="18" t="s">
        <v>140</v>
      </c>
      <c r="N369" s="18" t="s">
        <v>358</v>
      </c>
      <c r="O369" s="17">
        <v>8</v>
      </c>
      <c r="P369" s="19">
        <v>42000</v>
      </c>
      <c r="Q369" s="17">
        <v>10</v>
      </c>
      <c r="R369" s="17">
        <v>18</v>
      </c>
      <c r="S369" s="19">
        <v>356832</v>
      </c>
      <c r="T369" s="18" t="s">
        <v>69</v>
      </c>
      <c r="U369" s="15" t="s">
        <v>383</v>
      </c>
      <c r="V369" s="219" t="s">
        <v>155</v>
      </c>
    </row>
    <row r="370" spans="1:22" ht="15.75" customHeight="1">
      <c r="A370" s="215" t="s">
        <v>1755</v>
      </c>
      <c r="B370" s="14" t="s">
        <v>1135</v>
      </c>
      <c r="C370" s="14" t="s">
        <v>168</v>
      </c>
      <c r="D370" s="13" t="s">
        <v>1756</v>
      </c>
      <c r="E370" s="14" t="s">
        <v>688</v>
      </c>
      <c r="F370" s="14" t="s">
        <v>1757</v>
      </c>
      <c r="G370" s="14" t="s">
        <v>248</v>
      </c>
      <c r="H370" s="13" t="s">
        <v>249</v>
      </c>
      <c r="I370" s="13" t="s">
        <v>123</v>
      </c>
      <c r="J370" s="13" t="s">
        <v>81</v>
      </c>
      <c r="K370" s="14" t="s">
        <v>82</v>
      </c>
      <c r="L370" s="14" t="s">
        <v>83</v>
      </c>
      <c r="M370" s="14" t="s">
        <v>84</v>
      </c>
      <c r="N370" s="14" t="s">
        <v>85</v>
      </c>
      <c r="O370" s="13">
        <v>7</v>
      </c>
      <c r="P370" s="16">
        <v>25000</v>
      </c>
      <c r="Q370" s="13">
        <v>15</v>
      </c>
      <c r="R370" s="13">
        <v>3</v>
      </c>
      <c r="S370" s="16">
        <v>153212</v>
      </c>
      <c r="T370" s="14" t="s">
        <v>102</v>
      </c>
      <c r="U370" s="15" t="s">
        <v>383</v>
      </c>
      <c r="V370" s="218" t="s">
        <v>250</v>
      </c>
    </row>
    <row r="371" spans="1:22" ht="15.75" customHeight="1">
      <c r="A371" s="216" t="s">
        <v>1758</v>
      </c>
      <c r="B371" s="18" t="s">
        <v>146</v>
      </c>
      <c r="C371" s="18" t="s">
        <v>372</v>
      </c>
      <c r="D371" s="17" t="s">
        <v>1759</v>
      </c>
      <c r="E371" s="18" t="s">
        <v>427</v>
      </c>
      <c r="F371" s="18" t="s">
        <v>1760</v>
      </c>
      <c r="G371" s="15" t="s">
        <v>304</v>
      </c>
      <c r="H371" s="17" t="s">
        <v>305</v>
      </c>
      <c r="I371" s="17" t="s">
        <v>306</v>
      </c>
      <c r="J371" s="17" t="s">
        <v>312</v>
      </c>
      <c r="K371" s="18" t="s">
        <v>313</v>
      </c>
      <c r="L371" s="18" t="s">
        <v>66</v>
      </c>
      <c r="M371" s="18" t="s">
        <v>199</v>
      </c>
      <c r="N371" s="18" t="s">
        <v>314</v>
      </c>
      <c r="O371" s="17">
        <v>4</v>
      </c>
      <c r="P371" s="19">
        <v>40</v>
      </c>
      <c r="Q371" s="17">
        <v>5</v>
      </c>
      <c r="R371" s="17">
        <v>5</v>
      </c>
      <c r="S371" s="19">
        <v>160</v>
      </c>
      <c r="T371" s="18" t="s">
        <v>326</v>
      </c>
      <c r="U371" s="15" t="s">
        <v>154</v>
      </c>
      <c r="V371" s="218" t="s">
        <v>128</v>
      </c>
    </row>
    <row r="372" spans="1:22" ht="15.75" customHeight="1">
      <c r="A372" s="215" t="s">
        <v>1761</v>
      </c>
      <c r="B372" s="14" t="s">
        <v>852</v>
      </c>
      <c r="C372" s="15" t="s">
        <v>147</v>
      </c>
      <c r="D372" s="13" t="s">
        <v>1762</v>
      </c>
      <c r="E372" s="14" t="s">
        <v>908</v>
      </c>
      <c r="F372" s="14" t="s">
        <v>1763</v>
      </c>
      <c r="G372" s="14" t="s">
        <v>61</v>
      </c>
      <c r="H372" s="13" t="s">
        <v>62</v>
      </c>
      <c r="I372" s="13" t="s">
        <v>63</v>
      </c>
      <c r="J372" s="13" t="s">
        <v>491</v>
      </c>
      <c r="K372" s="14" t="s">
        <v>492</v>
      </c>
      <c r="L372" s="14" t="s">
        <v>112</v>
      </c>
      <c r="M372" s="14" t="s">
        <v>493</v>
      </c>
      <c r="N372" s="14" t="s">
        <v>494</v>
      </c>
      <c r="O372" s="13">
        <v>4</v>
      </c>
      <c r="P372" s="16">
        <v>4500</v>
      </c>
      <c r="Q372" s="13">
        <v>0</v>
      </c>
      <c r="R372" s="13">
        <v>5</v>
      </c>
      <c r="S372" s="16">
        <v>18900</v>
      </c>
      <c r="T372" s="14" t="s">
        <v>86</v>
      </c>
      <c r="U372" s="15" t="s">
        <v>261</v>
      </c>
      <c r="V372" s="218" t="s">
        <v>88</v>
      </c>
    </row>
    <row r="373" spans="1:22" ht="15.75" customHeight="1">
      <c r="A373" s="216" t="s">
        <v>1764</v>
      </c>
      <c r="B373" s="18" t="s">
        <v>1765</v>
      </c>
      <c r="C373" s="18" t="s">
        <v>337</v>
      </c>
      <c r="D373" s="17" t="s">
        <v>1766</v>
      </c>
      <c r="E373" s="18" t="s">
        <v>339</v>
      </c>
      <c r="F373" s="18" t="s">
        <v>1767</v>
      </c>
      <c r="G373" s="15" t="s">
        <v>407</v>
      </c>
      <c r="H373" s="17" t="s">
        <v>152</v>
      </c>
      <c r="I373" s="17" t="s">
        <v>80</v>
      </c>
      <c r="J373" s="17" t="s">
        <v>124</v>
      </c>
      <c r="K373" s="18" t="s">
        <v>125</v>
      </c>
      <c r="L373" s="18" t="s">
        <v>99</v>
      </c>
      <c r="M373" s="18" t="s">
        <v>100</v>
      </c>
      <c r="N373" s="18" t="s">
        <v>126</v>
      </c>
      <c r="O373" s="17">
        <v>5</v>
      </c>
      <c r="P373" s="19">
        <v>14000</v>
      </c>
      <c r="Q373" s="17">
        <v>8</v>
      </c>
      <c r="R373" s="17">
        <v>18</v>
      </c>
      <c r="S373" s="19">
        <v>75992</v>
      </c>
      <c r="T373" s="18" t="s">
        <v>326</v>
      </c>
      <c r="U373" s="15" t="s">
        <v>103</v>
      </c>
      <c r="V373" s="218" t="s">
        <v>190</v>
      </c>
    </row>
    <row r="374" spans="1:22" ht="15.75" customHeight="1">
      <c r="A374" s="215" t="s">
        <v>1768</v>
      </c>
      <c r="B374" s="14" t="s">
        <v>540</v>
      </c>
      <c r="C374" s="15" t="s">
        <v>118</v>
      </c>
      <c r="D374" s="13" t="s">
        <v>1769</v>
      </c>
      <c r="E374" s="14" t="s">
        <v>405</v>
      </c>
      <c r="F374" s="14" t="s">
        <v>1770</v>
      </c>
      <c r="G374" s="14" t="s">
        <v>95</v>
      </c>
      <c r="H374" s="13" t="s">
        <v>96</v>
      </c>
      <c r="I374" s="20" t="s">
        <v>904</v>
      </c>
      <c r="J374" s="13" t="s">
        <v>238</v>
      </c>
      <c r="K374" s="14" t="s">
        <v>239</v>
      </c>
      <c r="L374" s="14" t="s">
        <v>112</v>
      </c>
      <c r="M374" s="14" t="s">
        <v>240</v>
      </c>
      <c r="N374" s="14" t="s">
        <v>241</v>
      </c>
      <c r="O374" s="13">
        <v>6</v>
      </c>
      <c r="P374" s="16">
        <v>2500</v>
      </c>
      <c r="Q374" s="13">
        <v>8</v>
      </c>
      <c r="R374" s="13">
        <v>5</v>
      </c>
      <c r="S374" s="16">
        <v>14490</v>
      </c>
      <c r="T374" s="14" t="s">
        <v>127</v>
      </c>
      <c r="U374" s="15" t="s">
        <v>103</v>
      </c>
      <c r="V374" s="218" t="s">
        <v>190</v>
      </c>
    </row>
    <row r="375" spans="1:22" ht="15.75" customHeight="1">
      <c r="A375" s="216" t="s">
        <v>1771</v>
      </c>
      <c r="B375" s="18" t="s">
        <v>1772</v>
      </c>
      <c r="C375" s="15" t="s">
        <v>329</v>
      </c>
      <c r="D375" s="17" t="s">
        <v>1773</v>
      </c>
      <c r="E375" s="18" t="s">
        <v>1243</v>
      </c>
      <c r="F375" s="18" t="s">
        <v>1774</v>
      </c>
      <c r="G375" s="15" t="s">
        <v>268</v>
      </c>
      <c r="H375" s="17" t="s">
        <v>122</v>
      </c>
      <c r="I375" s="17" t="s">
        <v>123</v>
      </c>
      <c r="J375" s="17" t="s">
        <v>356</v>
      </c>
      <c r="K375" s="18" t="s">
        <v>357</v>
      </c>
      <c r="L375" s="18" t="s">
        <v>139</v>
      </c>
      <c r="M375" s="18" t="s">
        <v>140</v>
      </c>
      <c r="N375" s="18" t="s">
        <v>358</v>
      </c>
      <c r="O375" s="17">
        <v>10</v>
      </c>
      <c r="P375" s="19">
        <v>42000</v>
      </c>
      <c r="Q375" s="17">
        <v>25</v>
      </c>
      <c r="R375" s="17">
        <v>18</v>
      </c>
      <c r="S375" s="19">
        <v>371700</v>
      </c>
      <c r="T375" s="18" t="s">
        <v>115</v>
      </c>
      <c r="U375" s="15" t="s">
        <v>174</v>
      </c>
      <c r="V375" s="219" t="s">
        <v>144</v>
      </c>
    </row>
    <row r="376" spans="1:22" ht="15.75" customHeight="1">
      <c r="A376" s="215" t="s">
        <v>1775</v>
      </c>
      <c r="B376" s="14" t="s">
        <v>457</v>
      </c>
      <c r="C376" s="14" t="s">
        <v>627</v>
      </c>
      <c r="D376" s="13" t="s">
        <v>1776</v>
      </c>
      <c r="E376" s="14" t="s">
        <v>1330</v>
      </c>
      <c r="F376" s="14" t="s">
        <v>1777</v>
      </c>
      <c r="G376" s="14" t="s">
        <v>61</v>
      </c>
      <c r="H376" s="13" t="s">
        <v>62</v>
      </c>
      <c r="I376" s="13" t="s">
        <v>63</v>
      </c>
      <c r="J376" s="13" t="s">
        <v>312</v>
      </c>
      <c r="K376" s="14" t="s">
        <v>313</v>
      </c>
      <c r="L376" s="14" t="s">
        <v>66</v>
      </c>
      <c r="M376" s="14" t="s">
        <v>199</v>
      </c>
      <c r="N376" s="14" t="s">
        <v>314</v>
      </c>
      <c r="O376" s="13">
        <v>4</v>
      </c>
      <c r="P376" s="16">
        <v>40</v>
      </c>
      <c r="Q376" s="13">
        <v>10</v>
      </c>
      <c r="R376" s="13">
        <v>5</v>
      </c>
      <c r="S376" s="16">
        <v>151</v>
      </c>
      <c r="T376" s="14" t="s">
        <v>127</v>
      </c>
      <c r="U376" s="14" t="s">
        <v>184</v>
      </c>
      <c r="V376" s="218" t="s">
        <v>201</v>
      </c>
    </row>
    <row r="377" spans="1:22" ht="15.75" customHeight="1">
      <c r="A377" s="216" t="s">
        <v>1778</v>
      </c>
      <c r="B377" s="18" t="s">
        <v>1558</v>
      </c>
      <c r="C377" s="15" t="s">
        <v>118</v>
      </c>
      <c r="D377" s="17" t="s">
        <v>1779</v>
      </c>
      <c r="E377" s="18" t="s">
        <v>120</v>
      </c>
      <c r="F377" s="18" t="s">
        <v>1780</v>
      </c>
      <c r="G377" s="18" t="s">
        <v>135</v>
      </c>
      <c r="H377" s="17" t="s">
        <v>136</v>
      </c>
      <c r="I377" s="17" t="s">
        <v>63</v>
      </c>
      <c r="J377" s="17" t="s">
        <v>257</v>
      </c>
      <c r="K377" s="18" t="s">
        <v>258</v>
      </c>
      <c r="L377" s="18" t="s">
        <v>139</v>
      </c>
      <c r="M377" s="18" t="s">
        <v>259</v>
      </c>
      <c r="N377" s="18" t="s">
        <v>260</v>
      </c>
      <c r="O377" s="17">
        <v>5</v>
      </c>
      <c r="P377" s="19">
        <v>299</v>
      </c>
      <c r="Q377" s="17">
        <v>10</v>
      </c>
      <c r="R377" s="17">
        <v>18</v>
      </c>
      <c r="S377" s="19">
        <v>1588</v>
      </c>
      <c r="T377" s="18" t="s">
        <v>465</v>
      </c>
      <c r="U377" s="15" t="s">
        <v>103</v>
      </c>
      <c r="V377" s="219" t="s">
        <v>212</v>
      </c>
    </row>
    <row r="378" spans="1:22" ht="15.75" customHeight="1">
      <c r="A378" s="215" t="s">
        <v>1781</v>
      </c>
      <c r="B378" s="14" t="s">
        <v>884</v>
      </c>
      <c r="C378" s="15" t="s">
        <v>747</v>
      </c>
      <c r="D378" s="13" t="s">
        <v>1782</v>
      </c>
      <c r="E378" s="14" t="s">
        <v>76</v>
      </c>
      <c r="F378" s="14" t="s">
        <v>1783</v>
      </c>
      <c r="G378" s="14" t="s">
        <v>341</v>
      </c>
      <c r="H378" s="13" t="s">
        <v>62</v>
      </c>
      <c r="I378" s="13" t="s">
        <v>63</v>
      </c>
      <c r="J378" s="13" t="s">
        <v>207</v>
      </c>
      <c r="K378" s="14" t="s">
        <v>208</v>
      </c>
      <c r="L378" s="14" t="s">
        <v>99</v>
      </c>
      <c r="M378" s="14" t="s">
        <v>209</v>
      </c>
      <c r="N378" s="14" t="s">
        <v>210</v>
      </c>
      <c r="O378" s="13">
        <v>8</v>
      </c>
      <c r="P378" s="16">
        <v>55000</v>
      </c>
      <c r="Q378" s="13">
        <v>5</v>
      </c>
      <c r="R378" s="13">
        <v>18</v>
      </c>
      <c r="S378" s="16">
        <v>493240</v>
      </c>
      <c r="T378" s="14" t="s">
        <v>115</v>
      </c>
      <c r="U378" s="14" t="s">
        <v>70</v>
      </c>
      <c r="V378" s="217" t="s">
        <v>71</v>
      </c>
    </row>
    <row r="379" spans="1:22" ht="15.75" customHeight="1">
      <c r="A379" s="216" t="s">
        <v>1784</v>
      </c>
      <c r="B379" s="18" t="s">
        <v>1595</v>
      </c>
      <c r="C379" s="15" t="s">
        <v>118</v>
      </c>
      <c r="D379" s="17" t="s">
        <v>1785</v>
      </c>
      <c r="E379" s="18" t="s">
        <v>310</v>
      </c>
      <c r="F379" s="15"/>
      <c r="G379" s="18" t="s">
        <v>151</v>
      </c>
      <c r="H379" s="17" t="s">
        <v>152</v>
      </c>
      <c r="I379" s="17" t="s">
        <v>80</v>
      </c>
      <c r="J379" s="17" t="s">
        <v>491</v>
      </c>
      <c r="K379" s="18" t="s">
        <v>492</v>
      </c>
      <c r="L379" s="18" t="s">
        <v>112</v>
      </c>
      <c r="M379" s="18" t="s">
        <v>493</v>
      </c>
      <c r="N379" s="18" t="s">
        <v>494</v>
      </c>
      <c r="O379" s="17">
        <v>9</v>
      </c>
      <c r="P379" s="20"/>
      <c r="Q379" s="17">
        <v>101</v>
      </c>
      <c r="R379" s="17">
        <v>5</v>
      </c>
      <c r="S379" s="20"/>
      <c r="T379" s="18" t="s">
        <v>465</v>
      </c>
      <c r="U379" s="18" t="s">
        <v>184</v>
      </c>
      <c r="V379" s="218" t="s">
        <v>88</v>
      </c>
    </row>
    <row r="380" spans="1:22" ht="15.75" customHeight="1">
      <c r="A380" s="215" t="s">
        <v>1786</v>
      </c>
      <c r="B380" s="14" t="s">
        <v>1787</v>
      </c>
      <c r="C380" s="14" t="s">
        <v>639</v>
      </c>
      <c r="D380" s="13" t="s">
        <v>1788</v>
      </c>
      <c r="E380" s="14" t="s">
        <v>1789</v>
      </c>
      <c r="F380" s="15"/>
      <c r="G380" s="14" t="s">
        <v>95</v>
      </c>
      <c r="H380" s="13" t="s">
        <v>96</v>
      </c>
      <c r="I380" s="13" t="s">
        <v>63</v>
      </c>
      <c r="J380" s="13" t="s">
        <v>897</v>
      </c>
      <c r="K380" s="14" t="s">
        <v>898</v>
      </c>
      <c r="L380" s="14" t="s">
        <v>139</v>
      </c>
      <c r="M380" s="14" t="s">
        <v>140</v>
      </c>
      <c r="N380" s="14" t="s">
        <v>899</v>
      </c>
      <c r="O380" s="13">
        <v>8</v>
      </c>
      <c r="P380" s="16">
        <v>38000</v>
      </c>
      <c r="Q380" s="13">
        <v>12</v>
      </c>
      <c r="R380" s="13">
        <v>18</v>
      </c>
      <c r="S380" s="16">
        <v>315674</v>
      </c>
      <c r="T380" s="14" t="s">
        <v>153</v>
      </c>
      <c r="U380" s="15" t="s">
        <v>103</v>
      </c>
      <c r="V380" s="218" t="s">
        <v>201</v>
      </c>
    </row>
    <row r="381" spans="1:22" ht="15.75" customHeight="1">
      <c r="A381" s="216" t="s">
        <v>1790</v>
      </c>
      <c r="B381" s="18" t="s">
        <v>1791</v>
      </c>
      <c r="C381" s="15" t="s">
        <v>147</v>
      </c>
      <c r="D381" s="17" t="s">
        <v>1792</v>
      </c>
      <c r="E381" s="18" t="s">
        <v>757</v>
      </c>
      <c r="F381" s="18" t="s">
        <v>1793</v>
      </c>
      <c r="G381" s="18" t="s">
        <v>333</v>
      </c>
      <c r="H381" s="17" t="s">
        <v>334</v>
      </c>
      <c r="I381" s="17" t="s">
        <v>63</v>
      </c>
      <c r="J381" s="17" t="s">
        <v>295</v>
      </c>
      <c r="K381" s="18" t="s">
        <v>296</v>
      </c>
      <c r="L381" s="18" t="s">
        <v>66</v>
      </c>
      <c r="M381" s="18" t="s">
        <v>297</v>
      </c>
      <c r="N381" s="18" t="s">
        <v>298</v>
      </c>
      <c r="O381" s="17">
        <v>2</v>
      </c>
      <c r="P381" s="19">
        <v>280</v>
      </c>
      <c r="Q381" s="17">
        <v>12</v>
      </c>
      <c r="R381" s="17">
        <v>5</v>
      </c>
      <c r="S381" s="19">
        <v>517</v>
      </c>
      <c r="T381" s="18" t="s">
        <v>153</v>
      </c>
      <c r="U381" s="18" t="s">
        <v>211</v>
      </c>
      <c r="V381" s="218" t="s">
        <v>128</v>
      </c>
    </row>
    <row r="382" spans="1:22" ht="15.75" customHeight="1">
      <c r="A382" s="215" t="s">
        <v>1794</v>
      </c>
      <c r="B382" s="14" t="s">
        <v>1795</v>
      </c>
      <c r="C382" s="15" t="s">
        <v>317</v>
      </c>
      <c r="D382" s="13" t="s">
        <v>1796</v>
      </c>
      <c r="E382" s="14" t="s">
        <v>1211</v>
      </c>
      <c r="F382" s="14" t="s">
        <v>1797</v>
      </c>
      <c r="G382" s="15" t="s">
        <v>304</v>
      </c>
      <c r="H382" s="13" t="s">
        <v>305</v>
      </c>
      <c r="I382" s="13" t="s">
        <v>306</v>
      </c>
      <c r="J382" s="13" t="s">
        <v>197</v>
      </c>
      <c r="K382" s="14" t="s">
        <v>198</v>
      </c>
      <c r="L382" s="14" t="s">
        <v>66</v>
      </c>
      <c r="M382" s="14" t="s">
        <v>199</v>
      </c>
      <c r="N382" s="14" t="s">
        <v>200</v>
      </c>
      <c r="O382" s="13">
        <v>5</v>
      </c>
      <c r="P382" s="20" t="s">
        <v>1798</v>
      </c>
      <c r="Q382" s="13">
        <v>8</v>
      </c>
      <c r="R382" s="13">
        <v>5</v>
      </c>
      <c r="S382" s="16">
        <v>242</v>
      </c>
      <c r="T382" s="14" t="s">
        <v>142</v>
      </c>
      <c r="U382" s="15" t="s">
        <v>174</v>
      </c>
      <c r="V382" s="217" t="s">
        <v>212</v>
      </c>
    </row>
    <row r="383" spans="1:22" ht="15.75" customHeight="1">
      <c r="A383" s="216" t="s">
        <v>1799</v>
      </c>
      <c r="B383" s="18" t="s">
        <v>1800</v>
      </c>
      <c r="C383" s="15" t="s">
        <v>410</v>
      </c>
      <c r="D383" s="17" t="s">
        <v>1801</v>
      </c>
      <c r="E383" s="18" t="s">
        <v>469</v>
      </c>
      <c r="F383" s="18" t="s">
        <v>1802</v>
      </c>
      <c r="G383" s="18" t="s">
        <v>333</v>
      </c>
      <c r="H383" s="17" t="s">
        <v>334</v>
      </c>
      <c r="I383" s="17" t="s">
        <v>63</v>
      </c>
      <c r="J383" s="17" t="s">
        <v>595</v>
      </c>
      <c r="K383" s="18" t="s">
        <v>596</v>
      </c>
      <c r="L383" s="18" t="s">
        <v>112</v>
      </c>
      <c r="M383" s="18" t="s">
        <v>240</v>
      </c>
      <c r="N383" s="18" t="s">
        <v>597</v>
      </c>
      <c r="O383" s="17">
        <v>6</v>
      </c>
      <c r="P383" s="19">
        <v>1200</v>
      </c>
      <c r="Q383" s="17">
        <v>25</v>
      </c>
      <c r="R383" s="17">
        <v>5</v>
      </c>
      <c r="S383" s="19">
        <v>5670</v>
      </c>
      <c r="T383" s="18" t="s">
        <v>413</v>
      </c>
      <c r="U383" s="15" t="s">
        <v>261</v>
      </c>
      <c r="V383" s="219" t="s">
        <v>212</v>
      </c>
    </row>
    <row r="384" spans="1:22" ht="15.75" customHeight="1">
      <c r="A384" s="215" t="s">
        <v>1803</v>
      </c>
      <c r="B384" s="14" t="s">
        <v>1804</v>
      </c>
      <c r="C384" s="15" t="s">
        <v>747</v>
      </c>
      <c r="D384" s="13" t="s">
        <v>1805</v>
      </c>
      <c r="E384" s="14" t="s">
        <v>749</v>
      </c>
      <c r="F384" s="14" t="s">
        <v>1806</v>
      </c>
      <c r="G384" s="14" t="s">
        <v>61</v>
      </c>
      <c r="H384" s="13" t="s">
        <v>62</v>
      </c>
      <c r="I384" s="13" t="s">
        <v>63</v>
      </c>
      <c r="J384" s="13" t="s">
        <v>595</v>
      </c>
      <c r="K384" s="14" t="s">
        <v>596</v>
      </c>
      <c r="L384" s="14" t="s">
        <v>112</v>
      </c>
      <c r="M384" s="14" t="s">
        <v>240</v>
      </c>
      <c r="N384" s="14" t="s">
        <v>597</v>
      </c>
      <c r="O384" s="13">
        <v>3</v>
      </c>
      <c r="P384" s="16">
        <v>1200</v>
      </c>
      <c r="Q384" s="13">
        <v>20</v>
      </c>
      <c r="R384" s="13">
        <v>5</v>
      </c>
      <c r="S384" s="16">
        <v>3024</v>
      </c>
      <c r="T384" s="14" t="s">
        <v>115</v>
      </c>
      <c r="U384" s="14" t="s">
        <v>143</v>
      </c>
      <c r="V384" s="218" t="s">
        <v>128</v>
      </c>
    </row>
    <row r="385" spans="1:22" ht="15.75" customHeight="1">
      <c r="A385" s="216" t="s">
        <v>1807</v>
      </c>
      <c r="B385" s="18" t="s">
        <v>1808</v>
      </c>
      <c r="C385" s="18" t="s">
        <v>627</v>
      </c>
      <c r="D385" s="17" t="s">
        <v>1809</v>
      </c>
      <c r="E385" s="18" t="s">
        <v>489</v>
      </c>
      <c r="F385" s="15"/>
      <c r="G385" s="18" t="s">
        <v>122</v>
      </c>
      <c r="H385" s="17" t="s">
        <v>122</v>
      </c>
      <c r="I385" s="17" t="s">
        <v>123</v>
      </c>
      <c r="J385" s="17" t="s">
        <v>124</v>
      </c>
      <c r="K385" s="18" t="s">
        <v>125</v>
      </c>
      <c r="L385" s="18" t="s">
        <v>99</v>
      </c>
      <c r="M385" s="18" t="s">
        <v>100</v>
      </c>
      <c r="N385" s="18" t="s">
        <v>126</v>
      </c>
      <c r="O385" s="20">
        <v>-4</v>
      </c>
      <c r="P385" s="19">
        <v>14000</v>
      </c>
      <c r="Q385" s="17">
        <v>12</v>
      </c>
      <c r="R385" s="17">
        <v>18</v>
      </c>
      <c r="S385" s="21">
        <v>-58150</v>
      </c>
      <c r="T385" s="18" t="s">
        <v>102</v>
      </c>
      <c r="U385" s="18" t="s">
        <v>211</v>
      </c>
      <c r="V385" s="218" t="s">
        <v>201</v>
      </c>
    </row>
    <row r="386" spans="1:22" ht="15.75" customHeight="1">
      <c r="A386" s="215" t="s">
        <v>1810</v>
      </c>
      <c r="B386" s="14" t="s">
        <v>385</v>
      </c>
      <c r="C386" s="15" t="s">
        <v>410</v>
      </c>
      <c r="D386" s="13" t="s">
        <v>1811</v>
      </c>
      <c r="E386" s="14" t="s">
        <v>469</v>
      </c>
      <c r="F386" s="14" t="s">
        <v>1812</v>
      </c>
      <c r="G386" s="15" t="s">
        <v>268</v>
      </c>
      <c r="H386" s="13" t="s">
        <v>122</v>
      </c>
      <c r="I386" s="13" t="s">
        <v>123</v>
      </c>
      <c r="J386" s="13" t="s">
        <v>376</v>
      </c>
      <c r="K386" s="14" t="s">
        <v>377</v>
      </c>
      <c r="L386" s="14" t="s">
        <v>112</v>
      </c>
      <c r="M386" s="14" t="s">
        <v>113</v>
      </c>
      <c r="N386" s="14" t="s">
        <v>378</v>
      </c>
      <c r="O386" s="13">
        <v>5</v>
      </c>
      <c r="P386" s="16">
        <v>8500</v>
      </c>
      <c r="Q386" s="13">
        <v>8</v>
      </c>
      <c r="R386" s="13">
        <v>18</v>
      </c>
      <c r="S386" s="16">
        <v>46138</v>
      </c>
      <c r="T386" s="14" t="s">
        <v>115</v>
      </c>
      <c r="U386" s="14" t="s">
        <v>70</v>
      </c>
      <c r="V386" s="218" t="s">
        <v>250</v>
      </c>
    </row>
    <row r="387" spans="1:22" ht="15.75" customHeight="1">
      <c r="A387" s="216" t="s">
        <v>1813</v>
      </c>
      <c r="B387" s="18" t="s">
        <v>1814</v>
      </c>
      <c r="C387" s="18" t="s">
        <v>482</v>
      </c>
      <c r="D387" s="17" t="s">
        <v>1815</v>
      </c>
      <c r="E387" s="18" t="s">
        <v>776</v>
      </c>
      <c r="F387" s="18" t="s">
        <v>1816</v>
      </c>
      <c r="G387" s="18" t="s">
        <v>341</v>
      </c>
      <c r="H387" s="17" t="s">
        <v>62</v>
      </c>
      <c r="I387" s="17" t="s">
        <v>63</v>
      </c>
      <c r="J387" s="17" t="s">
        <v>295</v>
      </c>
      <c r="K387" s="18" t="s">
        <v>296</v>
      </c>
      <c r="L387" s="18" t="s">
        <v>66</v>
      </c>
      <c r="M387" s="18" t="s">
        <v>297</v>
      </c>
      <c r="N387" s="18" t="s">
        <v>298</v>
      </c>
      <c r="O387" s="17">
        <v>7</v>
      </c>
      <c r="P387" s="19">
        <v>280</v>
      </c>
      <c r="Q387" s="17">
        <v>119</v>
      </c>
      <c r="R387" s="17">
        <v>5</v>
      </c>
      <c r="S387" s="20"/>
      <c r="T387" s="18" t="s">
        <v>413</v>
      </c>
      <c r="U387" s="15" t="s">
        <v>87</v>
      </c>
      <c r="V387" s="219" t="s">
        <v>155</v>
      </c>
    </row>
    <row r="388" spans="1:22" ht="15.75" customHeight="1">
      <c r="A388" s="215" t="s">
        <v>1817</v>
      </c>
      <c r="B388" s="14" t="s">
        <v>889</v>
      </c>
      <c r="C388" s="15" t="s">
        <v>825</v>
      </c>
      <c r="D388" s="13"/>
      <c r="E388" s="14" t="s">
        <v>827</v>
      </c>
      <c r="F388" s="15"/>
      <c r="G388" s="14" t="s">
        <v>228</v>
      </c>
      <c r="H388" s="13" t="s">
        <v>152</v>
      </c>
      <c r="I388" s="13" t="s">
        <v>80</v>
      </c>
      <c r="J388" s="13" t="s">
        <v>595</v>
      </c>
      <c r="K388" s="14" t="s">
        <v>596</v>
      </c>
      <c r="L388" s="14" t="s">
        <v>112</v>
      </c>
      <c r="M388" s="14" t="s">
        <v>240</v>
      </c>
      <c r="N388" s="14" t="s">
        <v>597</v>
      </c>
      <c r="O388" s="13">
        <v>6</v>
      </c>
      <c r="P388" s="16">
        <v>1200</v>
      </c>
      <c r="Q388" s="13">
        <v>20</v>
      </c>
      <c r="R388" s="13">
        <v>5</v>
      </c>
      <c r="S388" s="16">
        <v>6048</v>
      </c>
      <c r="T388" s="14" t="s">
        <v>153</v>
      </c>
      <c r="U388" s="15" t="s">
        <v>383</v>
      </c>
      <c r="V388" s="218" t="s">
        <v>250</v>
      </c>
    </row>
    <row r="389" spans="1:22" ht="15.75" customHeight="1">
      <c r="A389" s="216" t="s">
        <v>1818</v>
      </c>
      <c r="B389" s="18" t="s">
        <v>679</v>
      </c>
      <c r="C389" s="15" t="s">
        <v>224</v>
      </c>
      <c r="D389" s="17" t="s">
        <v>1819</v>
      </c>
      <c r="E389" s="18" t="s">
        <v>226</v>
      </c>
      <c r="F389" s="18" t="s">
        <v>1820</v>
      </c>
      <c r="G389" s="15" t="s">
        <v>407</v>
      </c>
      <c r="H389" s="17" t="s">
        <v>152</v>
      </c>
      <c r="I389" s="17" t="s">
        <v>80</v>
      </c>
      <c r="J389" s="17" t="s">
        <v>219</v>
      </c>
      <c r="K389" s="18" t="s">
        <v>220</v>
      </c>
      <c r="L389" s="18" t="s">
        <v>99</v>
      </c>
      <c r="M389" s="18" t="s">
        <v>100</v>
      </c>
      <c r="N389" s="18" t="s">
        <v>221</v>
      </c>
      <c r="O389" s="17">
        <v>2</v>
      </c>
      <c r="P389" s="19">
        <v>89000</v>
      </c>
      <c r="Q389" s="17">
        <v>8</v>
      </c>
      <c r="R389" s="17">
        <v>18</v>
      </c>
      <c r="S389" s="19">
        <v>193237</v>
      </c>
      <c r="T389" s="18" t="s">
        <v>183</v>
      </c>
      <c r="U389" s="15" t="s">
        <v>87</v>
      </c>
      <c r="V389" s="219" t="s">
        <v>144</v>
      </c>
    </row>
    <row r="390" spans="1:22" ht="15.75" customHeight="1">
      <c r="A390" s="215" t="s">
        <v>1821</v>
      </c>
      <c r="B390" s="14" t="s">
        <v>1822</v>
      </c>
      <c r="C390" s="15" t="s">
        <v>215</v>
      </c>
      <c r="D390" s="13" t="s">
        <v>1823</v>
      </c>
      <c r="E390" s="14" t="s">
        <v>1098</v>
      </c>
      <c r="F390" s="14" t="s">
        <v>1824</v>
      </c>
      <c r="G390" s="14" t="s">
        <v>333</v>
      </c>
      <c r="H390" s="13" t="s">
        <v>334</v>
      </c>
      <c r="I390" s="13" t="s">
        <v>63</v>
      </c>
      <c r="J390" s="13" t="s">
        <v>124</v>
      </c>
      <c r="K390" s="14" t="s">
        <v>125</v>
      </c>
      <c r="L390" s="14" t="s">
        <v>99</v>
      </c>
      <c r="M390" s="14" t="s">
        <v>100</v>
      </c>
      <c r="N390" s="14" t="s">
        <v>126</v>
      </c>
      <c r="O390" s="13">
        <v>2</v>
      </c>
      <c r="P390" s="16">
        <v>14000</v>
      </c>
      <c r="Q390" s="13">
        <v>5</v>
      </c>
      <c r="R390" s="13">
        <v>18</v>
      </c>
      <c r="S390" s="16">
        <v>31388</v>
      </c>
      <c r="T390" s="14" t="s">
        <v>127</v>
      </c>
      <c r="U390" s="14" t="s">
        <v>184</v>
      </c>
      <c r="V390" s="217" t="s">
        <v>212</v>
      </c>
    </row>
    <row r="391" spans="1:22" ht="15.75" customHeight="1">
      <c r="A391" s="216" t="s">
        <v>1825</v>
      </c>
      <c r="B391" s="18" t="s">
        <v>1036</v>
      </c>
      <c r="C391" s="18" t="s">
        <v>712</v>
      </c>
      <c r="D391" s="17" t="s">
        <v>1826</v>
      </c>
      <c r="E391" s="18" t="s">
        <v>1053</v>
      </c>
      <c r="F391" s="18" t="s">
        <v>1827</v>
      </c>
      <c r="G391" s="18" t="s">
        <v>78</v>
      </c>
      <c r="H391" s="17" t="s">
        <v>79</v>
      </c>
      <c r="I391" s="17" t="s">
        <v>80</v>
      </c>
      <c r="J391" s="17" t="s">
        <v>97</v>
      </c>
      <c r="K391" s="18" t="s">
        <v>98</v>
      </c>
      <c r="L391" s="18" t="s">
        <v>99</v>
      </c>
      <c r="M391" s="18" t="s">
        <v>100</v>
      </c>
      <c r="N391" s="18" t="s">
        <v>101</v>
      </c>
      <c r="O391" s="17">
        <v>1</v>
      </c>
      <c r="P391" s="19">
        <v>28000</v>
      </c>
      <c r="Q391" s="17">
        <v>8</v>
      </c>
      <c r="R391" s="17">
        <v>18</v>
      </c>
      <c r="S391" s="19">
        <v>30397</v>
      </c>
      <c r="T391" s="18" t="s">
        <v>86</v>
      </c>
      <c r="U391" s="15" t="s">
        <v>383</v>
      </c>
      <c r="V391" s="219" t="s">
        <v>212</v>
      </c>
    </row>
    <row r="392" spans="1:22" ht="15.75" customHeight="1">
      <c r="A392" s="215" t="s">
        <v>1828</v>
      </c>
      <c r="B392" s="14" t="s">
        <v>1829</v>
      </c>
      <c r="C392" s="15" t="s">
        <v>244</v>
      </c>
      <c r="D392" s="13" t="s">
        <v>1830</v>
      </c>
      <c r="E392" s="14" t="s">
        <v>498</v>
      </c>
      <c r="F392" s="14" t="s">
        <v>1831</v>
      </c>
      <c r="G392" s="14" t="s">
        <v>228</v>
      </c>
      <c r="H392" s="13" t="s">
        <v>152</v>
      </c>
      <c r="I392" s="13" t="s">
        <v>80</v>
      </c>
      <c r="J392" s="13" t="s">
        <v>64</v>
      </c>
      <c r="K392" s="14" t="s">
        <v>65</v>
      </c>
      <c r="L392" s="14" t="s">
        <v>66</v>
      </c>
      <c r="M392" s="14" t="s">
        <v>67</v>
      </c>
      <c r="N392" s="14" t="s">
        <v>68</v>
      </c>
      <c r="O392" s="13">
        <v>7</v>
      </c>
      <c r="P392" s="16">
        <v>450</v>
      </c>
      <c r="Q392" s="13">
        <v>25</v>
      </c>
      <c r="R392" s="13">
        <v>5</v>
      </c>
      <c r="S392" s="16">
        <v>2481</v>
      </c>
      <c r="T392" s="14" t="s">
        <v>183</v>
      </c>
      <c r="U392" s="15" t="s">
        <v>174</v>
      </c>
      <c r="V392" s="217" t="s">
        <v>212</v>
      </c>
    </row>
    <row r="393" spans="1:22" ht="15.75" customHeight="1">
      <c r="A393" s="216" t="s">
        <v>1832</v>
      </c>
      <c r="B393" s="18" t="s">
        <v>1833</v>
      </c>
      <c r="C393" s="18" t="s">
        <v>482</v>
      </c>
      <c r="D393" s="17" t="s">
        <v>1834</v>
      </c>
      <c r="E393" s="18" t="s">
        <v>776</v>
      </c>
      <c r="F393" s="18" t="s">
        <v>1835</v>
      </c>
      <c r="G393" s="18" t="s">
        <v>248</v>
      </c>
      <c r="H393" s="17" t="s">
        <v>249</v>
      </c>
      <c r="I393" s="17" t="s">
        <v>123</v>
      </c>
      <c r="J393" s="17" t="s">
        <v>124</v>
      </c>
      <c r="K393" s="18" t="s">
        <v>125</v>
      </c>
      <c r="L393" s="18" t="s">
        <v>99</v>
      </c>
      <c r="M393" s="18" t="s">
        <v>100</v>
      </c>
      <c r="N393" s="18" t="s">
        <v>126</v>
      </c>
      <c r="O393" s="17">
        <v>1</v>
      </c>
      <c r="P393" s="19">
        <v>14000</v>
      </c>
      <c r="Q393" s="17">
        <v>0</v>
      </c>
      <c r="R393" s="17">
        <v>18</v>
      </c>
      <c r="S393" s="19">
        <v>16520</v>
      </c>
      <c r="T393" s="18" t="s">
        <v>86</v>
      </c>
      <c r="U393" s="15" t="s">
        <v>261</v>
      </c>
      <c r="V393" s="219" t="s">
        <v>71</v>
      </c>
    </row>
    <row r="394" spans="1:22" ht="15.75" customHeight="1">
      <c r="A394" s="215" t="s">
        <v>1836</v>
      </c>
      <c r="B394" s="14" t="s">
        <v>1837</v>
      </c>
      <c r="C394" s="14" t="s">
        <v>1249</v>
      </c>
      <c r="D394" s="13" t="s">
        <v>1838</v>
      </c>
      <c r="E394" s="14" t="s">
        <v>1839</v>
      </c>
      <c r="F394" s="14" t="s">
        <v>1840</v>
      </c>
      <c r="G394" s="14" t="s">
        <v>485</v>
      </c>
      <c r="H394" s="13" t="s">
        <v>305</v>
      </c>
      <c r="I394" s="13" t="s">
        <v>306</v>
      </c>
      <c r="J394" s="13" t="s">
        <v>491</v>
      </c>
      <c r="K394" s="14" t="s">
        <v>492</v>
      </c>
      <c r="L394" s="14" t="s">
        <v>112</v>
      </c>
      <c r="M394" s="14" t="s">
        <v>493</v>
      </c>
      <c r="N394" s="14" t="s">
        <v>494</v>
      </c>
      <c r="O394" s="13">
        <v>7</v>
      </c>
      <c r="P394" s="16">
        <v>4500</v>
      </c>
      <c r="Q394" s="13">
        <v>5</v>
      </c>
      <c r="R394" s="13">
        <v>5</v>
      </c>
      <c r="S394" s="16">
        <v>31421</v>
      </c>
      <c r="T394" s="14" t="s">
        <v>127</v>
      </c>
      <c r="U394" s="14" t="s">
        <v>184</v>
      </c>
      <c r="V394" s="218" t="s">
        <v>88</v>
      </c>
    </row>
    <row r="395" spans="1:22" ht="15.75" customHeight="1">
      <c r="A395" s="216" t="s">
        <v>1841</v>
      </c>
      <c r="B395" s="18" t="s">
        <v>990</v>
      </c>
      <c r="C395" s="15" t="s">
        <v>147</v>
      </c>
      <c r="D395" s="17" t="s">
        <v>1842</v>
      </c>
      <c r="E395" s="18" t="s">
        <v>651</v>
      </c>
      <c r="F395" s="18" t="s">
        <v>1843</v>
      </c>
      <c r="G395" s="18" t="s">
        <v>135</v>
      </c>
      <c r="H395" s="17" t="s">
        <v>136</v>
      </c>
      <c r="I395" s="17" t="s">
        <v>63</v>
      </c>
      <c r="J395" s="17" t="s">
        <v>110</v>
      </c>
      <c r="K395" s="18"/>
      <c r="L395" s="18" t="s">
        <v>112</v>
      </c>
      <c r="M395" s="18" t="s">
        <v>113</v>
      </c>
      <c r="N395" s="18" t="s">
        <v>114</v>
      </c>
      <c r="O395" s="17">
        <v>2</v>
      </c>
      <c r="P395" s="19">
        <v>3500</v>
      </c>
      <c r="Q395" s="17">
        <v>130</v>
      </c>
      <c r="R395" s="17">
        <v>18</v>
      </c>
      <c r="S395" s="20"/>
      <c r="T395" s="18" t="s">
        <v>86</v>
      </c>
      <c r="U395" s="18" t="s">
        <v>143</v>
      </c>
      <c r="V395" s="218" t="s">
        <v>250</v>
      </c>
    </row>
    <row r="396" spans="1:22" ht="15.75" customHeight="1">
      <c r="A396" s="215" t="s">
        <v>1844</v>
      </c>
      <c r="B396" s="14" t="s">
        <v>1145</v>
      </c>
      <c r="C396" s="15" t="s">
        <v>253</v>
      </c>
      <c r="D396" s="13" t="s">
        <v>1845</v>
      </c>
      <c r="E396" s="14" t="s">
        <v>395</v>
      </c>
      <c r="F396" s="14" t="s">
        <v>1846</v>
      </c>
      <c r="G396" s="14" t="s">
        <v>228</v>
      </c>
      <c r="H396" s="13" t="s">
        <v>152</v>
      </c>
      <c r="I396" s="13" t="s">
        <v>80</v>
      </c>
      <c r="J396" s="13" t="s">
        <v>238</v>
      </c>
      <c r="K396" s="14" t="s">
        <v>239</v>
      </c>
      <c r="L396" s="14" t="s">
        <v>112</v>
      </c>
      <c r="M396" s="14" t="s">
        <v>240</v>
      </c>
      <c r="N396" s="14" t="s">
        <v>241</v>
      </c>
      <c r="O396" s="13">
        <v>6</v>
      </c>
      <c r="P396" s="16">
        <v>2500</v>
      </c>
      <c r="Q396" s="20" t="s">
        <v>1197</v>
      </c>
      <c r="R396" s="13">
        <v>5</v>
      </c>
      <c r="S396" s="16">
        <v>13388</v>
      </c>
      <c r="T396" s="14" t="s">
        <v>183</v>
      </c>
      <c r="U396" s="14" t="s">
        <v>143</v>
      </c>
      <c r="V396" s="217" t="s">
        <v>71</v>
      </c>
    </row>
    <row r="397" spans="1:22" ht="15.75" customHeight="1">
      <c r="A397" s="216" t="s">
        <v>1847</v>
      </c>
      <c r="B397" s="18" t="s">
        <v>1787</v>
      </c>
      <c r="C397" s="18" t="s">
        <v>74</v>
      </c>
      <c r="D397" s="17" t="s">
        <v>1848</v>
      </c>
      <c r="E397" s="18" t="s">
        <v>1589</v>
      </c>
      <c r="F397" s="18" t="s">
        <v>1849</v>
      </c>
      <c r="G397" s="18" t="s">
        <v>95</v>
      </c>
      <c r="H397" s="17" t="s">
        <v>96</v>
      </c>
      <c r="I397" s="17" t="s">
        <v>63</v>
      </c>
      <c r="J397" s="17" t="s">
        <v>97</v>
      </c>
      <c r="K397" s="18" t="s">
        <v>98</v>
      </c>
      <c r="L397" s="18" t="s">
        <v>99</v>
      </c>
      <c r="M397" s="18" t="s">
        <v>100</v>
      </c>
      <c r="N397" s="18" t="s">
        <v>101</v>
      </c>
      <c r="O397" s="17">
        <v>7</v>
      </c>
      <c r="P397" s="19">
        <v>28000</v>
      </c>
      <c r="Q397" s="17">
        <v>5</v>
      </c>
      <c r="R397" s="17">
        <v>18</v>
      </c>
      <c r="S397" s="19">
        <v>219716</v>
      </c>
      <c r="T397" s="18" t="s">
        <v>102</v>
      </c>
      <c r="U397" s="18" t="s">
        <v>211</v>
      </c>
      <c r="V397" s="218" t="s">
        <v>250</v>
      </c>
    </row>
    <row r="398" spans="1:22" ht="15.75" customHeight="1">
      <c r="A398" s="215" t="s">
        <v>1850</v>
      </c>
      <c r="B398" s="14" t="s">
        <v>727</v>
      </c>
      <c r="C398" s="15" t="s">
        <v>193</v>
      </c>
      <c r="D398" s="13" t="s">
        <v>1851</v>
      </c>
      <c r="E398" s="14" t="s">
        <v>1852</v>
      </c>
      <c r="F398" s="14" t="s">
        <v>1853</v>
      </c>
      <c r="G398" s="15" t="s">
        <v>274</v>
      </c>
      <c r="H398" s="13" t="s">
        <v>96</v>
      </c>
      <c r="I398" s="13" t="s">
        <v>63</v>
      </c>
      <c r="J398" s="13" t="s">
        <v>420</v>
      </c>
      <c r="K398" s="14" t="s">
        <v>421</v>
      </c>
      <c r="L398" s="14" t="s">
        <v>112</v>
      </c>
      <c r="M398" s="14" t="s">
        <v>422</v>
      </c>
      <c r="N398" s="14" t="s">
        <v>423</v>
      </c>
      <c r="O398" s="13">
        <v>7</v>
      </c>
      <c r="P398" s="16">
        <v>4800</v>
      </c>
      <c r="Q398" s="13">
        <v>25</v>
      </c>
      <c r="R398" s="13">
        <v>18</v>
      </c>
      <c r="S398" s="16">
        <v>29736</v>
      </c>
      <c r="T398" s="14" t="s">
        <v>69</v>
      </c>
      <c r="U398" s="14" t="s">
        <v>211</v>
      </c>
      <c r="V398" s="218" t="s">
        <v>190</v>
      </c>
    </row>
    <row r="399" spans="1:22" ht="15.75" customHeight="1">
      <c r="A399" s="216" t="s">
        <v>1854</v>
      </c>
      <c r="B399" s="18" t="s">
        <v>1129</v>
      </c>
      <c r="C399" s="15" t="s">
        <v>522</v>
      </c>
      <c r="D399" s="17" t="s">
        <v>1855</v>
      </c>
      <c r="E399" s="18" t="s">
        <v>867</v>
      </c>
      <c r="F399" s="18" t="s">
        <v>1856</v>
      </c>
      <c r="G399" s="18" t="s">
        <v>744</v>
      </c>
      <c r="H399" s="17" t="s">
        <v>79</v>
      </c>
      <c r="I399" s="20" t="s">
        <v>1020</v>
      </c>
      <c r="J399" s="17" t="s">
        <v>219</v>
      </c>
      <c r="K399" s="18" t="s">
        <v>220</v>
      </c>
      <c r="L399" s="15" t="s">
        <v>721</v>
      </c>
      <c r="M399" s="18" t="s">
        <v>100</v>
      </c>
      <c r="N399" s="18" t="s">
        <v>221</v>
      </c>
      <c r="O399" s="17">
        <v>10</v>
      </c>
      <c r="P399" s="19">
        <v>89000</v>
      </c>
      <c r="Q399" s="17">
        <v>20</v>
      </c>
      <c r="R399" s="17">
        <v>18</v>
      </c>
      <c r="S399" s="19">
        <v>840160</v>
      </c>
      <c r="T399" s="18" t="s">
        <v>326</v>
      </c>
      <c r="U399" s="15" t="s">
        <v>261</v>
      </c>
      <c r="V399" s="218" t="s">
        <v>128</v>
      </c>
    </row>
    <row r="400" spans="1:22" ht="15.75" customHeight="1">
      <c r="A400" s="215" t="s">
        <v>1857</v>
      </c>
      <c r="B400" s="14" t="s">
        <v>1858</v>
      </c>
      <c r="C400" s="15" t="s">
        <v>147</v>
      </c>
      <c r="D400" s="13" t="s">
        <v>1859</v>
      </c>
      <c r="E400" s="14" t="s">
        <v>489</v>
      </c>
      <c r="F400" s="14" t="s">
        <v>1860</v>
      </c>
      <c r="G400" s="14" t="s">
        <v>744</v>
      </c>
      <c r="H400" s="13" t="s">
        <v>79</v>
      </c>
      <c r="I400" s="13" t="s">
        <v>80</v>
      </c>
      <c r="J400" s="13" t="s">
        <v>389</v>
      </c>
      <c r="K400" s="14" t="s">
        <v>390</v>
      </c>
      <c r="L400" s="14" t="s">
        <v>99</v>
      </c>
      <c r="M400" s="14" t="s">
        <v>164</v>
      </c>
      <c r="N400" s="14" t="s">
        <v>391</v>
      </c>
      <c r="O400" s="13">
        <v>5</v>
      </c>
      <c r="P400" s="16">
        <v>1500</v>
      </c>
      <c r="Q400" s="13">
        <v>0</v>
      </c>
      <c r="R400" s="13">
        <v>18</v>
      </c>
      <c r="S400" s="16">
        <v>8850</v>
      </c>
      <c r="T400" s="14" t="s">
        <v>465</v>
      </c>
      <c r="U400" s="15" t="s">
        <v>87</v>
      </c>
      <c r="V400" s="217" t="s">
        <v>144</v>
      </c>
    </row>
    <row r="401" spans="1:22" ht="15.75" customHeight="1">
      <c r="A401" s="216" t="s">
        <v>1861</v>
      </c>
      <c r="B401" s="18" t="s">
        <v>701</v>
      </c>
      <c r="C401" s="15" t="s">
        <v>431</v>
      </c>
      <c r="D401" s="17" t="s">
        <v>1862</v>
      </c>
      <c r="E401" s="18" t="s">
        <v>1671</v>
      </c>
      <c r="F401" s="18" t="s">
        <v>1863</v>
      </c>
      <c r="G401" s="18" t="s">
        <v>485</v>
      </c>
      <c r="H401" s="17" t="s">
        <v>305</v>
      </c>
      <c r="I401" s="17" t="s">
        <v>306</v>
      </c>
      <c r="J401" s="17" t="s">
        <v>64</v>
      </c>
      <c r="K401" s="18" t="s">
        <v>65</v>
      </c>
      <c r="L401" s="18" t="s">
        <v>66</v>
      </c>
      <c r="M401" s="18" t="s">
        <v>67</v>
      </c>
      <c r="N401" s="18" t="s">
        <v>68</v>
      </c>
      <c r="O401" s="17">
        <v>7</v>
      </c>
      <c r="P401" s="19">
        <v>450</v>
      </c>
      <c r="Q401" s="17">
        <v>0</v>
      </c>
      <c r="R401" s="17">
        <v>5</v>
      </c>
      <c r="S401" s="19">
        <v>3308</v>
      </c>
      <c r="T401" s="18" t="s">
        <v>142</v>
      </c>
      <c r="U401" s="15" t="s">
        <v>87</v>
      </c>
      <c r="V401" s="219" t="s">
        <v>212</v>
      </c>
    </row>
    <row r="402" spans="1:22" ht="15.75" customHeight="1">
      <c r="A402" s="215" t="s">
        <v>1864</v>
      </c>
      <c r="B402" s="14" t="s">
        <v>1515</v>
      </c>
      <c r="C402" s="15" t="s">
        <v>747</v>
      </c>
      <c r="D402" s="13" t="s">
        <v>1865</v>
      </c>
      <c r="E402" s="14" t="s">
        <v>749</v>
      </c>
      <c r="F402" s="14" t="s">
        <v>1866</v>
      </c>
      <c r="G402" s="14" t="s">
        <v>333</v>
      </c>
      <c r="H402" s="13" t="s">
        <v>334</v>
      </c>
      <c r="I402" s="13" t="s">
        <v>63</v>
      </c>
      <c r="J402" s="13" t="s">
        <v>275</v>
      </c>
      <c r="K402" s="14" t="s">
        <v>276</v>
      </c>
      <c r="L402" s="14" t="s">
        <v>99</v>
      </c>
      <c r="M402" s="14" t="s">
        <v>277</v>
      </c>
      <c r="N402" s="14" t="s">
        <v>126</v>
      </c>
      <c r="O402" s="13">
        <v>7</v>
      </c>
      <c r="P402" s="16">
        <v>35000</v>
      </c>
      <c r="Q402" s="13">
        <v>8</v>
      </c>
      <c r="R402" s="13">
        <v>18</v>
      </c>
      <c r="S402" s="16">
        <v>265972</v>
      </c>
      <c r="T402" s="14" t="s">
        <v>102</v>
      </c>
      <c r="U402" s="15" t="s">
        <v>87</v>
      </c>
      <c r="V402" s="217" t="s">
        <v>155</v>
      </c>
    </row>
    <row r="403" spans="1:22" ht="15.75" customHeight="1">
      <c r="A403" s="216" t="s">
        <v>1867</v>
      </c>
      <c r="B403" s="18" t="s">
        <v>1868</v>
      </c>
      <c r="C403" s="15"/>
      <c r="D403" s="17" t="s">
        <v>1869</v>
      </c>
      <c r="E403" s="18" t="s">
        <v>952</v>
      </c>
      <c r="F403" s="18" t="s">
        <v>1870</v>
      </c>
      <c r="G403" s="15" t="s">
        <v>268</v>
      </c>
      <c r="H403" s="17" t="s">
        <v>122</v>
      </c>
      <c r="I403" s="17" t="s">
        <v>123</v>
      </c>
      <c r="J403" s="17" t="s">
        <v>477</v>
      </c>
      <c r="K403" s="18"/>
      <c r="L403" s="18" t="s">
        <v>139</v>
      </c>
      <c r="M403" s="18" t="s">
        <v>349</v>
      </c>
      <c r="N403" s="18" t="s">
        <v>479</v>
      </c>
      <c r="O403" s="17">
        <v>3</v>
      </c>
      <c r="P403" s="19">
        <v>2200</v>
      </c>
      <c r="Q403" s="17">
        <v>8</v>
      </c>
      <c r="R403" s="17">
        <v>12</v>
      </c>
      <c r="S403" s="19">
        <v>6801</v>
      </c>
      <c r="T403" s="18" t="s">
        <v>127</v>
      </c>
      <c r="U403" s="18" t="s">
        <v>288</v>
      </c>
      <c r="V403" s="219" t="s">
        <v>71</v>
      </c>
    </row>
    <row r="404" spans="1:22" ht="15.75" customHeight="1">
      <c r="A404" s="215" t="s">
        <v>1871</v>
      </c>
      <c r="B404" s="14" t="s">
        <v>852</v>
      </c>
      <c r="C404" s="15" t="s">
        <v>158</v>
      </c>
      <c r="D404" s="13" t="s">
        <v>1872</v>
      </c>
      <c r="E404" s="14" t="s">
        <v>324</v>
      </c>
      <c r="F404" s="14" t="s">
        <v>1873</v>
      </c>
      <c r="G404" s="14" t="s">
        <v>172</v>
      </c>
      <c r="H404" s="13" t="s">
        <v>96</v>
      </c>
      <c r="I404" s="13" t="s">
        <v>63</v>
      </c>
      <c r="J404" s="13" t="s">
        <v>376</v>
      </c>
      <c r="K404" s="14" t="s">
        <v>377</v>
      </c>
      <c r="L404" s="14" t="s">
        <v>112</v>
      </c>
      <c r="M404" s="14" t="s">
        <v>113</v>
      </c>
      <c r="N404" s="14" t="s">
        <v>378</v>
      </c>
      <c r="O404" s="13">
        <v>5</v>
      </c>
      <c r="P404" s="16">
        <v>8500</v>
      </c>
      <c r="Q404" s="13">
        <v>8</v>
      </c>
      <c r="R404" s="13">
        <v>18</v>
      </c>
      <c r="S404" s="16">
        <v>46138</v>
      </c>
      <c r="T404" s="14" t="s">
        <v>142</v>
      </c>
      <c r="U404" s="15" t="s">
        <v>261</v>
      </c>
      <c r="V404" s="218" t="s">
        <v>201</v>
      </c>
    </row>
    <row r="405" spans="1:22" ht="15.75" customHeight="1">
      <c r="A405" s="216" t="s">
        <v>1874</v>
      </c>
      <c r="B405" s="18" t="s">
        <v>1875</v>
      </c>
      <c r="C405" s="18" t="s">
        <v>482</v>
      </c>
      <c r="D405" s="17" t="s">
        <v>1876</v>
      </c>
      <c r="E405" s="18" t="s">
        <v>776</v>
      </c>
      <c r="F405" s="18" t="s">
        <v>1877</v>
      </c>
      <c r="G405" s="18" t="s">
        <v>341</v>
      </c>
      <c r="H405" s="17" t="s">
        <v>62</v>
      </c>
      <c r="I405" s="17" t="s">
        <v>63</v>
      </c>
      <c r="J405" s="17" t="s">
        <v>219</v>
      </c>
      <c r="K405" s="18" t="s">
        <v>220</v>
      </c>
      <c r="L405" s="18" t="s">
        <v>99</v>
      </c>
      <c r="M405" s="18" t="s">
        <v>100</v>
      </c>
      <c r="N405" s="18" t="s">
        <v>221</v>
      </c>
      <c r="O405" s="17">
        <v>9</v>
      </c>
      <c r="P405" s="19">
        <v>89000</v>
      </c>
      <c r="Q405" s="17">
        <v>8</v>
      </c>
      <c r="R405" s="17">
        <v>18</v>
      </c>
      <c r="S405" s="19">
        <v>869566</v>
      </c>
      <c r="T405" s="18" t="s">
        <v>86</v>
      </c>
      <c r="U405" s="18" t="s">
        <v>184</v>
      </c>
      <c r="V405" s="218" t="s">
        <v>190</v>
      </c>
    </row>
    <row r="406" spans="1:22" ht="15.75" customHeight="1">
      <c r="A406" s="215" t="s">
        <v>1878</v>
      </c>
      <c r="B406" s="14" t="s">
        <v>1879</v>
      </c>
      <c r="C406" s="15" t="s">
        <v>605</v>
      </c>
      <c r="D406" s="13" t="s">
        <v>1880</v>
      </c>
      <c r="E406" s="14" t="s">
        <v>454</v>
      </c>
      <c r="F406" s="14" t="s">
        <v>1881</v>
      </c>
      <c r="G406" s="14" t="s">
        <v>744</v>
      </c>
      <c r="H406" s="13" t="s">
        <v>79</v>
      </c>
      <c r="I406" s="13" t="s">
        <v>80</v>
      </c>
      <c r="J406" s="13" t="s">
        <v>376</v>
      </c>
      <c r="K406" s="14" t="s">
        <v>377</v>
      </c>
      <c r="L406" s="14" t="s">
        <v>112</v>
      </c>
      <c r="M406" s="14" t="s">
        <v>113</v>
      </c>
      <c r="N406" s="14" t="s">
        <v>378</v>
      </c>
      <c r="O406" s="13">
        <v>10</v>
      </c>
      <c r="P406" s="16">
        <v>8500</v>
      </c>
      <c r="Q406" s="13">
        <v>20</v>
      </c>
      <c r="R406" s="13">
        <v>18</v>
      </c>
      <c r="S406" s="16">
        <v>80240</v>
      </c>
      <c r="T406" s="14" t="s">
        <v>413</v>
      </c>
      <c r="U406" s="14" t="s">
        <v>70</v>
      </c>
      <c r="V406" s="217" t="s">
        <v>155</v>
      </c>
    </row>
    <row r="407" spans="1:22" ht="15.75" customHeight="1">
      <c r="A407" s="216" t="s">
        <v>1882</v>
      </c>
      <c r="B407" s="18" t="s">
        <v>1883</v>
      </c>
      <c r="C407" s="15" t="s">
        <v>118</v>
      </c>
      <c r="D407" s="17" t="s">
        <v>1884</v>
      </c>
      <c r="E407" s="18" t="s">
        <v>310</v>
      </c>
      <c r="F407" s="18" t="s">
        <v>1885</v>
      </c>
      <c r="G407" s="18" t="s">
        <v>248</v>
      </c>
      <c r="H407" s="17" t="s">
        <v>249</v>
      </c>
      <c r="I407" s="17" t="s">
        <v>123</v>
      </c>
      <c r="J407" s="17" t="s">
        <v>64</v>
      </c>
      <c r="K407" s="18" t="s">
        <v>65</v>
      </c>
      <c r="L407" s="18" t="s">
        <v>66</v>
      </c>
      <c r="M407" s="18" t="s">
        <v>67</v>
      </c>
      <c r="N407" s="18" t="s">
        <v>68</v>
      </c>
      <c r="O407" s="17">
        <v>1</v>
      </c>
      <c r="P407" s="19">
        <v>450</v>
      </c>
      <c r="Q407" s="20" t="s">
        <v>1886</v>
      </c>
      <c r="R407" s="17">
        <v>5</v>
      </c>
      <c r="S407" s="19">
        <v>472</v>
      </c>
      <c r="T407" s="18" t="s">
        <v>69</v>
      </c>
      <c r="U407" s="18" t="s">
        <v>288</v>
      </c>
      <c r="V407" s="218" t="s">
        <v>201</v>
      </c>
    </row>
    <row r="408" spans="1:22" ht="15.75" customHeight="1">
      <c r="A408" s="215" t="s">
        <v>1887</v>
      </c>
      <c r="B408" s="14" t="s">
        <v>1888</v>
      </c>
      <c r="C408" s="14" t="s">
        <v>106</v>
      </c>
      <c r="D408" s="13" t="s">
        <v>1889</v>
      </c>
      <c r="E408" s="14" t="s">
        <v>1038</v>
      </c>
      <c r="F408" s="14" t="s">
        <v>1890</v>
      </c>
      <c r="G408" s="14" t="s">
        <v>181</v>
      </c>
      <c r="H408" s="13" t="s">
        <v>182</v>
      </c>
      <c r="I408" s="13" t="s">
        <v>123</v>
      </c>
      <c r="J408" s="13" t="s">
        <v>97</v>
      </c>
      <c r="K408" s="14" t="s">
        <v>98</v>
      </c>
      <c r="L408" s="14" t="s">
        <v>99</v>
      </c>
      <c r="M408" s="14" t="s">
        <v>100</v>
      </c>
      <c r="N408" s="14" t="s">
        <v>101</v>
      </c>
      <c r="O408" s="13">
        <v>10</v>
      </c>
      <c r="P408" s="16">
        <v>28000</v>
      </c>
      <c r="Q408" s="13">
        <v>15</v>
      </c>
      <c r="R408" s="13">
        <v>18</v>
      </c>
      <c r="S408" s="16">
        <v>280840</v>
      </c>
      <c r="T408" s="14" t="s">
        <v>153</v>
      </c>
      <c r="U408" s="14" t="s">
        <v>70</v>
      </c>
      <c r="V408" s="218" t="s">
        <v>190</v>
      </c>
    </row>
    <row r="409" spans="1:22" ht="15.75" customHeight="1">
      <c r="A409" s="216" t="s">
        <v>1891</v>
      </c>
      <c r="B409" s="18" t="s">
        <v>1892</v>
      </c>
      <c r="C409" s="15" t="s">
        <v>842</v>
      </c>
      <c r="D409" s="17" t="s">
        <v>1893</v>
      </c>
      <c r="E409" s="18" t="s">
        <v>1093</v>
      </c>
      <c r="F409" s="18" t="s">
        <v>1894</v>
      </c>
      <c r="G409" s="18" t="s">
        <v>181</v>
      </c>
      <c r="H409" s="17" t="s">
        <v>182</v>
      </c>
      <c r="I409" s="17" t="s">
        <v>123</v>
      </c>
      <c r="J409" s="17" t="s">
        <v>897</v>
      </c>
      <c r="K409" s="18" t="s">
        <v>898</v>
      </c>
      <c r="L409" s="18" t="s">
        <v>139</v>
      </c>
      <c r="M409" s="18" t="s">
        <v>140</v>
      </c>
      <c r="N409" s="18" t="s">
        <v>899</v>
      </c>
      <c r="O409" s="17">
        <v>3</v>
      </c>
      <c r="P409" s="19">
        <v>38000</v>
      </c>
      <c r="Q409" s="17">
        <v>20</v>
      </c>
      <c r="R409" s="17">
        <v>18</v>
      </c>
      <c r="S409" s="19">
        <v>107616</v>
      </c>
      <c r="T409" s="18" t="s">
        <v>413</v>
      </c>
      <c r="U409" s="15" t="s">
        <v>87</v>
      </c>
      <c r="V409" s="219" t="s">
        <v>71</v>
      </c>
    </row>
    <row r="410" spans="1:22" ht="15.75" customHeight="1">
      <c r="A410" s="215" t="s">
        <v>1895</v>
      </c>
      <c r="B410" s="14" t="s">
        <v>1896</v>
      </c>
      <c r="C410" s="14" t="s">
        <v>1249</v>
      </c>
      <c r="D410" s="13" t="s">
        <v>1897</v>
      </c>
      <c r="E410" s="14" t="s">
        <v>1898</v>
      </c>
      <c r="F410" s="14" t="s">
        <v>1899</v>
      </c>
      <c r="G410" s="14" t="s">
        <v>181</v>
      </c>
      <c r="H410" s="13" t="s">
        <v>182</v>
      </c>
      <c r="I410" s="13" t="s">
        <v>123</v>
      </c>
      <c r="J410" s="13" t="s">
        <v>197</v>
      </c>
      <c r="K410" s="14" t="s">
        <v>198</v>
      </c>
      <c r="L410" s="14" t="s">
        <v>66</v>
      </c>
      <c r="M410" s="14" t="s">
        <v>199</v>
      </c>
      <c r="N410" s="14" t="s">
        <v>200</v>
      </c>
      <c r="O410" s="13">
        <v>4</v>
      </c>
      <c r="P410" s="16">
        <v>50</v>
      </c>
      <c r="Q410" s="13">
        <v>10</v>
      </c>
      <c r="R410" s="13">
        <v>5</v>
      </c>
      <c r="S410" s="16">
        <v>189</v>
      </c>
      <c r="T410" s="14" t="s">
        <v>86</v>
      </c>
      <c r="U410" s="14" t="s">
        <v>70</v>
      </c>
      <c r="V410" s="217" t="s">
        <v>144</v>
      </c>
    </row>
    <row r="411" spans="1:22" ht="15.75" customHeight="1">
      <c r="A411" s="216" t="s">
        <v>1900</v>
      </c>
      <c r="B411" s="18" t="s">
        <v>1315</v>
      </c>
      <c r="C411" s="15" t="s">
        <v>193</v>
      </c>
      <c r="D411" s="17" t="s">
        <v>1901</v>
      </c>
      <c r="E411" s="18" t="s">
        <v>195</v>
      </c>
      <c r="F411" s="18" t="s">
        <v>1902</v>
      </c>
      <c r="G411" s="18" t="s">
        <v>95</v>
      </c>
      <c r="H411" s="17" t="s">
        <v>96</v>
      </c>
      <c r="I411" s="17" t="s">
        <v>63</v>
      </c>
      <c r="J411" s="17" t="s">
        <v>64</v>
      </c>
      <c r="K411" s="18" t="s">
        <v>65</v>
      </c>
      <c r="L411" s="18" t="s">
        <v>66</v>
      </c>
      <c r="M411" s="18" t="s">
        <v>67</v>
      </c>
      <c r="N411" s="18" t="s">
        <v>68</v>
      </c>
      <c r="O411" s="17">
        <v>4</v>
      </c>
      <c r="P411" s="19">
        <v>450</v>
      </c>
      <c r="Q411" s="17">
        <v>12</v>
      </c>
      <c r="R411" s="17">
        <v>5</v>
      </c>
      <c r="S411" s="19">
        <v>1663</v>
      </c>
      <c r="T411" s="18" t="s">
        <v>142</v>
      </c>
      <c r="U411" s="18" t="s">
        <v>143</v>
      </c>
      <c r="V411" s="219" t="s">
        <v>212</v>
      </c>
    </row>
    <row r="412" spans="1:22" ht="15.75" customHeight="1">
      <c r="A412" s="215" t="s">
        <v>1903</v>
      </c>
      <c r="B412" s="14" t="s">
        <v>1904</v>
      </c>
      <c r="C412" s="14" t="s">
        <v>728</v>
      </c>
      <c r="D412" s="13" t="s">
        <v>1905</v>
      </c>
      <c r="E412" s="14" t="s">
        <v>849</v>
      </c>
      <c r="F412" s="14" t="s">
        <v>1906</v>
      </c>
      <c r="G412" s="14" t="s">
        <v>135</v>
      </c>
      <c r="H412" s="13" t="s">
        <v>136</v>
      </c>
      <c r="I412" s="13" t="s">
        <v>63</v>
      </c>
      <c r="J412" s="13" t="s">
        <v>137</v>
      </c>
      <c r="K412" s="14" t="s">
        <v>138</v>
      </c>
      <c r="L412" s="14" t="s">
        <v>139</v>
      </c>
      <c r="M412" s="14" t="s">
        <v>140</v>
      </c>
      <c r="N412" s="14" t="s">
        <v>141</v>
      </c>
      <c r="O412" s="13">
        <v>9</v>
      </c>
      <c r="P412" s="16">
        <v>12000</v>
      </c>
      <c r="Q412" s="13">
        <v>20</v>
      </c>
      <c r="R412" s="13">
        <v>18</v>
      </c>
      <c r="S412" s="16">
        <v>101952</v>
      </c>
      <c r="T412" s="14" t="s">
        <v>69</v>
      </c>
      <c r="U412" s="14" t="s">
        <v>184</v>
      </c>
      <c r="V412" s="218" t="s">
        <v>201</v>
      </c>
    </row>
    <row r="413" spans="1:22" ht="15.75" customHeight="1">
      <c r="A413" s="216" t="s">
        <v>1907</v>
      </c>
      <c r="B413" s="18" t="s">
        <v>1908</v>
      </c>
      <c r="C413" s="15" t="s">
        <v>91</v>
      </c>
      <c r="D413" s="17" t="s">
        <v>1909</v>
      </c>
      <c r="E413" s="18" t="s">
        <v>1126</v>
      </c>
      <c r="F413" s="18" t="s">
        <v>1910</v>
      </c>
      <c r="G413" s="18" t="s">
        <v>95</v>
      </c>
      <c r="H413" s="17" t="s">
        <v>96</v>
      </c>
      <c r="I413" s="20" t="s">
        <v>1612</v>
      </c>
      <c r="J413" s="17" t="s">
        <v>110</v>
      </c>
      <c r="K413" s="18" t="s">
        <v>111</v>
      </c>
      <c r="L413" s="18" t="s">
        <v>112</v>
      </c>
      <c r="M413" s="18" t="s">
        <v>113</v>
      </c>
      <c r="N413" s="18" t="s">
        <v>114</v>
      </c>
      <c r="O413" s="17">
        <v>10</v>
      </c>
      <c r="P413" s="19">
        <v>3500</v>
      </c>
      <c r="Q413" s="17">
        <v>12</v>
      </c>
      <c r="R413" s="17">
        <v>18</v>
      </c>
      <c r="S413" s="19">
        <v>36344</v>
      </c>
      <c r="T413" s="18" t="s">
        <v>102</v>
      </c>
      <c r="U413" s="18" t="s">
        <v>288</v>
      </c>
      <c r="V413" s="218" t="s">
        <v>201</v>
      </c>
    </row>
    <row r="414" spans="1:22" ht="15.75" customHeight="1">
      <c r="A414" s="215" t="s">
        <v>1911</v>
      </c>
      <c r="B414" s="14" t="s">
        <v>1912</v>
      </c>
      <c r="C414" s="14" t="s">
        <v>372</v>
      </c>
      <c r="D414" s="13" t="s">
        <v>1913</v>
      </c>
      <c r="E414" s="14" t="s">
        <v>427</v>
      </c>
      <c r="F414" s="14" t="s">
        <v>1914</v>
      </c>
      <c r="G414" s="14" t="s">
        <v>485</v>
      </c>
      <c r="H414" s="13" t="s">
        <v>305</v>
      </c>
      <c r="I414" s="13" t="s">
        <v>306</v>
      </c>
      <c r="J414" s="13" t="s">
        <v>491</v>
      </c>
      <c r="K414" s="14" t="s">
        <v>492</v>
      </c>
      <c r="L414" s="14" t="s">
        <v>112</v>
      </c>
      <c r="M414" s="14" t="s">
        <v>493</v>
      </c>
      <c r="N414" s="14" t="s">
        <v>494</v>
      </c>
      <c r="O414" s="13">
        <v>8</v>
      </c>
      <c r="P414" s="16">
        <v>4500</v>
      </c>
      <c r="Q414" s="13">
        <v>8</v>
      </c>
      <c r="R414" s="13">
        <v>5</v>
      </c>
      <c r="S414" s="16">
        <v>34776</v>
      </c>
      <c r="T414" s="14" t="s">
        <v>142</v>
      </c>
      <c r="U414" s="15" t="s">
        <v>87</v>
      </c>
      <c r="V414" s="217" t="s">
        <v>155</v>
      </c>
    </row>
    <row r="415" spans="1:22" ht="15.75" customHeight="1">
      <c r="A415" s="216" t="s">
        <v>1915</v>
      </c>
      <c r="B415" s="18" t="s">
        <v>1916</v>
      </c>
      <c r="C415" s="15" t="s">
        <v>91</v>
      </c>
      <c r="D415" s="17" t="s">
        <v>1917</v>
      </c>
      <c r="E415" s="18" t="s">
        <v>93</v>
      </c>
      <c r="F415" s="18" t="s">
        <v>1918</v>
      </c>
      <c r="G415" s="15" t="s">
        <v>268</v>
      </c>
      <c r="H415" s="17" t="s">
        <v>122</v>
      </c>
      <c r="I415" s="17" t="s">
        <v>123</v>
      </c>
      <c r="J415" s="17" t="s">
        <v>81</v>
      </c>
      <c r="K415" s="18" t="s">
        <v>82</v>
      </c>
      <c r="L415" s="18" t="s">
        <v>83</v>
      </c>
      <c r="M415" s="18" t="s">
        <v>84</v>
      </c>
      <c r="N415" s="18" t="s">
        <v>85</v>
      </c>
      <c r="O415" s="17">
        <v>8</v>
      </c>
      <c r="P415" s="19">
        <v>25000</v>
      </c>
      <c r="Q415" s="20" t="s">
        <v>1919</v>
      </c>
      <c r="R415" s="17">
        <v>3</v>
      </c>
      <c r="S415" s="19">
        <v>181280</v>
      </c>
      <c r="T415" s="18" t="s">
        <v>86</v>
      </c>
      <c r="U415" s="15" t="s">
        <v>103</v>
      </c>
      <c r="V415" s="219" t="s">
        <v>71</v>
      </c>
    </row>
    <row r="416" spans="1:22" ht="15.75" customHeight="1">
      <c r="A416" s="215" t="s">
        <v>1920</v>
      </c>
      <c r="B416" s="14" t="s">
        <v>1921</v>
      </c>
      <c r="C416" s="14" t="s">
        <v>131</v>
      </c>
      <c r="D416" s="13" t="s">
        <v>1922</v>
      </c>
      <c r="E416" s="14" t="s">
        <v>387</v>
      </c>
      <c r="F416" s="14" t="s">
        <v>1923</v>
      </c>
      <c r="G416" s="14" t="s">
        <v>135</v>
      </c>
      <c r="H416" s="13" t="s">
        <v>136</v>
      </c>
      <c r="I416" s="13" t="s">
        <v>63</v>
      </c>
      <c r="J416" s="13" t="s">
        <v>64</v>
      </c>
      <c r="K416" s="14" t="s">
        <v>65</v>
      </c>
      <c r="L416" s="14" t="s">
        <v>66</v>
      </c>
      <c r="M416" s="14" t="s">
        <v>67</v>
      </c>
      <c r="N416" s="14" t="s">
        <v>68</v>
      </c>
      <c r="O416" s="13">
        <v>2</v>
      </c>
      <c r="P416" s="16">
        <v>450</v>
      </c>
      <c r="Q416" s="13">
        <v>25</v>
      </c>
      <c r="R416" s="13">
        <v>5</v>
      </c>
      <c r="S416" s="16">
        <v>709</v>
      </c>
      <c r="T416" s="14" t="s">
        <v>102</v>
      </c>
      <c r="U416" s="15" t="s">
        <v>383</v>
      </c>
      <c r="V416" s="218" t="s">
        <v>190</v>
      </c>
    </row>
    <row r="417" spans="1:22" ht="15.75" customHeight="1">
      <c r="A417" s="216" t="s">
        <v>1924</v>
      </c>
      <c r="B417" s="18" t="s">
        <v>1176</v>
      </c>
      <c r="C417" s="18" t="s">
        <v>74</v>
      </c>
      <c r="D417" s="17" t="s">
        <v>1925</v>
      </c>
      <c r="E417" s="18" t="s">
        <v>454</v>
      </c>
      <c r="F417" s="18" t="s">
        <v>1926</v>
      </c>
      <c r="G417" s="15" t="s">
        <v>304</v>
      </c>
      <c r="H417" s="17" t="s">
        <v>305</v>
      </c>
      <c r="I417" s="17" t="s">
        <v>306</v>
      </c>
      <c r="J417" s="17" t="s">
        <v>97</v>
      </c>
      <c r="K417" s="18" t="s">
        <v>98</v>
      </c>
      <c r="L417" s="18" t="s">
        <v>99</v>
      </c>
      <c r="M417" s="18" t="s">
        <v>100</v>
      </c>
      <c r="N417" s="18" t="s">
        <v>101</v>
      </c>
      <c r="O417" s="17">
        <v>1</v>
      </c>
      <c r="P417" s="19">
        <v>28000</v>
      </c>
      <c r="Q417" s="17">
        <v>12</v>
      </c>
      <c r="R417" s="17">
        <v>18</v>
      </c>
      <c r="S417" s="19">
        <v>29075</v>
      </c>
      <c r="T417" s="18" t="s">
        <v>127</v>
      </c>
      <c r="U417" s="18" t="s">
        <v>143</v>
      </c>
      <c r="V417" s="218" t="s">
        <v>201</v>
      </c>
    </row>
    <row r="418" spans="1:22" ht="15.75" customHeight="1">
      <c r="A418" s="215" t="s">
        <v>1927</v>
      </c>
      <c r="B418" s="14" t="s">
        <v>1928</v>
      </c>
      <c r="C418" s="15" t="s">
        <v>317</v>
      </c>
      <c r="D418" s="13" t="s">
        <v>1929</v>
      </c>
      <c r="E418" s="14" t="s">
        <v>1624</v>
      </c>
      <c r="F418" s="14" t="s">
        <v>1930</v>
      </c>
      <c r="G418" s="14" t="s">
        <v>61</v>
      </c>
      <c r="H418" s="13" t="s">
        <v>62</v>
      </c>
      <c r="I418" s="13" t="s">
        <v>63</v>
      </c>
      <c r="J418" s="13" t="s">
        <v>420</v>
      </c>
      <c r="K418" s="14" t="s">
        <v>421</v>
      </c>
      <c r="L418" s="14" t="s">
        <v>112</v>
      </c>
      <c r="M418" s="14" t="s">
        <v>422</v>
      </c>
      <c r="N418" s="14" t="s">
        <v>423</v>
      </c>
      <c r="O418" s="13">
        <v>9</v>
      </c>
      <c r="P418" s="16">
        <v>4800</v>
      </c>
      <c r="Q418" s="13">
        <v>12</v>
      </c>
      <c r="R418" s="13">
        <v>18</v>
      </c>
      <c r="S418" s="16">
        <v>44859</v>
      </c>
      <c r="T418" s="14" t="s">
        <v>153</v>
      </c>
      <c r="U418" s="14" t="s">
        <v>288</v>
      </c>
      <c r="V418" s="218" t="s">
        <v>88</v>
      </c>
    </row>
    <row r="419" spans="1:22" ht="15.75" customHeight="1">
      <c r="A419" s="216" t="s">
        <v>1931</v>
      </c>
      <c r="B419" s="18" t="s">
        <v>1932</v>
      </c>
      <c r="C419" s="18" t="s">
        <v>106</v>
      </c>
      <c r="D419" s="17" t="s">
        <v>1933</v>
      </c>
      <c r="E419" s="18" t="s">
        <v>708</v>
      </c>
      <c r="F419" s="18" t="s">
        <v>1934</v>
      </c>
      <c r="G419" s="18" t="s">
        <v>95</v>
      </c>
      <c r="H419" s="17" t="s">
        <v>96</v>
      </c>
      <c r="I419" s="17" t="s">
        <v>63</v>
      </c>
      <c r="J419" s="17" t="s">
        <v>365</v>
      </c>
      <c r="K419" s="18" t="s">
        <v>366</v>
      </c>
      <c r="L419" s="18" t="s">
        <v>112</v>
      </c>
      <c r="M419" s="18" t="s">
        <v>367</v>
      </c>
      <c r="N419" s="18" t="s">
        <v>368</v>
      </c>
      <c r="O419" s="17">
        <v>10</v>
      </c>
      <c r="P419" s="19">
        <v>3500</v>
      </c>
      <c r="Q419" s="17">
        <v>10</v>
      </c>
      <c r="R419" s="17">
        <v>5</v>
      </c>
      <c r="S419" s="19">
        <v>33075</v>
      </c>
      <c r="T419" s="18" t="s">
        <v>102</v>
      </c>
      <c r="U419" s="15" t="s">
        <v>174</v>
      </c>
      <c r="V419" s="219" t="s">
        <v>144</v>
      </c>
    </row>
    <row r="420" spans="1:22" ht="15.75" customHeight="1">
      <c r="A420" s="215" t="s">
        <v>1935</v>
      </c>
      <c r="B420" s="14" t="s">
        <v>1936</v>
      </c>
      <c r="C420" s="15" t="s">
        <v>605</v>
      </c>
      <c r="D420" s="13" t="s">
        <v>1937</v>
      </c>
      <c r="E420" s="14"/>
      <c r="F420" s="14" t="s">
        <v>1938</v>
      </c>
      <c r="G420" s="15" t="s">
        <v>268</v>
      </c>
      <c r="H420" s="13" t="s">
        <v>122</v>
      </c>
      <c r="I420" s="13" t="s">
        <v>123</v>
      </c>
      <c r="J420" s="13" t="s">
        <v>257</v>
      </c>
      <c r="K420" s="14" t="s">
        <v>258</v>
      </c>
      <c r="L420" s="14" t="s">
        <v>139</v>
      </c>
      <c r="M420" s="14" t="s">
        <v>259</v>
      </c>
      <c r="N420" s="14" t="s">
        <v>260</v>
      </c>
      <c r="O420" s="20">
        <v>-5</v>
      </c>
      <c r="P420" s="16">
        <v>299</v>
      </c>
      <c r="Q420" s="13">
        <v>8</v>
      </c>
      <c r="R420" s="13">
        <v>18</v>
      </c>
      <c r="S420" s="21">
        <v>-1623</v>
      </c>
      <c r="T420" s="14" t="s">
        <v>183</v>
      </c>
      <c r="U420" s="15" t="s">
        <v>383</v>
      </c>
      <c r="V420" s="218" t="s">
        <v>128</v>
      </c>
    </row>
    <row r="421" spans="1:22" ht="15.75" customHeight="1">
      <c r="A421" s="216" t="s">
        <v>1939</v>
      </c>
      <c r="B421" s="18" t="s">
        <v>1733</v>
      </c>
      <c r="C421" s="15" t="s">
        <v>329</v>
      </c>
      <c r="D421" s="17" t="s">
        <v>1940</v>
      </c>
      <c r="E421" s="18" t="s">
        <v>1941</v>
      </c>
      <c r="F421" s="18" t="s">
        <v>1942</v>
      </c>
      <c r="G421" s="18" t="s">
        <v>341</v>
      </c>
      <c r="H421" s="17" t="s">
        <v>62</v>
      </c>
      <c r="I421" s="17" t="s">
        <v>63</v>
      </c>
      <c r="J421" s="17" t="s">
        <v>491</v>
      </c>
      <c r="K421" s="18" t="s">
        <v>492</v>
      </c>
      <c r="L421" s="18" t="s">
        <v>112</v>
      </c>
      <c r="M421" s="18" t="s">
        <v>493</v>
      </c>
      <c r="N421" s="18" t="s">
        <v>494</v>
      </c>
      <c r="O421" s="17">
        <v>2</v>
      </c>
      <c r="P421" s="19">
        <v>4500</v>
      </c>
      <c r="Q421" s="17">
        <v>5</v>
      </c>
      <c r="R421" s="17">
        <v>5</v>
      </c>
      <c r="S421" s="19">
        <v>8978</v>
      </c>
      <c r="T421" s="18" t="s">
        <v>465</v>
      </c>
      <c r="U421" s="18" t="s">
        <v>70</v>
      </c>
      <c r="V421" s="219" t="s">
        <v>144</v>
      </c>
    </row>
    <row r="422" spans="1:22" ht="15.75" customHeight="1">
      <c r="A422" s="215" t="s">
        <v>1943</v>
      </c>
      <c r="B422" s="14" t="s">
        <v>1944</v>
      </c>
      <c r="C422" s="15" t="s">
        <v>158</v>
      </c>
      <c r="D422" s="13" t="s">
        <v>1945</v>
      </c>
      <c r="E422" s="14" t="s">
        <v>1457</v>
      </c>
      <c r="F422" s="14" t="s">
        <v>1946</v>
      </c>
      <c r="G422" s="15" t="s">
        <v>304</v>
      </c>
      <c r="H422" s="13" t="s">
        <v>305</v>
      </c>
      <c r="I422" s="13" t="s">
        <v>306</v>
      </c>
      <c r="J422" s="13" t="s">
        <v>477</v>
      </c>
      <c r="K422" s="14" t="s">
        <v>478</v>
      </c>
      <c r="L422" s="14" t="s">
        <v>139</v>
      </c>
      <c r="M422" s="14" t="s">
        <v>349</v>
      </c>
      <c r="N422" s="14" t="s">
        <v>479</v>
      </c>
      <c r="O422" s="13">
        <v>4</v>
      </c>
      <c r="P422" s="16">
        <v>2200</v>
      </c>
      <c r="Q422" s="13">
        <v>0</v>
      </c>
      <c r="R422" s="13">
        <v>12</v>
      </c>
      <c r="S422" s="16">
        <v>9856</v>
      </c>
      <c r="T422" s="14" t="s">
        <v>115</v>
      </c>
      <c r="U422" s="14" t="s">
        <v>70</v>
      </c>
      <c r="V422" s="217" t="s">
        <v>144</v>
      </c>
    </row>
    <row r="423" spans="1:22" ht="15.75" customHeight="1">
      <c r="A423" s="216" t="s">
        <v>1947</v>
      </c>
      <c r="B423" s="18" t="s">
        <v>1948</v>
      </c>
      <c r="C423" s="15" t="s">
        <v>410</v>
      </c>
      <c r="D423" s="17" t="s">
        <v>1949</v>
      </c>
      <c r="E423" s="18" t="s">
        <v>507</v>
      </c>
      <c r="F423" s="18" t="s">
        <v>1950</v>
      </c>
      <c r="G423" s="18" t="s">
        <v>439</v>
      </c>
      <c r="H423" s="17" t="s">
        <v>364</v>
      </c>
      <c r="I423" s="17" t="s">
        <v>63</v>
      </c>
      <c r="J423" s="17" t="s">
        <v>420</v>
      </c>
      <c r="K423" s="18" t="s">
        <v>421</v>
      </c>
      <c r="L423" s="18" t="s">
        <v>112</v>
      </c>
      <c r="M423" s="18" t="s">
        <v>422</v>
      </c>
      <c r="N423" s="18" t="s">
        <v>423</v>
      </c>
      <c r="O423" s="17">
        <v>8</v>
      </c>
      <c r="P423" s="19">
        <v>4800</v>
      </c>
      <c r="Q423" s="17">
        <v>12</v>
      </c>
      <c r="R423" s="17">
        <v>18</v>
      </c>
      <c r="S423" s="19">
        <v>39875</v>
      </c>
      <c r="T423" s="18" t="s">
        <v>69</v>
      </c>
      <c r="U423" s="15" t="s">
        <v>261</v>
      </c>
      <c r="V423" s="218" t="s">
        <v>128</v>
      </c>
    </row>
    <row r="424" spans="1:22" ht="15.75" customHeight="1">
      <c r="A424" s="215" t="s">
        <v>1951</v>
      </c>
      <c r="B424" s="14" t="s">
        <v>1952</v>
      </c>
      <c r="C424" s="15" t="s">
        <v>244</v>
      </c>
      <c r="D424" s="13" t="s">
        <v>1953</v>
      </c>
      <c r="E424" s="14" t="s">
        <v>784</v>
      </c>
      <c r="F424" s="14" t="s">
        <v>1954</v>
      </c>
      <c r="G424" s="14" t="s">
        <v>341</v>
      </c>
      <c r="H424" s="13" t="s">
        <v>62</v>
      </c>
      <c r="I424" s="20" t="s">
        <v>732</v>
      </c>
      <c r="J424" s="13" t="s">
        <v>389</v>
      </c>
      <c r="K424" s="14" t="s">
        <v>390</v>
      </c>
      <c r="L424" s="14" t="s">
        <v>99</v>
      </c>
      <c r="M424" s="14" t="s">
        <v>164</v>
      </c>
      <c r="N424" s="14" t="s">
        <v>391</v>
      </c>
      <c r="O424" s="13">
        <v>6</v>
      </c>
      <c r="P424" s="16">
        <v>1500</v>
      </c>
      <c r="Q424" s="13">
        <v>20</v>
      </c>
      <c r="R424" s="13">
        <v>18</v>
      </c>
      <c r="S424" s="16">
        <v>8496</v>
      </c>
      <c r="T424" s="14" t="s">
        <v>102</v>
      </c>
      <c r="U424" s="15" t="s">
        <v>87</v>
      </c>
      <c r="V424" s="218" t="s">
        <v>190</v>
      </c>
    </row>
    <row r="425" spans="1:22" ht="15.75" customHeight="1">
      <c r="A425" s="216" t="s">
        <v>1955</v>
      </c>
      <c r="B425" s="18" t="s">
        <v>1956</v>
      </c>
      <c r="C425" s="18" t="s">
        <v>712</v>
      </c>
      <c r="D425" s="17" t="s">
        <v>1957</v>
      </c>
      <c r="E425" s="18" t="s">
        <v>1137</v>
      </c>
      <c r="F425" s="18" t="s">
        <v>1958</v>
      </c>
      <c r="G425" s="18" t="s">
        <v>333</v>
      </c>
      <c r="H425" s="17" t="s">
        <v>334</v>
      </c>
      <c r="I425" s="17" t="s">
        <v>63</v>
      </c>
      <c r="J425" s="17" t="s">
        <v>124</v>
      </c>
      <c r="K425" s="18" t="s">
        <v>125</v>
      </c>
      <c r="L425" s="18" t="s">
        <v>99</v>
      </c>
      <c r="M425" s="18" t="s">
        <v>100</v>
      </c>
      <c r="N425" s="18" t="s">
        <v>126</v>
      </c>
      <c r="O425" s="17">
        <v>9</v>
      </c>
      <c r="P425" s="19">
        <v>14000</v>
      </c>
      <c r="Q425" s="17">
        <v>20</v>
      </c>
      <c r="R425" s="17">
        <v>18</v>
      </c>
      <c r="S425" s="19">
        <v>118944</v>
      </c>
      <c r="T425" s="18" t="s">
        <v>413</v>
      </c>
      <c r="U425" s="18" t="s">
        <v>143</v>
      </c>
      <c r="V425" s="219" t="s">
        <v>212</v>
      </c>
    </row>
    <row r="426" spans="1:22" ht="15.75" customHeight="1">
      <c r="A426" s="215" t="s">
        <v>1959</v>
      </c>
      <c r="B426" s="14" t="s">
        <v>1960</v>
      </c>
      <c r="C426" s="14" t="s">
        <v>372</v>
      </c>
      <c r="D426" s="13" t="s">
        <v>1961</v>
      </c>
      <c r="E426" s="14" t="s">
        <v>1048</v>
      </c>
      <c r="F426" s="14" t="s">
        <v>1962</v>
      </c>
      <c r="G426" s="14" t="s">
        <v>95</v>
      </c>
      <c r="H426" s="13" t="s">
        <v>96</v>
      </c>
      <c r="I426" s="13" t="s">
        <v>63</v>
      </c>
      <c r="J426" s="13" t="s">
        <v>356</v>
      </c>
      <c r="K426" s="14" t="s">
        <v>357</v>
      </c>
      <c r="L426" s="14" t="s">
        <v>139</v>
      </c>
      <c r="M426" s="14" t="s">
        <v>140</v>
      </c>
      <c r="N426" s="14" t="s">
        <v>358</v>
      </c>
      <c r="O426" s="13">
        <v>1</v>
      </c>
      <c r="P426" s="16">
        <v>42000</v>
      </c>
      <c r="Q426" s="13">
        <v>15</v>
      </c>
      <c r="R426" s="13">
        <v>18</v>
      </c>
      <c r="S426" s="16">
        <v>42126</v>
      </c>
      <c r="T426" s="14" t="s">
        <v>86</v>
      </c>
      <c r="U426" s="14" t="s">
        <v>143</v>
      </c>
      <c r="V426" s="217" t="s">
        <v>71</v>
      </c>
    </row>
    <row r="427" spans="1:22" ht="15.75" customHeight="1">
      <c r="A427" s="216" t="s">
        <v>1963</v>
      </c>
      <c r="B427" s="18" t="s">
        <v>393</v>
      </c>
      <c r="C427" s="18" t="s">
        <v>728</v>
      </c>
      <c r="D427" s="17" t="s">
        <v>1964</v>
      </c>
      <c r="E427" s="18" t="s">
        <v>1142</v>
      </c>
      <c r="F427" s="18" t="s">
        <v>1965</v>
      </c>
      <c r="G427" s="18" t="s">
        <v>181</v>
      </c>
      <c r="H427" s="17" t="s">
        <v>182</v>
      </c>
      <c r="I427" s="17" t="s">
        <v>123</v>
      </c>
      <c r="J427" s="17" t="s">
        <v>162</v>
      </c>
      <c r="K427" s="18" t="s">
        <v>163</v>
      </c>
      <c r="L427" s="18" t="s">
        <v>99</v>
      </c>
      <c r="M427" s="18" t="s">
        <v>164</v>
      </c>
      <c r="N427" s="18" t="s">
        <v>165</v>
      </c>
      <c r="O427" s="20">
        <v>-1</v>
      </c>
      <c r="P427" s="19">
        <v>2800</v>
      </c>
      <c r="Q427" s="17">
        <v>15</v>
      </c>
      <c r="R427" s="17">
        <v>18</v>
      </c>
      <c r="S427" s="21">
        <v>-2808</v>
      </c>
      <c r="T427" s="18" t="s">
        <v>86</v>
      </c>
      <c r="U427" s="18" t="s">
        <v>184</v>
      </c>
      <c r="V427" s="219" t="s">
        <v>144</v>
      </c>
    </row>
    <row r="428" spans="1:22" ht="15.75" customHeight="1">
      <c r="A428" s="215" t="s">
        <v>1966</v>
      </c>
      <c r="B428" s="14" t="s">
        <v>667</v>
      </c>
      <c r="C428" s="15" t="s">
        <v>244</v>
      </c>
      <c r="D428" s="13" t="s">
        <v>1967</v>
      </c>
      <c r="E428" s="14" t="s">
        <v>589</v>
      </c>
      <c r="F428" s="14" t="s">
        <v>1968</v>
      </c>
      <c r="G428" s="15" t="s">
        <v>363</v>
      </c>
      <c r="H428" s="13" t="s">
        <v>364</v>
      </c>
      <c r="I428" s="13" t="s">
        <v>63</v>
      </c>
      <c r="J428" s="13" t="s">
        <v>491</v>
      </c>
      <c r="K428" s="14" t="s">
        <v>492</v>
      </c>
      <c r="L428" s="14" t="s">
        <v>112</v>
      </c>
      <c r="M428" s="14" t="s">
        <v>493</v>
      </c>
      <c r="N428" s="14" t="s">
        <v>494</v>
      </c>
      <c r="O428" s="13">
        <v>3</v>
      </c>
      <c r="P428" s="16">
        <v>4500</v>
      </c>
      <c r="Q428" s="13">
        <v>119</v>
      </c>
      <c r="R428" s="13">
        <v>5</v>
      </c>
      <c r="S428" s="20"/>
      <c r="T428" s="14" t="s">
        <v>86</v>
      </c>
      <c r="U428" s="14" t="s">
        <v>143</v>
      </c>
      <c r="V428" s="218" t="s">
        <v>128</v>
      </c>
    </row>
    <row r="429" spans="1:22" ht="15.75" customHeight="1">
      <c r="A429" s="216" t="s">
        <v>1969</v>
      </c>
      <c r="B429" s="18" t="s">
        <v>1464</v>
      </c>
      <c r="C429" s="15" t="s">
        <v>317</v>
      </c>
      <c r="D429" s="17" t="s">
        <v>1970</v>
      </c>
      <c r="E429" s="18" t="s">
        <v>1063</v>
      </c>
      <c r="F429" s="18" t="s">
        <v>1971</v>
      </c>
      <c r="G429" s="18" t="s">
        <v>333</v>
      </c>
      <c r="H429" s="17" t="s">
        <v>334</v>
      </c>
      <c r="I429" s="17" t="s">
        <v>63</v>
      </c>
      <c r="J429" s="17" t="s">
        <v>137</v>
      </c>
      <c r="K429" s="18" t="s">
        <v>138</v>
      </c>
      <c r="L429" s="18" t="s">
        <v>139</v>
      </c>
      <c r="M429" s="18" t="s">
        <v>140</v>
      </c>
      <c r="N429" s="18" t="s">
        <v>141</v>
      </c>
      <c r="O429" s="17">
        <v>5</v>
      </c>
      <c r="P429" s="19">
        <v>12000</v>
      </c>
      <c r="Q429" s="17">
        <v>0</v>
      </c>
      <c r="R429" s="17">
        <v>18</v>
      </c>
      <c r="S429" s="19">
        <v>70800</v>
      </c>
      <c r="T429" s="18" t="s">
        <v>102</v>
      </c>
      <c r="U429" s="18" t="s">
        <v>211</v>
      </c>
      <c r="V429" s="218" t="s">
        <v>88</v>
      </c>
    </row>
    <row r="430" spans="1:22" ht="15.75" customHeight="1">
      <c r="A430" s="215" t="s">
        <v>1972</v>
      </c>
      <c r="B430" s="14" t="s">
        <v>1276</v>
      </c>
      <c r="C430" s="15" t="s">
        <v>215</v>
      </c>
      <c r="D430" s="13" t="s">
        <v>1973</v>
      </c>
      <c r="E430" s="14" t="s">
        <v>635</v>
      </c>
      <c r="F430" s="14" t="s">
        <v>1974</v>
      </c>
      <c r="G430" s="14" t="s">
        <v>135</v>
      </c>
      <c r="H430" s="13" t="s">
        <v>136</v>
      </c>
      <c r="I430" s="13" t="s">
        <v>63</v>
      </c>
      <c r="J430" s="13" t="s">
        <v>347</v>
      </c>
      <c r="K430" s="14" t="s">
        <v>348</v>
      </c>
      <c r="L430" s="14" t="s">
        <v>139</v>
      </c>
      <c r="M430" s="14" t="s">
        <v>349</v>
      </c>
      <c r="N430" s="14" t="s">
        <v>350</v>
      </c>
      <c r="O430" s="13">
        <v>3</v>
      </c>
      <c r="P430" s="20"/>
      <c r="Q430" s="13">
        <v>15</v>
      </c>
      <c r="R430" s="13">
        <v>18</v>
      </c>
      <c r="S430" s="16">
        <v>0</v>
      </c>
      <c r="T430" s="14" t="s">
        <v>413</v>
      </c>
      <c r="U430" s="14" t="s">
        <v>211</v>
      </c>
      <c r="V430" s="217" t="s">
        <v>155</v>
      </c>
    </row>
    <row r="431" spans="1:22" ht="15.75" customHeight="1">
      <c r="A431" s="216" t="s">
        <v>1975</v>
      </c>
      <c r="B431" s="18" t="s">
        <v>1976</v>
      </c>
      <c r="C431" s="18" t="s">
        <v>712</v>
      </c>
      <c r="D431" s="17" t="s">
        <v>1977</v>
      </c>
      <c r="E431" s="18" t="s">
        <v>1978</v>
      </c>
      <c r="F431" s="18" t="s">
        <v>1979</v>
      </c>
      <c r="G431" s="18" t="s">
        <v>228</v>
      </c>
      <c r="H431" s="17" t="s">
        <v>152</v>
      </c>
      <c r="I431" s="17" t="s">
        <v>80</v>
      </c>
      <c r="J431" s="17" t="s">
        <v>376</v>
      </c>
      <c r="K431" s="18" t="s">
        <v>377</v>
      </c>
      <c r="L431" s="18" t="s">
        <v>112</v>
      </c>
      <c r="M431" s="18" t="s">
        <v>113</v>
      </c>
      <c r="N431" s="18" t="s">
        <v>378</v>
      </c>
      <c r="O431" s="17">
        <v>8</v>
      </c>
      <c r="P431" s="19">
        <v>8500</v>
      </c>
      <c r="Q431" s="17">
        <v>15</v>
      </c>
      <c r="R431" s="17">
        <v>18</v>
      </c>
      <c r="S431" s="19">
        <v>68204</v>
      </c>
      <c r="T431" s="18" t="s">
        <v>326</v>
      </c>
      <c r="U431" s="18" t="s">
        <v>211</v>
      </c>
      <c r="V431" s="218" t="s">
        <v>88</v>
      </c>
    </row>
    <row r="432" spans="1:22" ht="15.75" customHeight="1">
      <c r="A432" s="215" t="s">
        <v>1980</v>
      </c>
      <c r="B432" s="14" t="s">
        <v>1981</v>
      </c>
      <c r="C432" s="14" t="s">
        <v>482</v>
      </c>
      <c r="D432" s="13" t="s">
        <v>1982</v>
      </c>
      <c r="E432" s="14" t="s">
        <v>962</v>
      </c>
      <c r="F432" s="14" t="s">
        <v>1983</v>
      </c>
      <c r="G432" s="14" t="s">
        <v>228</v>
      </c>
      <c r="H432" s="13" t="s">
        <v>152</v>
      </c>
      <c r="I432" s="13" t="s">
        <v>80</v>
      </c>
      <c r="J432" s="13" t="s">
        <v>356</v>
      </c>
      <c r="K432" s="14" t="s">
        <v>357</v>
      </c>
      <c r="L432" s="14" t="s">
        <v>139</v>
      </c>
      <c r="M432" s="14" t="s">
        <v>140</v>
      </c>
      <c r="N432" s="14" t="s">
        <v>358</v>
      </c>
      <c r="O432" s="13">
        <v>5</v>
      </c>
      <c r="P432" s="16">
        <v>42000</v>
      </c>
      <c r="Q432" s="13">
        <v>5</v>
      </c>
      <c r="R432" s="13">
        <v>18</v>
      </c>
      <c r="S432" s="16">
        <v>235410</v>
      </c>
      <c r="T432" s="14" t="s">
        <v>86</v>
      </c>
      <c r="U432" s="14" t="s">
        <v>70</v>
      </c>
      <c r="V432" s="217" t="s">
        <v>71</v>
      </c>
    </row>
    <row r="433" spans="1:22" ht="15.75" customHeight="1">
      <c r="A433" s="216" t="s">
        <v>1984</v>
      </c>
      <c r="B433" s="18" t="s">
        <v>1985</v>
      </c>
      <c r="C433" s="18" t="s">
        <v>264</v>
      </c>
      <c r="D433" s="17" t="s">
        <v>1986</v>
      </c>
      <c r="E433" s="18" t="s">
        <v>266</v>
      </c>
      <c r="F433" s="18" t="s">
        <v>1987</v>
      </c>
      <c r="G433" s="18" t="s">
        <v>248</v>
      </c>
      <c r="H433" s="17" t="s">
        <v>249</v>
      </c>
      <c r="I433" s="17" t="s">
        <v>123</v>
      </c>
      <c r="J433" s="17" t="s">
        <v>312</v>
      </c>
      <c r="K433" s="18" t="s">
        <v>313</v>
      </c>
      <c r="L433" s="18" t="s">
        <v>66</v>
      </c>
      <c r="M433" s="18" t="s">
        <v>199</v>
      </c>
      <c r="N433" s="18" t="s">
        <v>314</v>
      </c>
      <c r="O433" s="17">
        <v>8</v>
      </c>
      <c r="P433" s="19">
        <v>40</v>
      </c>
      <c r="Q433" s="17">
        <v>10</v>
      </c>
      <c r="R433" s="17">
        <v>5</v>
      </c>
      <c r="S433" s="19">
        <v>302</v>
      </c>
      <c r="T433" s="18" t="s">
        <v>115</v>
      </c>
      <c r="U433" s="18" t="s">
        <v>211</v>
      </c>
      <c r="V433" s="218" t="s">
        <v>88</v>
      </c>
    </row>
    <row r="434" spans="1:22" ht="15.75" customHeight="1">
      <c r="A434" s="215" t="s">
        <v>1988</v>
      </c>
      <c r="B434" s="14" t="s">
        <v>452</v>
      </c>
      <c r="C434" s="14" t="s">
        <v>264</v>
      </c>
      <c r="D434" s="13" t="s">
        <v>1989</v>
      </c>
      <c r="E434" s="14" t="s">
        <v>302</v>
      </c>
      <c r="F434" s="14" t="s">
        <v>1990</v>
      </c>
      <c r="G434" s="14" t="s">
        <v>78</v>
      </c>
      <c r="H434" s="13" t="s">
        <v>79</v>
      </c>
      <c r="I434" s="13" t="s">
        <v>80</v>
      </c>
      <c r="J434" s="13" t="s">
        <v>365</v>
      </c>
      <c r="K434" s="14" t="s">
        <v>366</v>
      </c>
      <c r="L434" s="14" t="s">
        <v>112</v>
      </c>
      <c r="M434" s="14" t="s">
        <v>367</v>
      </c>
      <c r="N434" s="14" t="s">
        <v>368</v>
      </c>
      <c r="O434" s="20">
        <v>-4</v>
      </c>
      <c r="P434" s="16">
        <v>3500</v>
      </c>
      <c r="Q434" s="13">
        <v>8</v>
      </c>
      <c r="R434" s="13">
        <v>5</v>
      </c>
      <c r="S434" s="21">
        <v>-13524</v>
      </c>
      <c r="T434" s="14" t="s">
        <v>465</v>
      </c>
      <c r="U434" s="15" t="s">
        <v>103</v>
      </c>
      <c r="V434" s="218" t="s">
        <v>190</v>
      </c>
    </row>
    <row r="435" spans="1:22" ht="15.75" customHeight="1">
      <c r="A435" s="216" t="s">
        <v>1991</v>
      </c>
      <c r="B435" s="18" t="s">
        <v>1992</v>
      </c>
      <c r="C435" s="15" t="s">
        <v>271</v>
      </c>
      <c r="D435" s="17" t="s">
        <v>1993</v>
      </c>
      <c r="E435" s="18" t="s">
        <v>1994</v>
      </c>
      <c r="F435" s="18" t="s">
        <v>1995</v>
      </c>
      <c r="G435" s="18" t="s">
        <v>248</v>
      </c>
      <c r="H435" s="17" t="s">
        <v>249</v>
      </c>
      <c r="I435" s="17" t="s">
        <v>123</v>
      </c>
      <c r="J435" s="17" t="s">
        <v>124</v>
      </c>
      <c r="K435" s="18" t="s">
        <v>125</v>
      </c>
      <c r="L435" s="18" t="s">
        <v>99</v>
      </c>
      <c r="M435" s="18" t="s">
        <v>100</v>
      </c>
      <c r="N435" s="18" t="s">
        <v>126</v>
      </c>
      <c r="O435" s="17">
        <v>1</v>
      </c>
      <c r="P435" s="19">
        <v>14000</v>
      </c>
      <c r="Q435" s="17">
        <v>12</v>
      </c>
      <c r="R435" s="17">
        <v>18</v>
      </c>
      <c r="S435" s="19">
        <v>14538</v>
      </c>
      <c r="T435" s="18" t="s">
        <v>326</v>
      </c>
      <c r="U435" s="15" t="s">
        <v>87</v>
      </c>
      <c r="V435" s="219" t="s">
        <v>144</v>
      </c>
    </row>
    <row r="436" spans="1:22" ht="15.75" customHeight="1">
      <c r="A436" s="215" t="s">
        <v>1996</v>
      </c>
      <c r="B436" s="14" t="s">
        <v>1997</v>
      </c>
      <c r="C436" s="14" t="s">
        <v>639</v>
      </c>
      <c r="D436" s="13" t="s">
        <v>1998</v>
      </c>
      <c r="E436" s="14" t="s">
        <v>641</v>
      </c>
      <c r="F436" s="15"/>
      <c r="G436" s="14" t="s">
        <v>78</v>
      </c>
      <c r="H436" s="13" t="s">
        <v>79</v>
      </c>
      <c r="I436" s="13" t="s">
        <v>80</v>
      </c>
      <c r="J436" s="13" t="s">
        <v>207</v>
      </c>
      <c r="K436" s="14" t="s">
        <v>208</v>
      </c>
      <c r="L436" s="14" t="s">
        <v>99</v>
      </c>
      <c r="M436" s="14" t="s">
        <v>209</v>
      </c>
      <c r="N436" s="14" t="s">
        <v>210</v>
      </c>
      <c r="O436" s="13">
        <v>7</v>
      </c>
      <c r="P436" s="16">
        <v>55000</v>
      </c>
      <c r="Q436" s="13">
        <v>0</v>
      </c>
      <c r="R436" s="13">
        <v>18</v>
      </c>
      <c r="S436" s="16">
        <v>454300</v>
      </c>
      <c r="T436" s="14" t="s">
        <v>127</v>
      </c>
      <c r="U436" s="14" t="s">
        <v>184</v>
      </c>
      <c r="V436" s="217" t="s">
        <v>71</v>
      </c>
    </row>
    <row r="437" spans="1:22" ht="15.75" customHeight="1">
      <c r="A437" s="216" t="s">
        <v>1999</v>
      </c>
      <c r="B437" s="18" t="s">
        <v>2000</v>
      </c>
      <c r="C437" s="15" t="s">
        <v>431</v>
      </c>
      <c r="D437" s="17" t="s">
        <v>2001</v>
      </c>
      <c r="E437" s="18" t="s">
        <v>1671</v>
      </c>
      <c r="F437" s="18" t="s">
        <v>2002</v>
      </c>
      <c r="G437" s="15" t="s">
        <v>407</v>
      </c>
      <c r="H437" s="17" t="s">
        <v>152</v>
      </c>
      <c r="I437" s="17" t="s">
        <v>80</v>
      </c>
      <c r="J437" s="17" t="s">
        <v>137</v>
      </c>
      <c r="K437" s="18" t="s">
        <v>138</v>
      </c>
      <c r="L437" s="18" t="s">
        <v>139</v>
      </c>
      <c r="M437" s="18" t="s">
        <v>140</v>
      </c>
      <c r="N437" s="18" t="s">
        <v>141</v>
      </c>
      <c r="O437" s="17">
        <v>10</v>
      </c>
      <c r="P437" s="19">
        <v>12000</v>
      </c>
      <c r="Q437" s="17">
        <v>12</v>
      </c>
      <c r="R437" s="17">
        <v>18</v>
      </c>
      <c r="S437" s="19">
        <v>124608</v>
      </c>
      <c r="T437" s="18" t="s">
        <v>115</v>
      </c>
      <c r="U437" s="18" t="s">
        <v>184</v>
      </c>
      <c r="V437" s="219" t="s">
        <v>155</v>
      </c>
    </row>
    <row r="438" spans="1:22" ht="15.75" customHeight="1">
      <c r="A438" s="215" t="s">
        <v>2003</v>
      </c>
      <c r="B438" s="14" t="s">
        <v>2004</v>
      </c>
      <c r="C438" s="15" t="s">
        <v>605</v>
      </c>
      <c r="D438" s="13" t="s">
        <v>2005</v>
      </c>
      <c r="E438" s="14" t="s">
        <v>971</v>
      </c>
      <c r="F438" s="15"/>
      <c r="G438" s="14" t="s">
        <v>228</v>
      </c>
      <c r="H438" s="13" t="s">
        <v>152</v>
      </c>
      <c r="I438" s="13" t="s">
        <v>80</v>
      </c>
      <c r="J438" s="13" t="s">
        <v>64</v>
      </c>
      <c r="K438" s="14" t="s">
        <v>65</v>
      </c>
      <c r="L438" s="14" t="s">
        <v>66</v>
      </c>
      <c r="M438" s="14" t="s">
        <v>67</v>
      </c>
      <c r="N438" s="14" t="s">
        <v>68</v>
      </c>
      <c r="O438" s="13">
        <v>6</v>
      </c>
      <c r="P438" s="16">
        <v>450</v>
      </c>
      <c r="Q438" s="13">
        <v>25</v>
      </c>
      <c r="R438" s="13">
        <v>5</v>
      </c>
      <c r="S438" s="16">
        <v>2126</v>
      </c>
      <c r="T438" s="14" t="s">
        <v>326</v>
      </c>
      <c r="U438" s="15" t="s">
        <v>383</v>
      </c>
      <c r="V438" s="218" t="s">
        <v>250</v>
      </c>
    </row>
    <row r="439" spans="1:22" ht="15.75" customHeight="1">
      <c r="A439" s="216" t="s">
        <v>2006</v>
      </c>
      <c r="B439" s="18" t="s">
        <v>2007</v>
      </c>
      <c r="C439" s="15" t="s">
        <v>118</v>
      </c>
      <c r="D439" s="17" t="s">
        <v>2008</v>
      </c>
      <c r="E439" s="18" t="s">
        <v>405</v>
      </c>
      <c r="F439" s="18" t="s">
        <v>2009</v>
      </c>
      <c r="G439" s="18" t="s">
        <v>135</v>
      </c>
      <c r="H439" s="17" t="s">
        <v>136</v>
      </c>
      <c r="I439" s="17" t="s">
        <v>63</v>
      </c>
      <c r="J439" s="17" t="s">
        <v>347</v>
      </c>
      <c r="K439" s="18" t="s">
        <v>348</v>
      </c>
      <c r="L439" s="18" t="s">
        <v>139</v>
      </c>
      <c r="M439" s="18" t="s">
        <v>349</v>
      </c>
      <c r="N439" s="18" t="s">
        <v>350</v>
      </c>
      <c r="O439" s="17">
        <v>1</v>
      </c>
      <c r="P439" s="19">
        <v>3200</v>
      </c>
      <c r="Q439" s="17">
        <v>0</v>
      </c>
      <c r="R439" s="17">
        <v>18</v>
      </c>
      <c r="S439" s="19">
        <v>3776</v>
      </c>
      <c r="T439" s="18" t="s">
        <v>183</v>
      </c>
      <c r="U439" s="15" t="s">
        <v>87</v>
      </c>
      <c r="V439" s="218" t="s">
        <v>190</v>
      </c>
    </row>
    <row r="440" spans="1:22" ht="15.75" customHeight="1">
      <c r="A440" s="215" t="s">
        <v>2010</v>
      </c>
      <c r="B440" s="14" t="s">
        <v>2011</v>
      </c>
      <c r="C440" s="14" t="s">
        <v>461</v>
      </c>
      <c r="D440" s="13" t="s">
        <v>2012</v>
      </c>
      <c r="E440" s="14" t="s">
        <v>463</v>
      </c>
      <c r="F440" s="14" t="s">
        <v>2013</v>
      </c>
      <c r="G440" s="14" t="s">
        <v>122</v>
      </c>
      <c r="H440" s="13" t="s">
        <v>122</v>
      </c>
      <c r="I440" s="13" t="s">
        <v>123</v>
      </c>
      <c r="J440" s="13" t="s">
        <v>64</v>
      </c>
      <c r="K440" s="14" t="s">
        <v>65</v>
      </c>
      <c r="L440" s="14" t="s">
        <v>66</v>
      </c>
      <c r="M440" s="14" t="s">
        <v>67</v>
      </c>
      <c r="N440" s="14" t="s">
        <v>68</v>
      </c>
      <c r="O440" s="13">
        <v>9</v>
      </c>
      <c r="P440" s="16">
        <v>450</v>
      </c>
      <c r="Q440" s="13">
        <v>25</v>
      </c>
      <c r="R440" s="13">
        <v>5</v>
      </c>
      <c r="S440" s="16">
        <v>3189</v>
      </c>
      <c r="T440" s="14" t="s">
        <v>413</v>
      </c>
      <c r="U440" s="15" t="s">
        <v>87</v>
      </c>
      <c r="V440" s="218" t="s">
        <v>201</v>
      </c>
    </row>
    <row r="441" spans="1:22" ht="15.75" customHeight="1">
      <c r="A441" s="216" t="s">
        <v>2014</v>
      </c>
      <c r="B441" s="18" t="s">
        <v>2015</v>
      </c>
      <c r="C441" s="18" t="s">
        <v>372</v>
      </c>
      <c r="D441" s="17" t="s">
        <v>2016</v>
      </c>
      <c r="E441" s="18" t="s">
        <v>374</v>
      </c>
      <c r="F441" s="18" t="s">
        <v>2017</v>
      </c>
      <c r="G441" s="18" t="s">
        <v>341</v>
      </c>
      <c r="H441" s="17" t="s">
        <v>62</v>
      </c>
      <c r="I441" s="17" t="s">
        <v>63</v>
      </c>
      <c r="J441" s="17" t="s">
        <v>347</v>
      </c>
      <c r="K441" s="18" t="s">
        <v>348</v>
      </c>
      <c r="L441" s="18" t="s">
        <v>139</v>
      </c>
      <c r="M441" s="18" t="s">
        <v>349</v>
      </c>
      <c r="N441" s="18" t="s">
        <v>350</v>
      </c>
      <c r="O441" s="17">
        <v>8</v>
      </c>
      <c r="P441" s="19">
        <v>3200</v>
      </c>
      <c r="Q441" s="17">
        <v>8</v>
      </c>
      <c r="R441" s="17">
        <v>18</v>
      </c>
      <c r="S441" s="19">
        <v>27791</v>
      </c>
      <c r="T441" s="18" t="s">
        <v>102</v>
      </c>
      <c r="U441" s="15" t="s">
        <v>87</v>
      </c>
      <c r="V441" s="218" t="s">
        <v>128</v>
      </c>
    </row>
    <row r="442" spans="1:22" ht="15.75" customHeight="1">
      <c r="A442" s="215" t="s">
        <v>2018</v>
      </c>
      <c r="B442" s="14" t="s">
        <v>2019</v>
      </c>
      <c r="C442" s="15" t="s">
        <v>193</v>
      </c>
      <c r="D442" s="13" t="s">
        <v>2020</v>
      </c>
      <c r="E442" s="14" t="s">
        <v>1852</v>
      </c>
      <c r="F442" s="14" t="s">
        <v>2021</v>
      </c>
      <c r="G442" s="14" t="s">
        <v>439</v>
      </c>
      <c r="H442" s="13" t="s">
        <v>364</v>
      </c>
      <c r="I442" s="13" t="s">
        <v>63</v>
      </c>
      <c r="J442" s="13" t="s">
        <v>295</v>
      </c>
      <c r="K442" s="14" t="s">
        <v>296</v>
      </c>
      <c r="L442" s="14" t="s">
        <v>66</v>
      </c>
      <c r="M442" s="14" t="s">
        <v>297</v>
      </c>
      <c r="N442" s="14" t="s">
        <v>298</v>
      </c>
      <c r="O442" s="13">
        <v>3</v>
      </c>
      <c r="P442" s="16">
        <v>280</v>
      </c>
      <c r="Q442" s="13">
        <v>5</v>
      </c>
      <c r="R442" s="13">
        <v>5</v>
      </c>
      <c r="S442" s="16">
        <v>838</v>
      </c>
      <c r="T442" s="14" t="s">
        <v>115</v>
      </c>
      <c r="U442" s="14" t="s">
        <v>143</v>
      </c>
      <c r="V442" s="218" t="s">
        <v>128</v>
      </c>
    </row>
    <row r="443" spans="1:22" ht="15.75" customHeight="1">
      <c r="A443" s="216" t="s">
        <v>2022</v>
      </c>
      <c r="B443" s="18" t="s">
        <v>1829</v>
      </c>
      <c r="C443" s="18" t="s">
        <v>337</v>
      </c>
      <c r="D443" s="17" t="s">
        <v>2023</v>
      </c>
      <c r="E443" s="18" t="s">
        <v>2024</v>
      </c>
      <c r="F443" s="18" t="s">
        <v>2025</v>
      </c>
      <c r="G443" s="18" t="s">
        <v>95</v>
      </c>
      <c r="H443" s="17" t="s">
        <v>96</v>
      </c>
      <c r="I443" s="17" t="s">
        <v>63</v>
      </c>
      <c r="J443" s="17" t="s">
        <v>897</v>
      </c>
      <c r="K443" s="18" t="s">
        <v>898</v>
      </c>
      <c r="L443" s="18" t="s">
        <v>139</v>
      </c>
      <c r="M443" s="18" t="s">
        <v>140</v>
      </c>
      <c r="N443" s="18" t="s">
        <v>899</v>
      </c>
      <c r="O443" s="17">
        <v>6</v>
      </c>
      <c r="P443" s="19">
        <v>38000</v>
      </c>
      <c r="Q443" s="17">
        <v>20</v>
      </c>
      <c r="R443" s="17">
        <v>18</v>
      </c>
      <c r="S443" s="19">
        <v>215232</v>
      </c>
      <c r="T443" s="18" t="s">
        <v>115</v>
      </c>
      <c r="U443" s="15" t="s">
        <v>87</v>
      </c>
      <c r="V443" s="219" t="s">
        <v>144</v>
      </c>
    </row>
    <row r="444" spans="1:22" ht="15.75" customHeight="1">
      <c r="A444" s="215" t="s">
        <v>2026</v>
      </c>
      <c r="B444" s="14" t="s">
        <v>2027</v>
      </c>
      <c r="C444" s="15" t="s">
        <v>224</v>
      </c>
      <c r="D444" s="13" t="s">
        <v>2028</v>
      </c>
      <c r="E444" s="14" t="s">
        <v>569</v>
      </c>
      <c r="F444" s="14" t="s">
        <v>2029</v>
      </c>
      <c r="G444" s="14" t="s">
        <v>248</v>
      </c>
      <c r="H444" s="13" t="s">
        <v>249</v>
      </c>
      <c r="I444" s="13" t="s">
        <v>123</v>
      </c>
      <c r="J444" s="13" t="s">
        <v>312</v>
      </c>
      <c r="K444" s="14" t="s">
        <v>313</v>
      </c>
      <c r="L444" s="14" t="s">
        <v>66</v>
      </c>
      <c r="M444" s="14" t="s">
        <v>199</v>
      </c>
      <c r="N444" s="14" t="s">
        <v>314</v>
      </c>
      <c r="O444" s="13">
        <v>8</v>
      </c>
      <c r="P444" s="16">
        <v>40</v>
      </c>
      <c r="Q444" s="13">
        <v>20</v>
      </c>
      <c r="R444" s="13">
        <v>5</v>
      </c>
      <c r="S444" s="16">
        <v>269</v>
      </c>
      <c r="T444" s="14" t="s">
        <v>115</v>
      </c>
      <c r="U444" s="14" t="s">
        <v>211</v>
      </c>
      <c r="V444" s="218" t="s">
        <v>88</v>
      </c>
    </row>
    <row r="445" spans="1:22" ht="15.75" customHeight="1">
      <c r="A445" s="216" t="s">
        <v>2030</v>
      </c>
      <c r="B445" s="18" t="s">
        <v>2031</v>
      </c>
      <c r="C445" s="15" t="s">
        <v>57</v>
      </c>
      <c r="D445" s="17" t="s">
        <v>2032</v>
      </c>
      <c r="E445" s="18" t="s">
        <v>418</v>
      </c>
      <c r="F445" s="18" t="s">
        <v>2033</v>
      </c>
      <c r="G445" s="18" t="s">
        <v>181</v>
      </c>
      <c r="H445" s="17" t="s">
        <v>182</v>
      </c>
      <c r="I445" s="17" t="s">
        <v>123</v>
      </c>
      <c r="J445" s="17" t="s">
        <v>97</v>
      </c>
      <c r="K445" s="18" t="s">
        <v>98</v>
      </c>
      <c r="L445" s="18" t="s">
        <v>99</v>
      </c>
      <c r="M445" s="18" t="s">
        <v>100</v>
      </c>
      <c r="N445" s="18" t="s">
        <v>101</v>
      </c>
      <c r="O445" s="17">
        <v>10</v>
      </c>
      <c r="P445" s="19">
        <v>28000</v>
      </c>
      <c r="Q445" s="17">
        <v>10</v>
      </c>
      <c r="R445" s="17">
        <v>18</v>
      </c>
      <c r="S445" s="19">
        <v>297360</v>
      </c>
      <c r="T445" s="18" t="s">
        <v>326</v>
      </c>
      <c r="U445" s="18" t="s">
        <v>211</v>
      </c>
      <c r="V445" s="219" t="s">
        <v>144</v>
      </c>
    </row>
    <row r="446" spans="1:22" ht="15.75" customHeight="1">
      <c r="A446" s="215" t="s">
        <v>2034</v>
      </c>
      <c r="B446" s="14" t="s">
        <v>300</v>
      </c>
      <c r="C446" s="15" t="s">
        <v>147</v>
      </c>
      <c r="D446" s="13" t="s">
        <v>2035</v>
      </c>
      <c r="E446" s="14" t="s">
        <v>149</v>
      </c>
      <c r="F446" s="14" t="s">
        <v>2036</v>
      </c>
      <c r="G446" s="14" t="s">
        <v>341</v>
      </c>
      <c r="H446" s="13" t="s">
        <v>62</v>
      </c>
      <c r="I446" s="13" t="s">
        <v>63</v>
      </c>
      <c r="J446" s="13" t="s">
        <v>97</v>
      </c>
      <c r="K446" s="14" t="s">
        <v>98</v>
      </c>
      <c r="L446" s="14" t="s">
        <v>99</v>
      </c>
      <c r="M446" s="14" t="s">
        <v>100</v>
      </c>
      <c r="N446" s="14" t="s">
        <v>101</v>
      </c>
      <c r="O446" s="13">
        <v>8</v>
      </c>
      <c r="P446" s="16">
        <v>28000</v>
      </c>
      <c r="Q446" s="13">
        <v>12</v>
      </c>
      <c r="R446" s="13">
        <v>18</v>
      </c>
      <c r="S446" s="16">
        <v>232602</v>
      </c>
      <c r="T446" s="14" t="s">
        <v>153</v>
      </c>
      <c r="U446" s="14" t="s">
        <v>70</v>
      </c>
      <c r="V446" s="217" t="s">
        <v>212</v>
      </c>
    </row>
    <row r="447" spans="1:22" ht="15.75" customHeight="1">
      <c r="A447" s="216" t="s">
        <v>2037</v>
      </c>
      <c r="B447" s="18" t="s">
        <v>2038</v>
      </c>
      <c r="C447" s="18" t="s">
        <v>482</v>
      </c>
      <c r="D447" s="17" t="s">
        <v>2039</v>
      </c>
      <c r="E447" s="18" t="s">
        <v>1115</v>
      </c>
      <c r="F447" s="18" t="s">
        <v>2040</v>
      </c>
      <c r="G447" s="18" t="s">
        <v>248</v>
      </c>
      <c r="H447" s="17" t="s">
        <v>249</v>
      </c>
      <c r="I447" s="17" t="s">
        <v>123</v>
      </c>
      <c r="J447" s="17" t="s">
        <v>219</v>
      </c>
      <c r="K447" s="18" t="s">
        <v>220</v>
      </c>
      <c r="L447" s="18" t="s">
        <v>99</v>
      </c>
      <c r="M447" s="18" t="s">
        <v>100</v>
      </c>
      <c r="N447" s="18" t="s">
        <v>221</v>
      </c>
      <c r="O447" s="17">
        <v>9</v>
      </c>
      <c r="P447" s="20"/>
      <c r="Q447" s="17">
        <v>0</v>
      </c>
      <c r="R447" s="17">
        <v>18</v>
      </c>
      <c r="S447" s="19">
        <v>0</v>
      </c>
      <c r="T447" s="18" t="s">
        <v>413</v>
      </c>
      <c r="U447" s="15" t="s">
        <v>154</v>
      </c>
      <c r="V447" s="218" t="s">
        <v>88</v>
      </c>
    </row>
    <row r="448" spans="1:22" ht="15.75" customHeight="1">
      <c r="A448" s="215" t="s">
        <v>2041</v>
      </c>
      <c r="B448" s="14" t="s">
        <v>2042</v>
      </c>
      <c r="C448" s="14" t="s">
        <v>461</v>
      </c>
      <c r="D448" s="13" t="s">
        <v>2043</v>
      </c>
      <c r="E448" s="14" t="s">
        <v>2044</v>
      </c>
      <c r="F448" s="14" t="s">
        <v>2045</v>
      </c>
      <c r="G448" s="15" t="s">
        <v>268</v>
      </c>
      <c r="H448" s="13" t="s">
        <v>122</v>
      </c>
      <c r="I448" s="13" t="s">
        <v>123</v>
      </c>
      <c r="J448" s="13" t="s">
        <v>162</v>
      </c>
      <c r="K448" s="14" t="s">
        <v>163</v>
      </c>
      <c r="L448" s="14" t="s">
        <v>99</v>
      </c>
      <c r="M448" s="14" t="s">
        <v>164</v>
      </c>
      <c r="N448" s="14" t="s">
        <v>165</v>
      </c>
      <c r="O448" s="13">
        <v>3</v>
      </c>
      <c r="P448" s="16">
        <v>2800</v>
      </c>
      <c r="Q448" s="13">
        <v>10</v>
      </c>
      <c r="R448" s="13">
        <v>18</v>
      </c>
      <c r="S448" s="16">
        <v>8921</v>
      </c>
      <c r="T448" s="14" t="s">
        <v>115</v>
      </c>
      <c r="U448" s="14" t="s">
        <v>288</v>
      </c>
      <c r="V448" s="218" t="s">
        <v>88</v>
      </c>
    </row>
    <row r="449" spans="1:22" ht="15.75" customHeight="1">
      <c r="A449" s="216" t="s">
        <v>2046</v>
      </c>
      <c r="B449" s="18" t="s">
        <v>2047</v>
      </c>
      <c r="C449" s="15" t="s">
        <v>253</v>
      </c>
      <c r="D449" s="17" t="s">
        <v>2048</v>
      </c>
      <c r="E449" s="18" t="s">
        <v>454</v>
      </c>
      <c r="F449" s="18" t="s">
        <v>2049</v>
      </c>
      <c r="G449" s="18" t="s">
        <v>744</v>
      </c>
      <c r="H449" s="17" t="s">
        <v>79</v>
      </c>
      <c r="I449" s="17" t="s">
        <v>80</v>
      </c>
      <c r="J449" s="17" t="s">
        <v>81</v>
      </c>
      <c r="K449" s="18" t="s">
        <v>82</v>
      </c>
      <c r="L449" s="18" t="s">
        <v>83</v>
      </c>
      <c r="M449" s="18" t="s">
        <v>84</v>
      </c>
      <c r="N449" s="18" t="s">
        <v>85</v>
      </c>
      <c r="O449" s="17">
        <v>7</v>
      </c>
      <c r="P449" s="19">
        <v>25000</v>
      </c>
      <c r="Q449" s="17">
        <v>20</v>
      </c>
      <c r="R449" s="17">
        <v>3</v>
      </c>
      <c r="S449" s="19">
        <v>144200</v>
      </c>
      <c r="T449" s="18" t="s">
        <v>142</v>
      </c>
      <c r="U449" s="15" t="s">
        <v>87</v>
      </c>
      <c r="V449" s="218" t="s">
        <v>250</v>
      </c>
    </row>
    <row r="450" spans="1:22" ht="15.75" customHeight="1">
      <c r="A450" s="215" t="s">
        <v>2050</v>
      </c>
      <c r="B450" s="14" t="s">
        <v>969</v>
      </c>
      <c r="C450" s="15" t="s">
        <v>522</v>
      </c>
      <c r="D450" s="13" t="s">
        <v>2051</v>
      </c>
      <c r="E450" s="14" t="s">
        <v>1058</v>
      </c>
      <c r="F450" s="14" t="s">
        <v>2052</v>
      </c>
      <c r="G450" s="14" t="s">
        <v>228</v>
      </c>
      <c r="H450" s="13" t="s">
        <v>152</v>
      </c>
      <c r="I450" s="13" t="s">
        <v>80</v>
      </c>
      <c r="J450" s="13" t="s">
        <v>897</v>
      </c>
      <c r="K450" s="14" t="s">
        <v>898</v>
      </c>
      <c r="L450" s="14" t="s">
        <v>139</v>
      </c>
      <c r="M450" s="14" t="s">
        <v>140</v>
      </c>
      <c r="N450" s="14" t="s">
        <v>899</v>
      </c>
      <c r="O450" s="13">
        <v>7</v>
      </c>
      <c r="P450" s="16">
        <v>38000</v>
      </c>
      <c r="Q450" s="13">
        <v>0</v>
      </c>
      <c r="R450" s="13">
        <v>18</v>
      </c>
      <c r="S450" s="16">
        <v>313880</v>
      </c>
      <c r="T450" s="14" t="s">
        <v>115</v>
      </c>
      <c r="U450" s="15" t="s">
        <v>103</v>
      </c>
      <c r="V450" s="218" t="s">
        <v>88</v>
      </c>
    </row>
    <row r="451" spans="1:22" ht="15.75" customHeight="1">
      <c r="A451" s="216" t="s">
        <v>2053</v>
      </c>
      <c r="B451" s="18" t="s">
        <v>2054</v>
      </c>
      <c r="C451" s="15" t="s">
        <v>271</v>
      </c>
      <c r="D451" s="17" t="s">
        <v>2055</v>
      </c>
      <c r="E451" s="18" t="s">
        <v>886</v>
      </c>
      <c r="F451" s="18" t="s">
        <v>2056</v>
      </c>
      <c r="G451" s="18" t="s">
        <v>61</v>
      </c>
      <c r="H451" s="17" t="s">
        <v>62</v>
      </c>
      <c r="I451" s="17" t="s">
        <v>63</v>
      </c>
      <c r="J451" s="17" t="s">
        <v>491</v>
      </c>
      <c r="K451" s="18" t="s">
        <v>492</v>
      </c>
      <c r="L451" s="18" t="s">
        <v>112</v>
      </c>
      <c r="M451" s="18" t="s">
        <v>493</v>
      </c>
      <c r="N451" s="18" t="s">
        <v>494</v>
      </c>
      <c r="O451" s="17">
        <v>2</v>
      </c>
      <c r="P451" s="19">
        <v>4500</v>
      </c>
      <c r="Q451" s="17">
        <v>8</v>
      </c>
      <c r="R451" s="17">
        <v>5</v>
      </c>
      <c r="S451" s="19">
        <v>8694</v>
      </c>
      <c r="T451" s="18" t="s">
        <v>127</v>
      </c>
      <c r="U451" s="18" t="s">
        <v>184</v>
      </c>
      <c r="V451" s="218" t="s">
        <v>190</v>
      </c>
    </row>
    <row r="452" spans="1:22" ht="15.75" customHeight="1">
      <c r="A452" s="215" t="s">
        <v>2057</v>
      </c>
      <c r="B452" s="14" t="s">
        <v>578</v>
      </c>
      <c r="C452" s="15"/>
      <c r="D452" s="13" t="s">
        <v>2058</v>
      </c>
      <c r="E452" s="14" t="s">
        <v>489</v>
      </c>
      <c r="F452" s="14" t="s">
        <v>2059</v>
      </c>
      <c r="G452" s="14" t="s">
        <v>95</v>
      </c>
      <c r="H452" s="13" t="s">
        <v>96</v>
      </c>
      <c r="I452" s="13" t="s">
        <v>63</v>
      </c>
      <c r="J452" s="13" t="s">
        <v>595</v>
      </c>
      <c r="K452" s="14" t="s">
        <v>596</v>
      </c>
      <c r="L452" s="14" t="s">
        <v>112</v>
      </c>
      <c r="M452" s="14" t="s">
        <v>240</v>
      </c>
      <c r="N452" s="14" t="s">
        <v>597</v>
      </c>
      <c r="O452" s="13">
        <v>4</v>
      </c>
      <c r="P452" s="16">
        <v>1200</v>
      </c>
      <c r="Q452" s="13">
        <v>20</v>
      </c>
      <c r="R452" s="13">
        <v>5</v>
      </c>
      <c r="S452" s="16">
        <v>4032</v>
      </c>
      <c r="T452" s="14" t="s">
        <v>153</v>
      </c>
      <c r="U452" s="14" t="s">
        <v>143</v>
      </c>
      <c r="V452" s="217" t="s">
        <v>212</v>
      </c>
    </row>
    <row r="453" spans="1:22" ht="15.75" customHeight="1">
      <c r="A453" s="216" t="s">
        <v>2060</v>
      </c>
      <c r="B453" s="18" t="s">
        <v>2061</v>
      </c>
      <c r="C453" s="15" t="s">
        <v>253</v>
      </c>
      <c r="D453" s="17" t="s">
        <v>2062</v>
      </c>
      <c r="E453" s="18" t="s">
        <v>2063</v>
      </c>
      <c r="F453" s="18" t="s">
        <v>2064</v>
      </c>
      <c r="G453" s="15" t="s">
        <v>274</v>
      </c>
      <c r="H453" s="17" t="s">
        <v>96</v>
      </c>
      <c r="I453" s="17" t="s">
        <v>63</v>
      </c>
      <c r="J453" s="17" t="s">
        <v>238</v>
      </c>
      <c r="K453" s="18" t="s">
        <v>239</v>
      </c>
      <c r="L453" s="18" t="s">
        <v>112</v>
      </c>
      <c r="M453" s="18" t="s">
        <v>240</v>
      </c>
      <c r="N453" s="18" t="s">
        <v>241</v>
      </c>
      <c r="O453" s="17">
        <v>1</v>
      </c>
      <c r="P453" s="19">
        <v>2500</v>
      </c>
      <c r="Q453" s="17">
        <v>25</v>
      </c>
      <c r="R453" s="17">
        <v>5</v>
      </c>
      <c r="S453" s="19">
        <v>1969</v>
      </c>
      <c r="T453" s="18" t="s">
        <v>69</v>
      </c>
      <c r="U453" s="15" t="s">
        <v>103</v>
      </c>
      <c r="V453" s="218" t="s">
        <v>201</v>
      </c>
    </row>
    <row r="454" spans="1:22" ht="15.75" customHeight="1">
      <c r="A454" s="215" t="s">
        <v>2065</v>
      </c>
      <c r="B454" s="14" t="s">
        <v>1650</v>
      </c>
      <c r="C454" s="14" t="s">
        <v>106</v>
      </c>
      <c r="D454" s="13" t="s">
        <v>2066</v>
      </c>
      <c r="E454" s="14" t="s">
        <v>708</v>
      </c>
      <c r="F454" s="14" t="s">
        <v>2067</v>
      </c>
      <c r="G454" s="14" t="s">
        <v>135</v>
      </c>
      <c r="H454" s="13" t="s">
        <v>136</v>
      </c>
      <c r="I454" s="13" t="s">
        <v>63</v>
      </c>
      <c r="J454" s="13" t="s">
        <v>257</v>
      </c>
      <c r="K454" s="14" t="s">
        <v>258</v>
      </c>
      <c r="L454" s="14" t="s">
        <v>139</v>
      </c>
      <c r="M454" s="14" t="s">
        <v>259</v>
      </c>
      <c r="N454" s="14" t="s">
        <v>260</v>
      </c>
      <c r="O454" s="13">
        <v>4</v>
      </c>
      <c r="P454" s="16">
        <v>299</v>
      </c>
      <c r="Q454" s="13">
        <v>8</v>
      </c>
      <c r="R454" s="13">
        <v>18</v>
      </c>
      <c r="S454" s="16">
        <v>1298</v>
      </c>
      <c r="T454" s="14" t="s">
        <v>115</v>
      </c>
      <c r="U454" s="14" t="s">
        <v>70</v>
      </c>
      <c r="V454" s="217" t="s">
        <v>71</v>
      </c>
    </row>
    <row r="455" spans="1:22" ht="15.75" customHeight="1">
      <c r="A455" s="216" t="s">
        <v>2068</v>
      </c>
      <c r="B455" s="18" t="s">
        <v>2069</v>
      </c>
      <c r="C455" s="15" t="s">
        <v>825</v>
      </c>
      <c r="D455" s="17"/>
      <c r="E455" s="18" t="s">
        <v>1080</v>
      </c>
      <c r="F455" s="18" t="s">
        <v>2070</v>
      </c>
      <c r="G455" s="18" t="s">
        <v>744</v>
      </c>
      <c r="H455" s="17" t="s">
        <v>79</v>
      </c>
      <c r="I455" s="20" t="s">
        <v>834</v>
      </c>
      <c r="J455" s="17" t="s">
        <v>207</v>
      </c>
      <c r="K455" s="18" t="s">
        <v>208</v>
      </c>
      <c r="L455" s="18" t="s">
        <v>99</v>
      </c>
      <c r="M455" s="18" t="s">
        <v>209</v>
      </c>
      <c r="N455" s="18" t="s">
        <v>210</v>
      </c>
      <c r="O455" s="17">
        <v>10</v>
      </c>
      <c r="P455" s="19">
        <v>55000</v>
      </c>
      <c r="Q455" s="17">
        <v>25</v>
      </c>
      <c r="R455" s="17">
        <v>18</v>
      </c>
      <c r="S455" s="19">
        <v>486750</v>
      </c>
      <c r="T455" s="18" t="s">
        <v>86</v>
      </c>
      <c r="U455" s="15" t="s">
        <v>174</v>
      </c>
      <c r="V455" s="219" t="s">
        <v>71</v>
      </c>
    </row>
    <row r="456" spans="1:22" ht="15.75" customHeight="1">
      <c r="A456" s="215" t="s">
        <v>2071</v>
      </c>
      <c r="B456" s="14" t="s">
        <v>1324</v>
      </c>
      <c r="C456" s="14" t="s">
        <v>639</v>
      </c>
      <c r="D456" s="13"/>
      <c r="E456" s="14" t="s">
        <v>2072</v>
      </c>
      <c r="F456" s="14" t="s">
        <v>2073</v>
      </c>
      <c r="G456" s="14" t="s">
        <v>485</v>
      </c>
      <c r="H456" s="13" t="s">
        <v>305</v>
      </c>
      <c r="I456" s="13" t="s">
        <v>306</v>
      </c>
      <c r="J456" s="13" t="s">
        <v>477</v>
      </c>
      <c r="K456" s="14" t="s">
        <v>478</v>
      </c>
      <c r="L456" s="14" t="s">
        <v>139</v>
      </c>
      <c r="M456" s="14" t="s">
        <v>349</v>
      </c>
      <c r="N456" s="14" t="s">
        <v>479</v>
      </c>
      <c r="O456" s="13">
        <v>7</v>
      </c>
      <c r="P456" s="16">
        <v>2200</v>
      </c>
      <c r="Q456" s="13">
        <v>20</v>
      </c>
      <c r="R456" s="13">
        <v>12</v>
      </c>
      <c r="S456" s="16">
        <v>13798</v>
      </c>
      <c r="T456" s="14" t="s">
        <v>127</v>
      </c>
      <c r="U456" s="15" t="s">
        <v>154</v>
      </c>
      <c r="V456" s="218" t="s">
        <v>201</v>
      </c>
    </row>
    <row r="457" spans="1:22" ht="15.75" customHeight="1">
      <c r="A457" s="216" t="s">
        <v>2074</v>
      </c>
      <c r="B457" s="18" t="s">
        <v>1868</v>
      </c>
      <c r="C457" s="15" t="s">
        <v>329</v>
      </c>
      <c r="D457" s="17" t="s">
        <v>2075</v>
      </c>
      <c r="E457" s="18" t="s">
        <v>1243</v>
      </c>
      <c r="F457" s="18" t="s">
        <v>2076</v>
      </c>
      <c r="G457" s="18" t="s">
        <v>151</v>
      </c>
      <c r="H457" s="17" t="s">
        <v>152</v>
      </c>
      <c r="I457" s="17" t="s">
        <v>80</v>
      </c>
      <c r="J457" s="17" t="s">
        <v>257</v>
      </c>
      <c r="K457" s="18" t="s">
        <v>258</v>
      </c>
      <c r="L457" s="18" t="s">
        <v>139</v>
      </c>
      <c r="M457" s="18" t="s">
        <v>259</v>
      </c>
      <c r="N457" s="18" t="s">
        <v>260</v>
      </c>
      <c r="O457" s="17">
        <v>6</v>
      </c>
      <c r="P457" s="19">
        <v>299</v>
      </c>
      <c r="Q457" s="17">
        <v>127</v>
      </c>
      <c r="R457" s="17">
        <v>18</v>
      </c>
      <c r="S457" s="20"/>
      <c r="T457" s="18" t="s">
        <v>465</v>
      </c>
      <c r="U457" s="18" t="s">
        <v>288</v>
      </c>
      <c r="V457" s="218" t="s">
        <v>88</v>
      </c>
    </row>
    <row r="458" spans="1:22" ht="15.75" customHeight="1">
      <c r="A458" s="215" t="s">
        <v>2077</v>
      </c>
      <c r="B458" s="14" t="s">
        <v>2078</v>
      </c>
      <c r="C458" s="15"/>
      <c r="D458" s="13" t="s">
        <v>2079</v>
      </c>
      <c r="E458" s="14" t="s">
        <v>2080</v>
      </c>
      <c r="F458" s="14" t="s">
        <v>2081</v>
      </c>
      <c r="G458" s="14" t="s">
        <v>122</v>
      </c>
      <c r="H458" s="13" t="s">
        <v>122</v>
      </c>
      <c r="I458" s="13" t="s">
        <v>123</v>
      </c>
      <c r="J458" s="13" t="s">
        <v>137</v>
      </c>
      <c r="K458" s="14" t="s">
        <v>138</v>
      </c>
      <c r="L458" s="14" t="s">
        <v>139</v>
      </c>
      <c r="M458" s="14" t="s">
        <v>140</v>
      </c>
      <c r="N458" s="14" t="s">
        <v>141</v>
      </c>
      <c r="O458" s="13">
        <v>5</v>
      </c>
      <c r="P458" s="16">
        <v>12000</v>
      </c>
      <c r="Q458" s="13">
        <v>20</v>
      </c>
      <c r="R458" s="13">
        <v>18</v>
      </c>
      <c r="S458" s="16">
        <v>56640</v>
      </c>
      <c r="T458" s="14" t="s">
        <v>413</v>
      </c>
      <c r="U458" s="14" t="s">
        <v>143</v>
      </c>
      <c r="V458" s="218" t="s">
        <v>128</v>
      </c>
    </row>
    <row r="459" spans="1:22" ht="15.75" customHeight="1">
      <c r="A459" s="216" t="s">
        <v>2082</v>
      </c>
      <c r="B459" s="18" t="s">
        <v>2083</v>
      </c>
      <c r="C459" s="18" t="s">
        <v>627</v>
      </c>
      <c r="D459" s="17" t="s">
        <v>2084</v>
      </c>
      <c r="E459" s="18" t="s">
        <v>629</v>
      </c>
      <c r="F459" s="18" t="s">
        <v>2085</v>
      </c>
      <c r="G459" s="18" t="s">
        <v>333</v>
      </c>
      <c r="H459" s="17" t="s">
        <v>334</v>
      </c>
      <c r="I459" s="17" t="s">
        <v>63</v>
      </c>
      <c r="J459" s="17" t="s">
        <v>81</v>
      </c>
      <c r="K459" s="18" t="s">
        <v>82</v>
      </c>
      <c r="L459" s="18" t="s">
        <v>83</v>
      </c>
      <c r="M459" s="18" t="s">
        <v>84</v>
      </c>
      <c r="N459" s="18" t="s">
        <v>85</v>
      </c>
      <c r="O459" s="17">
        <v>10</v>
      </c>
      <c r="P459" s="19">
        <v>25000</v>
      </c>
      <c r="Q459" s="17">
        <v>10</v>
      </c>
      <c r="R459" s="17">
        <v>3</v>
      </c>
      <c r="S459" s="19">
        <v>231750</v>
      </c>
      <c r="T459" s="18" t="s">
        <v>115</v>
      </c>
      <c r="U459" s="15" t="s">
        <v>174</v>
      </c>
      <c r="V459" s="219" t="s">
        <v>155</v>
      </c>
    </row>
    <row r="460" spans="1:22" ht="15.75" customHeight="1">
      <c r="A460" s="215" t="s">
        <v>2086</v>
      </c>
      <c r="B460" s="14" t="s">
        <v>2087</v>
      </c>
      <c r="C460" s="14" t="s">
        <v>712</v>
      </c>
      <c r="D460" s="13" t="s">
        <v>2088</v>
      </c>
      <c r="E460" s="14" t="s">
        <v>1053</v>
      </c>
      <c r="F460" s="14" t="s">
        <v>2089</v>
      </c>
      <c r="G460" s="14" t="s">
        <v>248</v>
      </c>
      <c r="H460" s="13" t="s">
        <v>249</v>
      </c>
      <c r="I460" s="13" t="s">
        <v>123</v>
      </c>
      <c r="J460" s="13" t="s">
        <v>81</v>
      </c>
      <c r="K460" s="14" t="s">
        <v>82</v>
      </c>
      <c r="L460" s="14" t="s">
        <v>83</v>
      </c>
      <c r="M460" s="14" t="s">
        <v>84</v>
      </c>
      <c r="N460" s="14" t="s">
        <v>85</v>
      </c>
      <c r="O460" s="13">
        <v>8</v>
      </c>
      <c r="P460" s="16">
        <v>25000</v>
      </c>
      <c r="Q460" s="13">
        <v>10</v>
      </c>
      <c r="R460" s="13">
        <v>3</v>
      </c>
      <c r="S460" s="16">
        <v>185400</v>
      </c>
      <c r="T460" s="14" t="s">
        <v>115</v>
      </c>
      <c r="U460" s="15" t="s">
        <v>261</v>
      </c>
      <c r="V460" s="217" t="s">
        <v>144</v>
      </c>
    </row>
    <row r="461" spans="1:22" ht="15.75" customHeight="1">
      <c r="A461" s="216" t="s">
        <v>2090</v>
      </c>
      <c r="B461" s="18" t="s">
        <v>1102</v>
      </c>
      <c r="C461" s="15" t="s">
        <v>431</v>
      </c>
      <c r="D461" s="17" t="s">
        <v>2091</v>
      </c>
      <c r="E461" s="18" t="s">
        <v>2092</v>
      </c>
      <c r="F461" s="18" t="s">
        <v>2093</v>
      </c>
      <c r="G461" s="18" t="s">
        <v>485</v>
      </c>
      <c r="H461" s="17" t="s">
        <v>305</v>
      </c>
      <c r="I461" s="20" t="s">
        <v>732</v>
      </c>
      <c r="J461" s="17" t="s">
        <v>97</v>
      </c>
      <c r="K461" s="18" t="s">
        <v>98</v>
      </c>
      <c r="L461" s="18" t="s">
        <v>99</v>
      </c>
      <c r="M461" s="18" t="s">
        <v>100</v>
      </c>
      <c r="N461" s="18" t="s">
        <v>101</v>
      </c>
      <c r="O461" s="17">
        <v>4</v>
      </c>
      <c r="P461" s="20" t="s">
        <v>173</v>
      </c>
      <c r="Q461" s="17">
        <v>25</v>
      </c>
      <c r="R461" s="17">
        <v>18</v>
      </c>
      <c r="S461" s="19">
        <v>99120</v>
      </c>
      <c r="T461" s="18" t="s">
        <v>86</v>
      </c>
      <c r="U461" s="18" t="s">
        <v>143</v>
      </c>
      <c r="V461" s="218" t="s">
        <v>190</v>
      </c>
    </row>
    <row r="462" spans="1:22" ht="15.75" customHeight="1">
      <c r="A462" s="215" t="s">
        <v>2094</v>
      </c>
      <c r="B462" s="14" t="s">
        <v>1172</v>
      </c>
      <c r="C462" s="15" t="s">
        <v>215</v>
      </c>
      <c r="D462" s="13" t="s">
        <v>2095</v>
      </c>
      <c r="E462" s="14" t="s">
        <v>1098</v>
      </c>
      <c r="F462" s="14" t="s">
        <v>2096</v>
      </c>
      <c r="G462" s="14" t="s">
        <v>78</v>
      </c>
      <c r="H462" s="13" t="s">
        <v>79</v>
      </c>
      <c r="I462" s="13" t="s">
        <v>80</v>
      </c>
      <c r="J462" s="13" t="s">
        <v>219</v>
      </c>
      <c r="K462" s="14" t="s">
        <v>220</v>
      </c>
      <c r="L462" s="14" t="s">
        <v>99</v>
      </c>
      <c r="M462" s="14" t="s">
        <v>100</v>
      </c>
      <c r="N462" s="14" t="s">
        <v>221</v>
      </c>
      <c r="O462" s="13">
        <v>10</v>
      </c>
      <c r="P462" s="16">
        <v>89000</v>
      </c>
      <c r="Q462" s="13">
        <v>5</v>
      </c>
      <c r="R462" s="13">
        <v>18</v>
      </c>
      <c r="S462" s="16">
        <v>997690</v>
      </c>
      <c r="T462" s="14" t="s">
        <v>115</v>
      </c>
      <c r="U462" s="14" t="s">
        <v>184</v>
      </c>
      <c r="V462" s="218" t="s">
        <v>128</v>
      </c>
    </row>
    <row r="463" spans="1:22" ht="15.75" customHeight="1">
      <c r="A463" s="216" t="s">
        <v>2097</v>
      </c>
      <c r="B463" s="18" t="s">
        <v>2098</v>
      </c>
      <c r="C463" s="15" t="s">
        <v>605</v>
      </c>
      <c r="D463" s="17"/>
      <c r="E463" s="18" t="s">
        <v>794</v>
      </c>
      <c r="F463" s="18" t="s">
        <v>2099</v>
      </c>
      <c r="G463" s="18" t="s">
        <v>95</v>
      </c>
      <c r="H463" s="17" t="s">
        <v>96</v>
      </c>
      <c r="I463" s="17" t="s">
        <v>63</v>
      </c>
      <c r="J463" s="17" t="s">
        <v>207</v>
      </c>
      <c r="K463" s="18" t="s">
        <v>208</v>
      </c>
      <c r="L463" s="18" t="s">
        <v>99</v>
      </c>
      <c r="M463" s="18" t="s">
        <v>209</v>
      </c>
      <c r="N463" s="18" t="s">
        <v>210</v>
      </c>
      <c r="O463" s="17">
        <v>6</v>
      </c>
      <c r="P463" s="19">
        <v>55000</v>
      </c>
      <c r="Q463" s="17">
        <v>15</v>
      </c>
      <c r="R463" s="17">
        <v>18</v>
      </c>
      <c r="S463" s="19">
        <v>330990</v>
      </c>
      <c r="T463" s="18" t="s">
        <v>102</v>
      </c>
      <c r="U463" s="15" t="s">
        <v>154</v>
      </c>
      <c r="V463" s="219" t="s">
        <v>155</v>
      </c>
    </row>
    <row r="464" spans="1:22" ht="15.75" customHeight="1">
      <c r="A464" s="215" t="s">
        <v>2100</v>
      </c>
      <c r="B464" s="14" t="s">
        <v>2101</v>
      </c>
      <c r="C464" s="14" t="s">
        <v>728</v>
      </c>
      <c r="D464" s="13" t="s">
        <v>2102</v>
      </c>
      <c r="E464" s="14" t="s">
        <v>849</v>
      </c>
      <c r="F464" s="14" t="s">
        <v>2103</v>
      </c>
      <c r="G464" s="14" t="s">
        <v>228</v>
      </c>
      <c r="H464" s="13" t="s">
        <v>152</v>
      </c>
      <c r="I464" s="13" t="s">
        <v>80</v>
      </c>
      <c r="J464" s="13" t="s">
        <v>238</v>
      </c>
      <c r="K464" s="14" t="s">
        <v>239</v>
      </c>
      <c r="L464" s="14" t="s">
        <v>112</v>
      </c>
      <c r="M464" s="14" t="s">
        <v>240</v>
      </c>
      <c r="N464" s="14" t="s">
        <v>241</v>
      </c>
      <c r="O464" s="13">
        <v>1</v>
      </c>
      <c r="P464" s="16">
        <v>2500</v>
      </c>
      <c r="Q464" s="13">
        <v>5</v>
      </c>
      <c r="R464" s="13">
        <v>5</v>
      </c>
      <c r="S464" s="16">
        <v>2494</v>
      </c>
      <c r="T464" s="14" t="s">
        <v>153</v>
      </c>
      <c r="U464" s="14" t="s">
        <v>184</v>
      </c>
      <c r="V464" s="217" t="s">
        <v>212</v>
      </c>
    </row>
    <row r="465" spans="1:22" ht="15.75" customHeight="1">
      <c r="A465" s="216" t="s">
        <v>2104</v>
      </c>
      <c r="B465" s="18" t="s">
        <v>2105</v>
      </c>
      <c r="C465" s="15" t="s">
        <v>473</v>
      </c>
      <c r="D465" s="17" t="s">
        <v>2106</v>
      </c>
      <c r="E465" s="18" t="s">
        <v>1123</v>
      </c>
      <c r="F465" s="18" t="s">
        <v>2107</v>
      </c>
      <c r="G465" s="18" t="s">
        <v>341</v>
      </c>
      <c r="H465" s="17" t="s">
        <v>62</v>
      </c>
      <c r="I465" s="17" t="s">
        <v>63</v>
      </c>
      <c r="J465" s="17" t="s">
        <v>162</v>
      </c>
      <c r="K465" s="18" t="s">
        <v>163</v>
      </c>
      <c r="L465" s="18" t="s">
        <v>99</v>
      </c>
      <c r="M465" s="18" t="s">
        <v>164</v>
      </c>
      <c r="N465" s="18" t="s">
        <v>165</v>
      </c>
      <c r="O465" s="17">
        <v>4</v>
      </c>
      <c r="P465" s="19">
        <v>2800</v>
      </c>
      <c r="Q465" s="17">
        <v>12</v>
      </c>
      <c r="R465" s="17">
        <v>18</v>
      </c>
      <c r="S465" s="19">
        <v>11630</v>
      </c>
      <c r="T465" s="18" t="s">
        <v>413</v>
      </c>
      <c r="U465" s="18" t="s">
        <v>70</v>
      </c>
      <c r="V465" s="218" t="s">
        <v>201</v>
      </c>
    </row>
    <row r="466" spans="1:22" ht="15.75" customHeight="1">
      <c r="A466" s="215" t="s">
        <v>2108</v>
      </c>
      <c r="B466" s="14" t="s">
        <v>2109</v>
      </c>
      <c r="C466" s="15" t="s">
        <v>431</v>
      </c>
      <c r="D466" s="13" t="s">
        <v>2110</v>
      </c>
      <c r="E466" s="14" t="s">
        <v>1671</v>
      </c>
      <c r="F466" s="14" t="s">
        <v>2111</v>
      </c>
      <c r="G466" s="15" t="s">
        <v>274</v>
      </c>
      <c r="H466" s="13" t="s">
        <v>96</v>
      </c>
      <c r="I466" s="13" t="s">
        <v>63</v>
      </c>
      <c r="J466" s="13" t="s">
        <v>81</v>
      </c>
      <c r="K466" s="14" t="s">
        <v>82</v>
      </c>
      <c r="L466" s="14" t="s">
        <v>83</v>
      </c>
      <c r="M466" s="14" t="s">
        <v>84</v>
      </c>
      <c r="N466" s="14" t="s">
        <v>85</v>
      </c>
      <c r="O466" s="13">
        <v>1</v>
      </c>
      <c r="P466" s="16">
        <v>25000</v>
      </c>
      <c r="Q466" s="13">
        <v>20</v>
      </c>
      <c r="R466" s="13">
        <v>3</v>
      </c>
      <c r="S466" s="16">
        <v>20600</v>
      </c>
      <c r="T466" s="14" t="s">
        <v>413</v>
      </c>
      <c r="U466" s="15" t="s">
        <v>383</v>
      </c>
      <c r="V466" s="217" t="s">
        <v>144</v>
      </c>
    </row>
    <row r="467" spans="1:22" ht="15.75" customHeight="1">
      <c r="A467" s="216" t="s">
        <v>2112</v>
      </c>
      <c r="B467" s="18" t="s">
        <v>2113</v>
      </c>
      <c r="C467" s="15" t="s">
        <v>57</v>
      </c>
      <c r="D467" s="17" t="s">
        <v>2114</v>
      </c>
      <c r="E467" s="18" t="s">
        <v>1647</v>
      </c>
      <c r="F467" s="18" t="s">
        <v>2115</v>
      </c>
      <c r="G467" s="15" t="s">
        <v>268</v>
      </c>
      <c r="H467" s="17" t="s">
        <v>122</v>
      </c>
      <c r="I467" s="17" t="s">
        <v>123</v>
      </c>
      <c r="J467" s="17" t="s">
        <v>356</v>
      </c>
      <c r="K467" s="18" t="s">
        <v>357</v>
      </c>
      <c r="L467" s="18" t="s">
        <v>139</v>
      </c>
      <c r="M467" s="18" t="s">
        <v>140</v>
      </c>
      <c r="N467" s="18" t="s">
        <v>358</v>
      </c>
      <c r="O467" s="17">
        <v>10</v>
      </c>
      <c r="P467" s="19">
        <v>42000</v>
      </c>
      <c r="Q467" s="17">
        <v>0</v>
      </c>
      <c r="R467" s="17">
        <v>18</v>
      </c>
      <c r="S467" s="19">
        <v>495600</v>
      </c>
      <c r="T467" s="18" t="s">
        <v>153</v>
      </c>
      <c r="U467" s="18" t="s">
        <v>184</v>
      </c>
      <c r="V467" s="218" t="s">
        <v>190</v>
      </c>
    </row>
    <row r="468" spans="1:22" ht="15.75" customHeight="1">
      <c r="A468" s="215" t="s">
        <v>2116</v>
      </c>
      <c r="B468" s="14" t="s">
        <v>2117</v>
      </c>
      <c r="C468" s="15" t="s">
        <v>177</v>
      </c>
      <c r="D468" s="13" t="s">
        <v>2118</v>
      </c>
      <c r="E468" s="14" t="s">
        <v>1218</v>
      </c>
      <c r="F468" s="14" t="s">
        <v>2119</v>
      </c>
      <c r="G468" s="15" t="s">
        <v>274</v>
      </c>
      <c r="H468" s="13" t="s">
        <v>96</v>
      </c>
      <c r="I468" s="13" t="s">
        <v>63</v>
      </c>
      <c r="J468" s="13" t="s">
        <v>347</v>
      </c>
      <c r="K468" s="14" t="s">
        <v>348</v>
      </c>
      <c r="L468" s="14" t="s">
        <v>139</v>
      </c>
      <c r="M468" s="14" t="s">
        <v>349</v>
      </c>
      <c r="N468" s="14" t="s">
        <v>350</v>
      </c>
      <c r="O468" s="13">
        <v>10</v>
      </c>
      <c r="P468" s="16">
        <v>3200</v>
      </c>
      <c r="Q468" s="13">
        <v>10</v>
      </c>
      <c r="R468" s="13">
        <v>18</v>
      </c>
      <c r="S468" s="16">
        <v>33984</v>
      </c>
      <c r="T468" s="14" t="s">
        <v>69</v>
      </c>
      <c r="U468" s="15" t="s">
        <v>261</v>
      </c>
      <c r="V468" s="218" t="s">
        <v>201</v>
      </c>
    </row>
    <row r="469" spans="1:22" ht="15.75" customHeight="1">
      <c r="A469" s="216" t="s">
        <v>2120</v>
      </c>
      <c r="B469" s="18" t="s">
        <v>2121</v>
      </c>
      <c r="C469" s="15" t="s">
        <v>118</v>
      </c>
      <c r="D469" s="17" t="s">
        <v>2122</v>
      </c>
      <c r="E469" s="18" t="s">
        <v>1615</v>
      </c>
      <c r="F469" s="18" t="s">
        <v>2123</v>
      </c>
      <c r="G469" s="15" t="s">
        <v>268</v>
      </c>
      <c r="H469" s="17" t="s">
        <v>122</v>
      </c>
      <c r="I469" s="17" t="s">
        <v>123</v>
      </c>
      <c r="J469" s="17" t="s">
        <v>110</v>
      </c>
      <c r="K469" s="18" t="s">
        <v>111</v>
      </c>
      <c r="L469" s="18" t="s">
        <v>112</v>
      </c>
      <c r="M469" s="18" t="s">
        <v>113</v>
      </c>
      <c r="N469" s="18" t="s">
        <v>114</v>
      </c>
      <c r="O469" s="17">
        <v>2</v>
      </c>
      <c r="P469" s="19">
        <v>3500</v>
      </c>
      <c r="Q469" s="17">
        <v>8</v>
      </c>
      <c r="R469" s="17">
        <v>18</v>
      </c>
      <c r="S469" s="19">
        <v>7599</v>
      </c>
      <c r="T469" s="18" t="s">
        <v>115</v>
      </c>
      <c r="U469" s="18" t="s">
        <v>288</v>
      </c>
      <c r="V469" s="218" t="s">
        <v>201</v>
      </c>
    </row>
    <row r="470" spans="1:22" ht="15.75" customHeight="1">
      <c r="A470" s="215" t="s">
        <v>2124</v>
      </c>
      <c r="B470" s="14" t="s">
        <v>2125</v>
      </c>
      <c r="C470" s="15" t="s">
        <v>447</v>
      </c>
      <c r="D470" s="13" t="s">
        <v>2126</v>
      </c>
      <c r="E470" s="14" t="s">
        <v>449</v>
      </c>
      <c r="F470" s="14" t="s">
        <v>2127</v>
      </c>
      <c r="G470" s="14" t="s">
        <v>135</v>
      </c>
      <c r="H470" s="13" t="s">
        <v>136</v>
      </c>
      <c r="I470" s="20" t="s">
        <v>1040</v>
      </c>
      <c r="J470" s="13" t="s">
        <v>197</v>
      </c>
      <c r="K470" s="14" t="s">
        <v>198</v>
      </c>
      <c r="L470" s="14" t="s">
        <v>66</v>
      </c>
      <c r="M470" s="14" t="s">
        <v>199</v>
      </c>
      <c r="N470" s="14" t="s">
        <v>200</v>
      </c>
      <c r="O470" s="13">
        <v>8</v>
      </c>
      <c r="P470" s="16">
        <v>50</v>
      </c>
      <c r="Q470" s="13">
        <v>5</v>
      </c>
      <c r="R470" s="13">
        <v>5</v>
      </c>
      <c r="S470" s="16">
        <v>399</v>
      </c>
      <c r="T470" s="14" t="s">
        <v>69</v>
      </c>
      <c r="U470" s="15" t="s">
        <v>383</v>
      </c>
      <c r="V470" s="218" t="s">
        <v>201</v>
      </c>
    </row>
    <row r="471" spans="1:22" ht="15.75" customHeight="1">
      <c r="A471" s="216" t="s">
        <v>2128</v>
      </c>
      <c r="B471" s="18" t="s">
        <v>2129</v>
      </c>
      <c r="C471" s="18" t="s">
        <v>627</v>
      </c>
      <c r="D471" s="17" t="s">
        <v>2130</v>
      </c>
      <c r="E471" s="18" t="s">
        <v>2131</v>
      </c>
      <c r="F471" s="18" t="s">
        <v>2132</v>
      </c>
      <c r="G471" s="18" t="s">
        <v>61</v>
      </c>
      <c r="H471" s="17" t="s">
        <v>62</v>
      </c>
      <c r="I471" s="17" t="s">
        <v>63</v>
      </c>
      <c r="J471" s="17" t="s">
        <v>124</v>
      </c>
      <c r="K471" s="18" t="s">
        <v>125</v>
      </c>
      <c r="L471" s="18" t="s">
        <v>99</v>
      </c>
      <c r="M471" s="18" t="s">
        <v>100</v>
      </c>
      <c r="N471" s="18" t="s">
        <v>126</v>
      </c>
      <c r="O471" s="17">
        <v>1</v>
      </c>
      <c r="P471" s="19">
        <v>14000</v>
      </c>
      <c r="Q471" s="17">
        <v>8</v>
      </c>
      <c r="R471" s="17">
        <v>18</v>
      </c>
      <c r="S471" s="19">
        <v>15198</v>
      </c>
      <c r="T471" s="18" t="s">
        <v>153</v>
      </c>
      <c r="U471" s="15" t="s">
        <v>383</v>
      </c>
      <c r="V471" s="218" t="s">
        <v>250</v>
      </c>
    </row>
    <row r="472" spans="1:22" ht="15.75" customHeight="1">
      <c r="A472" s="215" t="s">
        <v>2133</v>
      </c>
      <c r="B472" s="14" t="s">
        <v>2134</v>
      </c>
      <c r="C472" s="15" t="s">
        <v>215</v>
      </c>
      <c r="D472" s="13" t="s">
        <v>2135</v>
      </c>
      <c r="E472" s="14" t="s">
        <v>1098</v>
      </c>
      <c r="F472" s="14" t="s">
        <v>2136</v>
      </c>
      <c r="G472" s="14" t="s">
        <v>78</v>
      </c>
      <c r="H472" s="13" t="s">
        <v>79</v>
      </c>
      <c r="I472" s="13" t="s">
        <v>80</v>
      </c>
      <c r="J472" s="13" t="s">
        <v>347</v>
      </c>
      <c r="K472" s="14" t="s">
        <v>348</v>
      </c>
      <c r="L472" s="14" t="s">
        <v>139</v>
      </c>
      <c r="M472" s="14" t="s">
        <v>349</v>
      </c>
      <c r="N472" s="14" t="s">
        <v>350</v>
      </c>
      <c r="O472" s="13">
        <v>2</v>
      </c>
      <c r="P472" s="16">
        <v>3200</v>
      </c>
      <c r="Q472" s="13">
        <v>0</v>
      </c>
      <c r="R472" s="13">
        <v>18</v>
      </c>
      <c r="S472" s="16">
        <v>7552</v>
      </c>
      <c r="T472" s="14" t="s">
        <v>102</v>
      </c>
      <c r="U472" s="15" t="s">
        <v>174</v>
      </c>
      <c r="V472" s="217" t="s">
        <v>155</v>
      </c>
    </row>
    <row r="473" spans="1:22" ht="15.75" customHeight="1">
      <c r="A473" s="216" t="s">
        <v>2137</v>
      </c>
      <c r="B473" s="18" t="s">
        <v>2019</v>
      </c>
      <c r="C473" s="15" t="s">
        <v>57</v>
      </c>
      <c r="D473" s="17" t="s">
        <v>2138</v>
      </c>
      <c r="E473" s="18" t="s">
        <v>584</v>
      </c>
      <c r="F473" s="18" t="s">
        <v>2139</v>
      </c>
      <c r="G473" s="15" t="s">
        <v>304</v>
      </c>
      <c r="H473" s="17" t="s">
        <v>305</v>
      </c>
      <c r="I473" s="17" t="s">
        <v>306</v>
      </c>
      <c r="J473" s="17" t="s">
        <v>97</v>
      </c>
      <c r="K473" s="18" t="s">
        <v>98</v>
      </c>
      <c r="L473" s="18" t="s">
        <v>99</v>
      </c>
      <c r="M473" s="18" t="s">
        <v>100</v>
      </c>
      <c r="N473" s="18" t="s">
        <v>101</v>
      </c>
      <c r="O473" s="17">
        <v>6</v>
      </c>
      <c r="P473" s="19">
        <v>28000</v>
      </c>
      <c r="Q473" s="17">
        <v>5</v>
      </c>
      <c r="R473" s="17">
        <v>18</v>
      </c>
      <c r="S473" s="19">
        <v>188328</v>
      </c>
      <c r="T473" s="18" t="s">
        <v>326</v>
      </c>
      <c r="U473" s="18" t="s">
        <v>288</v>
      </c>
      <c r="V473" s="218" t="s">
        <v>88</v>
      </c>
    </row>
    <row r="474" spans="1:22" ht="15.75" customHeight="1">
      <c r="A474" s="215" t="s">
        <v>2140</v>
      </c>
      <c r="B474" s="14" t="s">
        <v>1306</v>
      </c>
      <c r="C474" s="15" t="s">
        <v>177</v>
      </c>
      <c r="D474" s="13"/>
      <c r="E474" s="14" t="s">
        <v>1218</v>
      </c>
      <c r="F474" s="14" t="s">
        <v>2141</v>
      </c>
      <c r="G474" s="14" t="s">
        <v>135</v>
      </c>
      <c r="H474" s="13" t="s">
        <v>136</v>
      </c>
      <c r="I474" s="20" t="s">
        <v>732</v>
      </c>
      <c r="J474" s="13" t="s">
        <v>207</v>
      </c>
      <c r="K474" s="14" t="s">
        <v>208</v>
      </c>
      <c r="L474" s="14" t="s">
        <v>99</v>
      </c>
      <c r="M474" s="14" t="s">
        <v>209</v>
      </c>
      <c r="N474" s="14" t="s">
        <v>210</v>
      </c>
      <c r="O474" s="13">
        <v>5</v>
      </c>
      <c r="P474" s="20"/>
      <c r="Q474" s="13">
        <v>0</v>
      </c>
      <c r="R474" s="13">
        <v>18</v>
      </c>
      <c r="S474" s="16">
        <v>0</v>
      </c>
      <c r="T474" s="14" t="s">
        <v>69</v>
      </c>
      <c r="U474" s="14" t="s">
        <v>70</v>
      </c>
      <c r="V474" s="218" t="s">
        <v>128</v>
      </c>
    </row>
    <row r="475" spans="1:22" ht="15.75" customHeight="1">
      <c r="A475" s="216" t="s">
        <v>2142</v>
      </c>
      <c r="B475" s="18" t="s">
        <v>167</v>
      </c>
      <c r="C475" s="15" t="s">
        <v>431</v>
      </c>
      <c r="D475" s="17" t="s">
        <v>2143</v>
      </c>
      <c r="E475" s="18" t="s">
        <v>2144</v>
      </c>
      <c r="F475" s="18" t="s">
        <v>2145</v>
      </c>
      <c r="G475" s="18" t="s">
        <v>341</v>
      </c>
      <c r="H475" s="17" t="s">
        <v>62</v>
      </c>
      <c r="I475" s="17" t="s">
        <v>63</v>
      </c>
      <c r="J475" s="17" t="s">
        <v>64</v>
      </c>
      <c r="K475" s="18" t="s">
        <v>65</v>
      </c>
      <c r="L475" s="18" t="s">
        <v>66</v>
      </c>
      <c r="M475" s="18" t="s">
        <v>67</v>
      </c>
      <c r="N475" s="18" t="s">
        <v>68</v>
      </c>
      <c r="O475" s="17">
        <v>10</v>
      </c>
      <c r="P475" s="19">
        <v>450</v>
      </c>
      <c r="Q475" s="17">
        <v>5</v>
      </c>
      <c r="R475" s="17">
        <v>5</v>
      </c>
      <c r="S475" s="19">
        <v>4489</v>
      </c>
      <c r="T475" s="18" t="s">
        <v>102</v>
      </c>
      <c r="U475" s="18" t="s">
        <v>288</v>
      </c>
      <c r="V475" s="218" t="s">
        <v>250</v>
      </c>
    </row>
    <row r="476" spans="1:22" ht="15.75" customHeight="1">
      <c r="A476" s="215" t="s">
        <v>2146</v>
      </c>
      <c r="B476" s="14" t="s">
        <v>2147</v>
      </c>
      <c r="C476" s="15" t="s">
        <v>147</v>
      </c>
      <c r="D476" s="13" t="s">
        <v>2148</v>
      </c>
      <c r="E476" s="14" t="s">
        <v>149</v>
      </c>
      <c r="F476" s="14" t="s">
        <v>2149</v>
      </c>
      <c r="G476" s="14" t="s">
        <v>95</v>
      </c>
      <c r="H476" s="13" t="s">
        <v>96</v>
      </c>
      <c r="I476" s="13" t="s">
        <v>63</v>
      </c>
      <c r="J476" s="13" t="s">
        <v>110</v>
      </c>
      <c r="K476" s="14" t="s">
        <v>111</v>
      </c>
      <c r="L476" s="14" t="s">
        <v>112</v>
      </c>
      <c r="M476" s="14" t="s">
        <v>113</v>
      </c>
      <c r="N476" s="14" t="s">
        <v>114</v>
      </c>
      <c r="O476" s="13">
        <v>4</v>
      </c>
      <c r="P476" s="16">
        <v>3500</v>
      </c>
      <c r="Q476" s="13">
        <v>20</v>
      </c>
      <c r="R476" s="13">
        <v>18</v>
      </c>
      <c r="S476" s="16">
        <v>13216</v>
      </c>
      <c r="T476" s="14" t="s">
        <v>183</v>
      </c>
      <c r="U476" s="15" t="s">
        <v>154</v>
      </c>
      <c r="V476" s="217" t="s">
        <v>155</v>
      </c>
    </row>
    <row r="477" spans="1:22" ht="15.75" customHeight="1">
      <c r="A477" s="216" t="s">
        <v>2150</v>
      </c>
      <c r="B477" s="18" t="s">
        <v>764</v>
      </c>
      <c r="C477" s="15" t="s">
        <v>522</v>
      </c>
      <c r="D477" s="17" t="s">
        <v>2151</v>
      </c>
      <c r="E477" s="18" t="s">
        <v>789</v>
      </c>
      <c r="F477" s="18" t="s">
        <v>2152</v>
      </c>
      <c r="G477" s="18" t="s">
        <v>439</v>
      </c>
      <c r="H477" s="17" t="s">
        <v>364</v>
      </c>
      <c r="I477" s="17" t="s">
        <v>63</v>
      </c>
      <c r="J477" s="17" t="s">
        <v>97</v>
      </c>
      <c r="K477" s="18" t="s">
        <v>98</v>
      </c>
      <c r="L477" s="18" t="s">
        <v>99</v>
      </c>
      <c r="M477" s="18" t="s">
        <v>100</v>
      </c>
      <c r="N477" s="18" t="s">
        <v>101</v>
      </c>
      <c r="O477" s="17">
        <v>1</v>
      </c>
      <c r="P477" s="19">
        <v>28000</v>
      </c>
      <c r="Q477" s="17">
        <v>25</v>
      </c>
      <c r="R477" s="17">
        <v>18</v>
      </c>
      <c r="S477" s="19">
        <v>24780</v>
      </c>
      <c r="T477" s="18" t="s">
        <v>69</v>
      </c>
      <c r="U477" s="15" t="s">
        <v>174</v>
      </c>
      <c r="V477" s="219" t="s">
        <v>144</v>
      </c>
    </row>
    <row r="478" spans="1:22" ht="15.75" customHeight="1">
      <c r="A478" s="215" t="s">
        <v>2153</v>
      </c>
      <c r="B478" s="14" t="s">
        <v>2154</v>
      </c>
      <c r="C478" s="15" t="s">
        <v>158</v>
      </c>
      <c r="D478" s="13" t="s">
        <v>2155</v>
      </c>
      <c r="E478" s="14" t="s">
        <v>1457</v>
      </c>
      <c r="F478" s="14" t="s">
        <v>2156</v>
      </c>
      <c r="G478" s="14" t="s">
        <v>151</v>
      </c>
      <c r="H478" s="13" t="s">
        <v>152</v>
      </c>
      <c r="I478" s="13" t="s">
        <v>80</v>
      </c>
      <c r="J478" s="13" t="s">
        <v>356</v>
      </c>
      <c r="K478" s="14" t="s">
        <v>357</v>
      </c>
      <c r="L478" s="14" t="s">
        <v>139</v>
      </c>
      <c r="M478" s="14" t="s">
        <v>140</v>
      </c>
      <c r="N478" s="14" t="s">
        <v>358</v>
      </c>
      <c r="O478" s="13">
        <v>2</v>
      </c>
      <c r="P478" s="16">
        <v>42000</v>
      </c>
      <c r="Q478" s="13">
        <v>15</v>
      </c>
      <c r="R478" s="13">
        <v>18</v>
      </c>
      <c r="S478" s="16">
        <v>84252</v>
      </c>
      <c r="T478" s="14" t="s">
        <v>142</v>
      </c>
      <c r="U478" s="14" t="s">
        <v>211</v>
      </c>
      <c r="V478" s="218" t="s">
        <v>128</v>
      </c>
    </row>
    <row r="479" spans="1:22" ht="15.75" customHeight="1">
      <c r="A479" s="216" t="s">
        <v>2157</v>
      </c>
      <c r="B479" s="18" t="s">
        <v>811</v>
      </c>
      <c r="C479" s="18" t="s">
        <v>337</v>
      </c>
      <c r="D479" s="17" t="s">
        <v>2158</v>
      </c>
      <c r="E479" s="18" t="s">
        <v>2024</v>
      </c>
      <c r="F479" s="18" t="s">
        <v>2159</v>
      </c>
      <c r="G479" s="15" t="s">
        <v>363</v>
      </c>
      <c r="H479" s="17" t="s">
        <v>364</v>
      </c>
      <c r="I479" s="17" t="s">
        <v>63</v>
      </c>
      <c r="J479" s="17" t="s">
        <v>64</v>
      </c>
      <c r="K479" s="18" t="s">
        <v>65</v>
      </c>
      <c r="L479" s="18" t="s">
        <v>66</v>
      </c>
      <c r="M479" s="18" t="s">
        <v>67</v>
      </c>
      <c r="N479" s="18" t="s">
        <v>68</v>
      </c>
      <c r="O479" s="17">
        <v>2</v>
      </c>
      <c r="P479" s="19">
        <v>450</v>
      </c>
      <c r="Q479" s="17">
        <v>8</v>
      </c>
      <c r="R479" s="17">
        <v>5</v>
      </c>
      <c r="S479" s="19">
        <v>869</v>
      </c>
      <c r="T479" s="18" t="s">
        <v>69</v>
      </c>
      <c r="U479" s="15" t="s">
        <v>103</v>
      </c>
      <c r="V479" s="218" t="s">
        <v>250</v>
      </c>
    </row>
    <row r="480" spans="1:22" ht="15.75" customHeight="1">
      <c r="A480" s="215" t="s">
        <v>2160</v>
      </c>
      <c r="B480" s="14" t="s">
        <v>1056</v>
      </c>
      <c r="C480" s="15" t="s">
        <v>253</v>
      </c>
      <c r="D480" s="13" t="s">
        <v>2161</v>
      </c>
      <c r="E480" s="14" t="s">
        <v>1223</v>
      </c>
      <c r="F480" s="14" t="s">
        <v>2162</v>
      </c>
      <c r="G480" s="14" t="s">
        <v>248</v>
      </c>
      <c r="H480" s="13" t="s">
        <v>249</v>
      </c>
      <c r="I480" s="13" t="s">
        <v>123</v>
      </c>
      <c r="J480" s="13" t="s">
        <v>137</v>
      </c>
      <c r="K480" s="14" t="s">
        <v>138</v>
      </c>
      <c r="L480" s="14" t="s">
        <v>139</v>
      </c>
      <c r="M480" s="14" t="s">
        <v>140</v>
      </c>
      <c r="N480" s="14" t="s">
        <v>141</v>
      </c>
      <c r="O480" s="13">
        <v>8</v>
      </c>
      <c r="P480" s="20" t="s">
        <v>2163</v>
      </c>
      <c r="Q480" s="13">
        <v>15</v>
      </c>
      <c r="R480" s="13">
        <v>18</v>
      </c>
      <c r="S480" s="16">
        <v>96288</v>
      </c>
      <c r="T480" s="14" t="s">
        <v>153</v>
      </c>
      <c r="U480" s="15" t="s">
        <v>261</v>
      </c>
      <c r="V480" s="218" t="s">
        <v>250</v>
      </c>
    </row>
    <row r="481" spans="1:22" ht="15.75" customHeight="1">
      <c r="A481" s="216" t="s">
        <v>2164</v>
      </c>
      <c r="B481" s="18" t="s">
        <v>2165</v>
      </c>
      <c r="C481" s="15" t="s">
        <v>193</v>
      </c>
      <c r="D481" s="17" t="s">
        <v>2166</v>
      </c>
      <c r="E481" s="18" t="s">
        <v>195</v>
      </c>
      <c r="F481" s="18" t="s">
        <v>2167</v>
      </c>
      <c r="G481" s="18" t="s">
        <v>122</v>
      </c>
      <c r="H481" s="17" t="s">
        <v>122</v>
      </c>
      <c r="I481" s="17" t="s">
        <v>123</v>
      </c>
      <c r="J481" s="17" t="s">
        <v>162</v>
      </c>
      <c r="K481" s="18"/>
      <c r="L481" s="18" t="s">
        <v>99</v>
      </c>
      <c r="M481" s="18" t="s">
        <v>164</v>
      </c>
      <c r="N481" s="18" t="s">
        <v>165</v>
      </c>
      <c r="O481" s="17">
        <v>8</v>
      </c>
      <c r="P481" s="20"/>
      <c r="Q481" s="17">
        <v>20</v>
      </c>
      <c r="R481" s="17">
        <v>18</v>
      </c>
      <c r="S481" s="19">
        <v>0</v>
      </c>
      <c r="T481" s="18" t="s">
        <v>115</v>
      </c>
      <c r="U481" s="15" t="s">
        <v>174</v>
      </c>
      <c r="V481" s="218" t="s">
        <v>190</v>
      </c>
    </row>
    <row r="482" spans="1:22" ht="15.75" customHeight="1">
      <c r="A482" s="215" t="s">
        <v>2168</v>
      </c>
      <c r="B482" s="14" t="s">
        <v>2169</v>
      </c>
      <c r="C482" s="15" t="s">
        <v>271</v>
      </c>
      <c r="D482" s="13" t="s">
        <v>2170</v>
      </c>
      <c r="E482" s="14" t="s">
        <v>2171</v>
      </c>
      <c r="F482" s="14" t="s">
        <v>2172</v>
      </c>
      <c r="G482" s="14" t="s">
        <v>151</v>
      </c>
      <c r="H482" s="13" t="s">
        <v>152</v>
      </c>
      <c r="I482" s="13" t="s">
        <v>80</v>
      </c>
      <c r="J482" s="13" t="s">
        <v>97</v>
      </c>
      <c r="K482" s="14" t="s">
        <v>98</v>
      </c>
      <c r="L482" s="14" t="s">
        <v>99</v>
      </c>
      <c r="M482" s="14" t="s">
        <v>100</v>
      </c>
      <c r="N482" s="14" t="s">
        <v>101</v>
      </c>
      <c r="O482" s="13">
        <v>8</v>
      </c>
      <c r="P482" s="16">
        <v>28000</v>
      </c>
      <c r="Q482" s="13">
        <v>8</v>
      </c>
      <c r="R482" s="13">
        <v>18</v>
      </c>
      <c r="S482" s="16">
        <v>243174</v>
      </c>
      <c r="T482" s="14" t="s">
        <v>465</v>
      </c>
      <c r="U482" s="15" t="s">
        <v>154</v>
      </c>
      <c r="V482" s="218" t="s">
        <v>250</v>
      </c>
    </row>
    <row r="483" spans="1:22" ht="15.75" customHeight="1">
      <c r="A483" s="216" t="s">
        <v>2173</v>
      </c>
      <c r="B483" s="18" t="s">
        <v>2078</v>
      </c>
      <c r="C483" s="15"/>
      <c r="D483" s="17" t="s">
        <v>2174</v>
      </c>
      <c r="E483" s="18" t="s">
        <v>952</v>
      </c>
      <c r="F483" s="18" t="s">
        <v>2175</v>
      </c>
      <c r="G483" s="18" t="s">
        <v>95</v>
      </c>
      <c r="H483" s="17" t="s">
        <v>96</v>
      </c>
      <c r="I483" s="17" t="s">
        <v>63</v>
      </c>
      <c r="J483" s="17" t="s">
        <v>124</v>
      </c>
      <c r="K483" s="18" t="s">
        <v>125</v>
      </c>
      <c r="L483" s="18" t="s">
        <v>99</v>
      </c>
      <c r="M483" s="18" t="s">
        <v>100</v>
      </c>
      <c r="N483" s="18" t="s">
        <v>126</v>
      </c>
      <c r="O483" s="17">
        <v>1</v>
      </c>
      <c r="P483" s="19">
        <v>14000</v>
      </c>
      <c r="Q483" s="17">
        <v>15</v>
      </c>
      <c r="R483" s="17">
        <v>18</v>
      </c>
      <c r="S483" s="19">
        <v>14042</v>
      </c>
      <c r="T483" s="18" t="s">
        <v>142</v>
      </c>
      <c r="U483" s="15" t="s">
        <v>261</v>
      </c>
      <c r="V483" s="219" t="s">
        <v>212</v>
      </c>
    </row>
    <row r="484" spans="1:22" ht="15.75" customHeight="1">
      <c r="A484" s="215" t="s">
        <v>2176</v>
      </c>
      <c r="B484" s="14" t="s">
        <v>1135</v>
      </c>
      <c r="C484" s="15" t="s">
        <v>473</v>
      </c>
      <c r="D484" s="13" t="s">
        <v>2177</v>
      </c>
      <c r="E484" s="14" t="s">
        <v>475</v>
      </c>
      <c r="F484" s="14" t="s">
        <v>2178</v>
      </c>
      <c r="G484" s="14" t="s">
        <v>172</v>
      </c>
      <c r="H484" s="13" t="s">
        <v>96</v>
      </c>
      <c r="I484" s="13" t="s">
        <v>63</v>
      </c>
      <c r="J484" s="13" t="s">
        <v>389</v>
      </c>
      <c r="K484" s="14" t="s">
        <v>390</v>
      </c>
      <c r="L484" s="14" t="s">
        <v>99</v>
      </c>
      <c r="M484" s="14" t="s">
        <v>164</v>
      </c>
      <c r="N484" s="14" t="s">
        <v>391</v>
      </c>
      <c r="O484" s="13">
        <v>2</v>
      </c>
      <c r="P484" s="16">
        <v>1500</v>
      </c>
      <c r="Q484" s="13">
        <v>15</v>
      </c>
      <c r="R484" s="13">
        <v>18</v>
      </c>
      <c r="S484" s="16">
        <v>3009</v>
      </c>
      <c r="T484" s="14" t="s">
        <v>127</v>
      </c>
      <c r="U484" s="15" t="s">
        <v>87</v>
      </c>
      <c r="V484" s="218" t="s">
        <v>201</v>
      </c>
    </row>
    <row r="485" spans="1:22" ht="15.75" customHeight="1">
      <c r="A485" s="216" t="s">
        <v>2179</v>
      </c>
      <c r="B485" s="18" t="s">
        <v>2180</v>
      </c>
      <c r="C485" s="15" t="s">
        <v>825</v>
      </c>
      <c r="D485" s="17" t="s">
        <v>2181</v>
      </c>
      <c r="E485" s="18" t="s">
        <v>1023</v>
      </c>
      <c r="F485" s="18" t="s">
        <v>2182</v>
      </c>
      <c r="G485" s="18" t="s">
        <v>135</v>
      </c>
      <c r="H485" s="17" t="s">
        <v>136</v>
      </c>
      <c r="I485" s="17" t="s">
        <v>63</v>
      </c>
      <c r="J485" s="17" t="s">
        <v>365</v>
      </c>
      <c r="K485" s="18" t="s">
        <v>366</v>
      </c>
      <c r="L485" s="18" t="s">
        <v>112</v>
      </c>
      <c r="M485" s="18" t="s">
        <v>367</v>
      </c>
      <c r="N485" s="18" t="s">
        <v>368</v>
      </c>
      <c r="O485" s="17">
        <v>8</v>
      </c>
      <c r="P485" s="19">
        <v>3500</v>
      </c>
      <c r="Q485" s="17">
        <v>12</v>
      </c>
      <c r="R485" s="17">
        <v>5</v>
      </c>
      <c r="S485" s="19">
        <v>25872</v>
      </c>
      <c r="T485" s="18" t="s">
        <v>413</v>
      </c>
      <c r="U485" s="15" t="s">
        <v>87</v>
      </c>
      <c r="V485" s="218" t="s">
        <v>201</v>
      </c>
    </row>
    <row r="486" spans="1:22" ht="15.75" customHeight="1">
      <c r="A486" s="215" t="s">
        <v>2183</v>
      </c>
      <c r="B486" s="14" t="s">
        <v>1814</v>
      </c>
      <c r="C486" s="14" t="s">
        <v>712</v>
      </c>
      <c r="D486" s="13" t="s">
        <v>2184</v>
      </c>
      <c r="E486" s="14" t="s">
        <v>1053</v>
      </c>
      <c r="F486" s="14" t="s">
        <v>2185</v>
      </c>
      <c r="G486" s="15" t="s">
        <v>304</v>
      </c>
      <c r="H486" s="13" t="s">
        <v>305</v>
      </c>
      <c r="I486" s="13" t="s">
        <v>306</v>
      </c>
      <c r="J486" s="13" t="s">
        <v>197</v>
      </c>
      <c r="K486" s="14" t="s">
        <v>198</v>
      </c>
      <c r="L486" s="14" t="s">
        <v>66</v>
      </c>
      <c r="M486" s="14" t="s">
        <v>199</v>
      </c>
      <c r="N486" s="14" t="s">
        <v>200</v>
      </c>
      <c r="O486" s="13">
        <v>7</v>
      </c>
      <c r="P486" s="16">
        <v>50</v>
      </c>
      <c r="Q486" s="13">
        <v>8</v>
      </c>
      <c r="R486" s="13">
        <v>5</v>
      </c>
      <c r="S486" s="16">
        <v>338</v>
      </c>
      <c r="T486" s="14" t="s">
        <v>153</v>
      </c>
      <c r="U486" s="15" t="s">
        <v>383</v>
      </c>
      <c r="V486" s="218" t="s">
        <v>88</v>
      </c>
    </row>
    <row r="487" spans="1:22" ht="15.75" customHeight="1">
      <c r="A487" s="216" t="s">
        <v>2186</v>
      </c>
      <c r="B487" s="18" t="s">
        <v>2187</v>
      </c>
      <c r="C487" s="18" t="s">
        <v>291</v>
      </c>
      <c r="D487" s="17" t="s">
        <v>2188</v>
      </c>
      <c r="E487" s="18" t="s">
        <v>532</v>
      </c>
      <c r="F487" s="18" t="s">
        <v>2189</v>
      </c>
      <c r="G487" s="18" t="s">
        <v>135</v>
      </c>
      <c r="H487" s="17" t="s">
        <v>136</v>
      </c>
      <c r="I487" s="17" t="s">
        <v>63</v>
      </c>
      <c r="J487" s="17" t="s">
        <v>110</v>
      </c>
      <c r="K487" s="18" t="s">
        <v>111</v>
      </c>
      <c r="L487" s="18" t="s">
        <v>112</v>
      </c>
      <c r="M487" s="18" t="s">
        <v>113</v>
      </c>
      <c r="N487" s="18" t="s">
        <v>114</v>
      </c>
      <c r="O487" s="17">
        <v>9</v>
      </c>
      <c r="P487" s="19">
        <v>3500</v>
      </c>
      <c r="Q487" s="17">
        <v>5</v>
      </c>
      <c r="R487" s="17">
        <v>18</v>
      </c>
      <c r="S487" s="19">
        <v>35312</v>
      </c>
      <c r="T487" s="18" t="s">
        <v>183</v>
      </c>
      <c r="U487" s="15" t="s">
        <v>103</v>
      </c>
      <c r="V487" s="219" t="s">
        <v>212</v>
      </c>
    </row>
    <row r="488" spans="1:22" ht="15.75" customHeight="1">
      <c r="A488" s="215" t="s">
        <v>2190</v>
      </c>
      <c r="B488" s="14" t="s">
        <v>1582</v>
      </c>
      <c r="C488" s="14" t="s">
        <v>372</v>
      </c>
      <c r="D488" s="13" t="s">
        <v>2191</v>
      </c>
      <c r="E488" s="14" t="s">
        <v>427</v>
      </c>
      <c r="F488" s="14" t="s">
        <v>2192</v>
      </c>
      <c r="G488" s="14" t="s">
        <v>744</v>
      </c>
      <c r="H488" s="13" t="s">
        <v>79</v>
      </c>
      <c r="I488" s="13" t="s">
        <v>80</v>
      </c>
      <c r="J488" s="13" t="s">
        <v>97</v>
      </c>
      <c r="K488" s="14" t="s">
        <v>98</v>
      </c>
      <c r="L488" s="14" t="s">
        <v>99</v>
      </c>
      <c r="M488" s="14" t="s">
        <v>100</v>
      </c>
      <c r="N488" s="14" t="s">
        <v>101</v>
      </c>
      <c r="O488" s="13">
        <v>4</v>
      </c>
      <c r="P488" s="16">
        <v>28000</v>
      </c>
      <c r="Q488" s="13">
        <v>12</v>
      </c>
      <c r="R488" s="13">
        <v>18</v>
      </c>
      <c r="S488" s="16">
        <v>116301</v>
      </c>
      <c r="T488" s="14" t="s">
        <v>326</v>
      </c>
      <c r="U488" s="15" t="s">
        <v>174</v>
      </c>
      <c r="V488" s="217" t="s">
        <v>71</v>
      </c>
    </row>
    <row r="489" spans="1:22" ht="15.75" customHeight="1">
      <c r="A489" s="216" t="s">
        <v>2193</v>
      </c>
      <c r="B489" s="18" t="s">
        <v>2054</v>
      </c>
      <c r="C489" s="18" t="s">
        <v>712</v>
      </c>
      <c r="D489" s="17" t="s">
        <v>2194</v>
      </c>
      <c r="E489" s="18" t="s">
        <v>1053</v>
      </c>
      <c r="F489" s="18" t="s">
        <v>2195</v>
      </c>
      <c r="G489" s="18" t="s">
        <v>151</v>
      </c>
      <c r="H489" s="17" t="s">
        <v>152</v>
      </c>
      <c r="I489" s="17" t="s">
        <v>80</v>
      </c>
      <c r="J489" s="17" t="s">
        <v>110</v>
      </c>
      <c r="K489" s="18" t="s">
        <v>111</v>
      </c>
      <c r="L489" s="18" t="s">
        <v>112</v>
      </c>
      <c r="M489" s="18" t="s">
        <v>113</v>
      </c>
      <c r="N489" s="18" t="s">
        <v>114</v>
      </c>
      <c r="O489" s="17">
        <v>2</v>
      </c>
      <c r="P489" s="19">
        <v>3500</v>
      </c>
      <c r="Q489" s="17">
        <v>25</v>
      </c>
      <c r="R489" s="17">
        <v>18</v>
      </c>
      <c r="S489" s="19">
        <v>6195</v>
      </c>
      <c r="T489" s="18" t="s">
        <v>127</v>
      </c>
      <c r="U489" s="15" t="s">
        <v>174</v>
      </c>
      <c r="V489" s="218" t="s">
        <v>128</v>
      </c>
    </row>
    <row r="490" spans="1:22" ht="15.75" customHeight="1">
      <c r="A490" s="215" t="s">
        <v>2196</v>
      </c>
      <c r="B490" s="14" t="s">
        <v>1328</v>
      </c>
      <c r="C490" s="14" t="s">
        <v>264</v>
      </c>
      <c r="D490" s="13" t="s">
        <v>2197</v>
      </c>
      <c r="E490" s="14" t="s">
        <v>1388</v>
      </c>
      <c r="F490" s="14" t="s">
        <v>2198</v>
      </c>
      <c r="G490" s="15" t="s">
        <v>363</v>
      </c>
      <c r="H490" s="13" t="s">
        <v>364</v>
      </c>
      <c r="I490" s="13" t="s">
        <v>63</v>
      </c>
      <c r="J490" s="13" t="s">
        <v>295</v>
      </c>
      <c r="K490" s="14" t="s">
        <v>296</v>
      </c>
      <c r="L490" s="14" t="s">
        <v>66</v>
      </c>
      <c r="M490" s="14" t="s">
        <v>297</v>
      </c>
      <c r="N490" s="14" t="s">
        <v>298</v>
      </c>
      <c r="O490" s="13">
        <v>6</v>
      </c>
      <c r="P490" s="16">
        <v>280</v>
      </c>
      <c r="Q490" s="13">
        <v>20</v>
      </c>
      <c r="R490" s="13">
        <v>5</v>
      </c>
      <c r="S490" s="16">
        <v>1411</v>
      </c>
      <c r="T490" s="14" t="s">
        <v>86</v>
      </c>
      <c r="U490" s="15" t="s">
        <v>154</v>
      </c>
      <c r="V490" s="217" t="s">
        <v>144</v>
      </c>
    </row>
    <row r="491" spans="1:22" ht="15.75" customHeight="1">
      <c r="A491" s="216" t="s">
        <v>2199</v>
      </c>
      <c r="B491" s="18" t="s">
        <v>2200</v>
      </c>
      <c r="C491" s="15" t="s">
        <v>329</v>
      </c>
      <c r="D491" s="17" t="s">
        <v>2201</v>
      </c>
      <c r="E491" s="18" t="s">
        <v>1243</v>
      </c>
      <c r="F491" s="18" t="s">
        <v>2202</v>
      </c>
      <c r="G491" s="15" t="s">
        <v>407</v>
      </c>
      <c r="H491" s="17" t="s">
        <v>152</v>
      </c>
      <c r="I491" s="17" t="s">
        <v>80</v>
      </c>
      <c r="J491" s="17" t="s">
        <v>365</v>
      </c>
      <c r="K491" s="18" t="s">
        <v>366</v>
      </c>
      <c r="L491" s="18" t="s">
        <v>112</v>
      </c>
      <c r="M491" s="18" t="s">
        <v>367</v>
      </c>
      <c r="N491" s="18" t="s">
        <v>368</v>
      </c>
      <c r="O491" s="17">
        <v>4</v>
      </c>
      <c r="P491" s="19">
        <v>3500</v>
      </c>
      <c r="Q491" s="17">
        <v>8</v>
      </c>
      <c r="R491" s="17">
        <v>5</v>
      </c>
      <c r="S491" s="19">
        <v>13524</v>
      </c>
      <c r="T491" s="18" t="s">
        <v>326</v>
      </c>
      <c r="U491" s="15" t="s">
        <v>261</v>
      </c>
      <c r="V491" s="218" t="s">
        <v>201</v>
      </c>
    </row>
    <row r="492" spans="1:22" ht="15.75" customHeight="1">
      <c r="A492" s="215" t="s">
        <v>2203</v>
      </c>
      <c r="B492" s="14" t="s">
        <v>452</v>
      </c>
      <c r="C492" s="15"/>
      <c r="D492" s="13" t="s">
        <v>2204</v>
      </c>
      <c r="E492" s="14" t="s">
        <v>345</v>
      </c>
      <c r="F492" s="14" t="s">
        <v>2205</v>
      </c>
      <c r="G492" s="14" t="s">
        <v>248</v>
      </c>
      <c r="H492" s="13" t="s">
        <v>249</v>
      </c>
      <c r="I492" s="13" t="s">
        <v>123</v>
      </c>
      <c r="J492" s="13" t="s">
        <v>347</v>
      </c>
      <c r="K492" s="14" t="s">
        <v>348</v>
      </c>
      <c r="L492" s="14" t="s">
        <v>139</v>
      </c>
      <c r="M492" s="14" t="s">
        <v>349</v>
      </c>
      <c r="N492" s="14" t="s">
        <v>350</v>
      </c>
      <c r="O492" s="13">
        <v>1</v>
      </c>
      <c r="P492" s="16">
        <v>3200</v>
      </c>
      <c r="Q492" s="13">
        <v>146</v>
      </c>
      <c r="R492" s="13">
        <v>18</v>
      </c>
      <c r="S492" s="20"/>
      <c r="T492" s="14" t="s">
        <v>127</v>
      </c>
      <c r="U492" s="14" t="s">
        <v>288</v>
      </c>
      <c r="V492" s="218" t="s">
        <v>190</v>
      </c>
    </row>
    <row r="493" spans="1:22" ht="15.75" customHeight="1">
      <c r="A493" s="216" t="s">
        <v>2206</v>
      </c>
      <c r="B493" s="18" t="s">
        <v>1609</v>
      </c>
      <c r="C493" s="15" t="s">
        <v>747</v>
      </c>
      <c r="D493" s="17" t="s">
        <v>2207</v>
      </c>
      <c r="E493" s="18" t="s">
        <v>1191</v>
      </c>
      <c r="F493" s="18" t="s">
        <v>2208</v>
      </c>
      <c r="G493" s="15" t="s">
        <v>304</v>
      </c>
      <c r="H493" s="17" t="s">
        <v>305</v>
      </c>
      <c r="I493" s="17" t="s">
        <v>306</v>
      </c>
      <c r="J493" s="17" t="s">
        <v>207</v>
      </c>
      <c r="K493" s="18" t="s">
        <v>208</v>
      </c>
      <c r="L493" s="18" t="s">
        <v>99</v>
      </c>
      <c r="M493" s="18" t="s">
        <v>209</v>
      </c>
      <c r="N493" s="18" t="s">
        <v>210</v>
      </c>
      <c r="O493" s="17">
        <v>10</v>
      </c>
      <c r="P493" s="19">
        <v>55000</v>
      </c>
      <c r="Q493" s="17">
        <v>25</v>
      </c>
      <c r="R493" s="17">
        <v>18</v>
      </c>
      <c r="S493" s="19">
        <v>486750</v>
      </c>
      <c r="T493" s="18" t="s">
        <v>465</v>
      </c>
      <c r="U493" s="18" t="s">
        <v>143</v>
      </c>
      <c r="V493" s="219" t="s">
        <v>155</v>
      </c>
    </row>
    <row r="494" spans="1:22" ht="15.75" customHeight="1">
      <c r="A494" s="215" t="s">
        <v>2209</v>
      </c>
      <c r="B494" s="14" t="s">
        <v>290</v>
      </c>
      <c r="C494" s="14" t="s">
        <v>168</v>
      </c>
      <c r="D494" s="13" t="s">
        <v>2210</v>
      </c>
      <c r="E494" s="14" t="s">
        <v>1448</v>
      </c>
      <c r="F494" s="14" t="s">
        <v>2211</v>
      </c>
      <c r="G494" s="14" t="s">
        <v>122</v>
      </c>
      <c r="H494" s="13" t="s">
        <v>122</v>
      </c>
      <c r="I494" s="13" t="s">
        <v>123</v>
      </c>
      <c r="J494" s="13" t="s">
        <v>81</v>
      </c>
      <c r="K494" s="14" t="s">
        <v>82</v>
      </c>
      <c r="L494" s="14" t="s">
        <v>83</v>
      </c>
      <c r="M494" s="14" t="s">
        <v>84</v>
      </c>
      <c r="N494" s="14" t="s">
        <v>85</v>
      </c>
      <c r="O494" s="13">
        <v>10</v>
      </c>
      <c r="P494" s="16">
        <v>25000</v>
      </c>
      <c r="Q494" s="13">
        <v>12</v>
      </c>
      <c r="R494" s="13">
        <v>3</v>
      </c>
      <c r="S494" s="16">
        <v>226600</v>
      </c>
      <c r="T494" s="14" t="s">
        <v>115</v>
      </c>
      <c r="U494" s="14" t="s">
        <v>143</v>
      </c>
      <c r="V494" s="218" t="s">
        <v>190</v>
      </c>
    </row>
    <row r="495" spans="1:22" ht="15.75" customHeight="1">
      <c r="A495" s="216" t="s">
        <v>2212</v>
      </c>
      <c r="B495" s="18" t="s">
        <v>2213</v>
      </c>
      <c r="C495" s="15" t="s">
        <v>473</v>
      </c>
      <c r="D495" s="17" t="s">
        <v>2214</v>
      </c>
      <c r="E495" s="18" t="s">
        <v>1123</v>
      </c>
      <c r="F495" s="18" t="s">
        <v>2215</v>
      </c>
      <c r="G495" s="18" t="s">
        <v>248</v>
      </c>
      <c r="H495" s="17" t="s">
        <v>249</v>
      </c>
      <c r="I495" s="17" t="s">
        <v>123</v>
      </c>
      <c r="J495" s="17" t="s">
        <v>257</v>
      </c>
      <c r="K495" s="18" t="s">
        <v>258</v>
      </c>
      <c r="L495" s="18" t="s">
        <v>139</v>
      </c>
      <c r="M495" s="18" t="s">
        <v>259</v>
      </c>
      <c r="N495" s="18" t="s">
        <v>260</v>
      </c>
      <c r="O495" s="17">
        <v>7</v>
      </c>
      <c r="P495" s="19">
        <v>299</v>
      </c>
      <c r="Q495" s="17">
        <v>0</v>
      </c>
      <c r="R495" s="17">
        <v>18</v>
      </c>
      <c r="S495" s="19">
        <v>2855</v>
      </c>
      <c r="T495" s="18" t="s">
        <v>465</v>
      </c>
      <c r="U495" s="15" t="s">
        <v>103</v>
      </c>
      <c r="V495" s="218" t="s">
        <v>190</v>
      </c>
    </row>
    <row r="496" spans="1:22" ht="15.75" customHeight="1">
      <c r="A496" s="215" t="s">
        <v>2216</v>
      </c>
      <c r="B496" s="14" t="s">
        <v>2217</v>
      </c>
      <c r="C496" s="14" t="s">
        <v>461</v>
      </c>
      <c r="D496" s="13" t="s">
        <v>2218</v>
      </c>
      <c r="E496" s="14" t="s">
        <v>463</v>
      </c>
      <c r="F496" s="14" t="s">
        <v>2219</v>
      </c>
      <c r="G496" s="15" t="s">
        <v>363</v>
      </c>
      <c r="H496" s="13" t="s">
        <v>364</v>
      </c>
      <c r="I496" s="13" t="s">
        <v>63</v>
      </c>
      <c r="J496" s="13" t="s">
        <v>137</v>
      </c>
      <c r="K496" s="14" t="s">
        <v>138</v>
      </c>
      <c r="L496" s="14" t="s">
        <v>139</v>
      </c>
      <c r="M496" s="14" t="s">
        <v>140</v>
      </c>
      <c r="N496" s="14" t="s">
        <v>141</v>
      </c>
      <c r="O496" s="13">
        <v>8</v>
      </c>
      <c r="P496" s="16">
        <v>12000</v>
      </c>
      <c r="Q496" s="13">
        <v>20</v>
      </c>
      <c r="R496" s="13">
        <v>18</v>
      </c>
      <c r="S496" s="16">
        <v>90624</v>
      </c>
      <c r="T496" s="14" t="s">
        <v>115</v>
      </c>
      <c r="U496" s="15" t="s">
        <v>154</v>
      </c>
      <c r="V496" s="218" t="s">
        <v>190</v>
      </c>
    </row>
    <row r="497" spans="1:22" ht="15.75" customHeight="1">
      <c r="A497" s="216" t="s">
        <v>2220</v>
      </c>
      <c r="B497" s="18" t="s">
        <v>1226</v>
      </c>
      <c r="C497" s="15" t="s">
        <v>147</v>
      </c>
      <c r="D497" s="17" t="s">
        <v>2221</v>
      </c>
      <c r="E497" s="18" t="s">
        <v>908</v>
      </c>
      <c r="F497" s="15"/>
      <c r="G497" s="18" t="s">
        <v>61</v>
      </c>
      <c r="H497" s="17" t="s">
        <v>62</v>
      </c>
      <c r="I497" s="17" t="s">
        <v>63</v>
      </c>
      <c r="J497" s="17" t="s">
        <v>365</v>
      </c>
      <c r="K497" s="18"/>
      <c r="L497" s="15" t="s">
        <v>1484</v>
      </c>
      <c r="M497" s="18" t="s">
        <v>367</v>
      </c>
      <c r="N497" s="18" t="s">
        <v>368</v>
      </c>
      <c r="O497" s="17">
        <v>5</v>
      </c>
      <c r="P497" s="19">
        <v>3500</v>
      </c>
      <c r="Q497" s="17">
        <v>10</v>
      </c>
      <c r="R497" s="17">
        <v>5</v>
      </c>
      <c r="S497" s="19">
        <v>16538</v>
      </c>
      <c r="T497" s="18" t="s">
        <v>326</v>
      </c>
      <c r="U497" s="18" t="s">
        <v>184</v>
      </c>
      <c r="V497" s="218" t="s">
        <v>88</v>
      </c>
    </row>
    <row r="498" spans="1:22" ht="15.75" customHeight="1">
      <c r="A498" s="215" t="s">
        <v>2222</v>
      </c>
      <c r="B498" s="14" t="s">
        <v>2223</v>
      </c>
      <c r="C498" s="15" t="s">
        <v>118</v>
      </c>
      <c r="D498" s="13" t="s">
        <v>2224</v>
      </c>
      <c r="E498" s="14" t="s">
        <v>1615</v>
      </c>
      <c r="F498" s="14" t="s">
        <v>2225</v>
      </c>
      <c r="G498" s="14" t="s">
        <v>228</v>
      </c>
      <c r="H498" s="13" t="s">
        <v>152</v>
      </c>
      <c r="I498" s="13" t="s">
        <v>80</v>
      </c>
      <c r="J498" s="13" t="s">
        <v>137</v>
      </c>
      <c r="K498" s="14" t="s">
        <v>138</v>
      </c>
      <c r="L498" s="14" t="s">
        <v>139</v>
      </c>
      <c r="M498" s="14" t="s">
        <v>140</v>
      </c>
      <c r="N498" s="14" t="s">
        <v>141</v>
      </c>
      <c r="O498" s="13">
        <v>4</v>
      </c>
      <c r="P498" s="16">
        <v>12000</v>
      </c>
      <c r="Q498" s="13">
        <v>10</v>
      </c>
      <c r="R498" s="13">
        <v>18</v>
      </c>
      <c r="S498" s="16">
        <v>50976</v>
      </c>
      <c r="T498" s="14" t="s">
        <v>142</v>
      </c>
      <c r="U498" s="14" t="s">
        <v>143</v>
      </c>
      <c r="V498" s="218" t="s">
        <v>250</v>
      </c>
    </row>
    <row r="499" spans="1:22" ht="15.75" customHeight="1">
      <c r="A499" s="216" t="s">
        <v>2226</v>
      </c>
      <c r="B499" s="18" t="s">
        <v>2227</v>
      </c>
      <c r="C499" s="18" t="s">
        <v>291</v>
      </c>
      <c r="D499" s="17" t="s">
        <v>2228</v>
      </c>
      <c r="E499" s="18" t="s">
        <v>293</v>
      </c>
      <c r="F499" s="15"/>
      <c r="G499" s="18" t="s">
        <v>151</v>
      </c>
      <c r="H499" s="17" t="s">
        <v>152</v>
      </c>
      <c r="I499" s="17" t="s">
        <v>80</v>
      </c>
      <c r="J499" s="17" t="s">
        <v>110</v>
      </c>
      <c r="K499" s="18" t="s">
        <v>111</v>
      </c>
      <c r="L499" s="18" t="s">
        <v>112</v>
      </c>
      <c r="M499" s="18" t="s">
        <v>113</v>
      </c>
      <c r="N499" s="18" t="s">
        <v>114</v>
      </c>
      <c r="O499" s="17">
        <v>9</v>
      </c>
      <c r="P499" s="19">
        <v>3500</v>
      </c>
      <c r="Q499" s="17">
        <v>15</v>
      </c>
      <c r="R499" s="17">
        <v>18</v>
      </c>
      <c r="S499" s="19">
        <v>31594</v>
      </c>
      <c r="T499" s="18" t="s">
        <v>153</v>
      </c>
      <c r="U499" s="15" t="s">
        <v>103</v>
      </c>
      <c r="V499" s="218" t="s">
        <v>190</v>
      </c>
    </row>
    <row r="500" spans="1:22" ht="15.75" customHeight="1">
      <c r="A500" s="215" t="s">
        <v>2229</v>
      </c>
      <c r="B500" s="14" t="s">
        <v>1378</v>
      </c>
      <c r="C500" s="15" t="s">
        <v>224</v>
      </c>
      <c r="D500" s="13" t="s">
        <v>2230</v>
      </c>
      <c r="E500" s="14" t="s">
        <v>957</v>
      </c>
      <c r="F500" s="14" t="s">
        <v>2231</v>
      </c>
      <c r="G500" s="14" t="s">
        <v>172</v>
      </c>
      <c r="H500" s="13" t="s">
        <v>96</v>
      </c>
      <c r="I500" s="13" t="s">
        <v>63</v>
      </c>
      <c r="J500" s="13" t="s">
        <v>477</v>
      </c>
      <c r="K500" s="14" t="s">
        <v>478</v>
      </c>
      <c r="L500" s="14" t="s">
        <v>139</v>
      </c>
      <c r="M500" s="14" t="s">
        <v>349</v>
      </c>
      <c r="N500" s="14" t="s">
        <v>479</v>
      </c>
      <c r="O500" s="13">
        <v>5</v>
      </c>
      <c r="P500" s="16">
        <v>2200</v>
      </c>
      <c r="Q500" s="13">
        <v>118</v>
      </c>
      <c r="R500" s="13">
        <v>12</v>
      </c>
      <c r="S500" s="20"/>
      <c r="T500" s="14" t="s">
        <v>465</v>
      </c>
      <c r="U500" s="14" t="s">
        <v>184</v>
      </c>
      <c r="V500" s="218" t="s">
        <v>88</v>
      </c>
    </row>
    <row r="501" spans="1:22" ht="15.75" customHeight="1">
      <c r="A501" s="223" t="s">
        <v>2232</v>
      </c>
      <c r="B501" s="224" t="s">
        <v>2233</v>
      </c>
      <c r="C501" s="225" t="s">
        <v>842</v>
      </c>
      <c r="D501" s="226" t="s">
        <v>2234</v>
      </c>
      <c r="E501" s="224" t="s">
        <v>1093</v>
      </c>
      <c r="F501" s="224" t="s">
        <v>2235</v>
      </c>
      <c r="G501" s="225" t="s">
        <v>304</v>
      </c>
      <c r="H501" s="226" t="s">
        <v>305</v>
      </c>
      <c r="I501" s="226" t="s">
        <v>306</v>
      </c>
      <c r="J501" s="226" t="s">
        <v>162</v>
      </c>
      <c r="K501" s="224" t="s">
        <v>163</v>
      </c>
      <c r="L501" s="224" t="s">
        <v>99</v>
      </c>
      <c r="M501" s="224" t="s">
        <v>164</v>
      </c>
      <c r="N501" s="224" t="s">
        <v>165</v>
      </c>
      <c r="O501" s="226">
        <v>3</v>
      </c>
      <c r="P501" s="227">
        <v>2800</v>
      </c>
      <c r="Q501" s="226">
        <v>8</v>
      </c>
      <c r="R501" s="226">
        <v>18</v>
      </c>
      <c r="S501" s="227">
        <v>9119</v>
      </c>
      <c r="T501" s="224" t="s">
        <v>465</v>
      </c>
      <c r="U501" s="225" t="s">
        <v>174</v>
      </c>
      <c r="V501" s="228" t="s">
        <v>88</v>
      </c>
    </row>
    <row r="502" spans="1:22" ht="15.75" customHeight="1"/>
    <row r="503" spans="1:22" ht="15.75" customHeight="1"/>
    <row r="504" spans="1:22" ht="15.75" customHeight="1"/>
    <row r="505" spans="1:22" ht="15.75" customHeight="1"/>
    <row r="506" spans="1:22" ht="15.75" customHeight="1"/>
    <row r="507" spans="1:22" ht="15.75" customHeight="1"/>
    <row r="508" spans="1:22" ht="15.75" customHeight="1"/>
    <row r="509" spans="1:22" ht="15.75" customHeight="1"/>
    <row r="510" spans="1:22" ht="15.75" customHeight="1"/>
    <row r="511" spans="1:22" ht="15.75" customHeight="1"/>
    <row r="512" spans="1:2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7706"/>
  </sheetPr>
  <dimension ref="A1:L1000"/>
  <sheetViews>
    <sheetView workbookViewId="0">
      <pane ySplit="2" topLeftCell="A15" activePane="bottomLeft" state="frozen"/>
      <selection pane="bottomLeft" activeCell="D22" sqref="D22"/>
    </sheetView>
  </sheetViews>
  <sheetFormatPr defaultColWidth="14.44140625" defaultRowHeight="15" customHeight="1"/>
  <cols>
    <col min="1" max="1" width="5" customWidth="1"/>
    <col min="2" max="2" width="32.6640625" customWidth="1"/>
    <col min="3" max="3" width="24.88671875" customWidth="1"/>
    <col min="4" max="4" width="17.5546875" customWidth="1"/>
    <col min="5" max="5" width="43.5546875" customWidth="1"/>
    <col min="6" max="6" width="22" customWidth="1"/>
    <col min="7" max="26" width="8.6640625" customWidth="1"/>
  </cols>
  <sheetData>
    <row r="1" spans="1:12" ht="25.5" customHeight="1">
      <c r="A1" s="155" t="s">
        <v>2236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5"/>
    </row>
    <row r="2" spans="1:12" ht="21.75" customHeight="1">
      <c r="A2" s="156" t="s">
        <v>2237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5"/>
    </row>
    <row r="3" spans="1:12" ht="27.75" customHeight="1">
      <c r="A3" s="157" t="s">
        <v>2238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5"/>
    </row>
    <row r="4" spans="1:12" ht="18" customHeight="1">
      <c r="A4" s="1" t="s">
        <v>2239</v>
      </c>
      <c r="B4" s="1" t="s">
        <v>2240</v>
      </c>
      <c r="C4" s="1" t="s">
        <v>2241</v>
      </c>
      <c r="D4" s="1" t="s">
        <v>2242</v>
      </c>
    </row>
    <row r="5" spans="1:12" ht="24" customHeight="1">
      <c r="A5" s="22" t="s">
        <v>144</v>
      </c>
      <c r="B5" s="23" t="s">
        <v>2243</v>
      </c>
      <c r="C5" s="23" t="str">
        <f>IF(COUNTIF($A2:$A$3,A3)&gt;1,"DUPLICATE","UNIQUE")</f>
        <v>UNIQUE</v>
      </c>
      <c r="D5" s="23" t="s">
        <v>2244</v>
      </c>
    </row>
    <row r="6" spans="1:12" ht="24" customHeight="1">
      <c r="A6" s="24" t="s">
        <v>2245</v>
      </c>
      <c r="B6" s="25" t="s">
        <v>2246</v>
      </c>
      <c r="C6" s="25" t="s">
        <v>2247</v>
      </c>
      <c r="D6" s="25" t="s">
        <v>2248</v>
      </c>
    </row>
    <row r="7" spans="1:12" ht="24" customHeight="1">
      <c r="A7" s="22" t="s">
        <v>2249</v>
      </c>
      <c r="B7" s="23" t="s">
        <v>2250</v>
      </c>
      <c r="C7" s="23" t="s">
        <v>2251</v>
      </c>
      <c r="D7" s="23" t="s">
        <v>2252</v>
      </c>
    </row>
    <row r="8" spans="1:12" ht="24" customHeight="1">
      <c r="A8" s="24" t="s">
        <v>2253</v>
      </c>
      <c r="B8" s="25" t="s">
        <v>2254</v>
      </c>
      <c r="C8" s="25" t="s">
        <v>2255</v>
      </c>
      <c r="D8" s="25" t="s">
        <v>2256</v>
      </c>
    </row>
    <row r="9" spans="1:12" ht="24" customHeight="1">
      <c r="A9" s="22" t="s">
        <v>2257</v>
      </c>
      <c r="B9" s="23" t="s">
        <v>2258</v>
      </c>
      <c r="C9" s="23" t="e">
        <f t="array" ref="C9">COUNTA(A3:A502)-SUMPRODUCT((COUNTIF(A3:A502,A3:A502)&gt;1)/COUNTIF(A3:A502,A3:A502))</f>
        <v>#DIV/0!</v>
      </c>
      <c r="D9" s="23" t="s">
        <v>2259</v>
      </c>
    </row>
    <row r="10" spans="1:12" ht="18" customHeight="1">
      <c r="A10" s="150" t="s">
        <v>2260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5"/>
    </row>
    <row r="12" spans="1:12" ht="21.75" customHeight="1">
      <c r="A12" s="158" t="s">
        <v>2261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5"/>
    </row>
    <row r="13" spans="1:12" ht="18" customHeight="1">
      <c r="A13" s="26" t="s">
        <v>2262</v>
      </c>
      <c r="B13" s="26" t="s">
        <v>2263</v>
      </c>
      <c r="C13" s="26" t="s">
        <v>2264</v>
      </c>
      <c r="D13" s="26" t="s">
        <v>2265</v>
      </c>
      <c r="E13" s="26" t="s">
        <v>2266</v>
      </c>
    </row>
    <row r="14" spans="1:12" ht="21.75" customHeight="1">
      <c r="A14" s="27" t="s">
        <v>2267</v>
      </c>
      <c r="B14" s="28" t="e">
        <f>TRIM(text)</f>
        <v>#NAME?</v>
      </c>
      <c r="C14" s="29" t="s">
        <v>842</v>
      </c>
      <c r="D14" s="30" t="s">
        <v>2268</v>
      </c>
      <c r="E14" s="28" t="s">
        <v>2269</v>
      </c>
    </row>
    <row r="15" spans="1:12" ht="21.75" customHeight="1">
      <c r="A15" s="31" t="s">
        <v>2270</v>
      </c>
      <c r="B15" s="25" t="e">
        <f>CLEAN(text)</f>
        <v>#NAME?</v>
      </c>
      <c r="C15" s="32" t="s">
        <v>2271</v>
      </c>
      <c r="D15" s="33" t="s">
        <v>639</v>
      </c>
      <c r="E15" s="25" t="s">
        <v>2272</v>
      </c>
    </row>
    <row r="16" spans="1:12" ht="21.75" customHeight="1">
      <c r="A16" s="27" t="s">
        <v>2273</v>
      </c>
      <c r="B16" s="28" t="str">
        <f>TRIM(CLEAN(C3))</f>
        <v/>
      </c>
      <c r="C16" s="29" t="s">
        <v>2274</v>
      </c>
      <c r="D16" s="30" t="s">
        <v>215</v>
      </c>
      <c r="E16" s="28" t="s">
        <v>2275</v>
      </c>
    </row>
    <row r="17" spans="1:12" ht="21.75" customHeight="1">
      <c r="A17" s="31" t="s">
        <v>2276</v>
      </c>
      <c r="B17" s="25" t="str">
        <f>PROPER(TRIM(CLEAN(C3)))</f>
        <v/>
      </c>
      <c r="C17" s="32" t="s">
        <v>2277</v>
      </c>
      <c r="D17" s="33" t="s">
        <v>2278</v>
      </c>
      <c r="E17" s="25" t="s">
        <v>2279</v>
      </c>
    </row>
    <row r="18" spans="1:12" ht="18" customHeight="1">
      <c r="A18" s="150" t="s">
        <v>2280</v>
      </c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5"/>
    </row>
    <row r="20" spans="1:12" ht="21.75" customHeight="1">
      <c r="A20" s="159" t="s">
        <v>2281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5"/>
    </row>
    <row r="21" spans="1:12" ht="18" customHeight="1">
      <c r="A21" s="34" t="s">
        <v>2282</v>
      </c>
      <c r="B21" s="34" t="s">
        <v>2283</v>
      </c>
      <c r="C21" s="34" t="s">
        <v>2284</v>
      </c>
      <c r="D21" s="34" t="s">
        <v>2285</v>
      </c>
    </row>
    <row r="22" spans="1:12" ht="24" customHeight="1">
      <c r="A22" s="35" t="s">
        <v>35</v>
      </c>
      <c r="B22" s="36">
        <f>COUNTBLANK(C3:C502)</f>
        <v>451</v>
      </c>
      <c r="C22" s="36" t="s">
        <v>2286</v>
      </c>
      <c r="D22" s="36" t="str">
        <f>IF(ISBLANK(Raw_Data!C2),"Unknown",PROPER(TRIM(Raw_Data!C2)))</f>
        <v>Arjun Mehta</v>
      </c>
    </row>
    <row r="23" spans="1:12" ht="24" customHeight="1">
      <c r="A23" s="37" t="s">
        <v>36</v>
      </c>
      <c r="B23" s="25">
        <f ca="1">COUNTBLANK(D3:D502)</f>
        <v>452</v>
      </c>
      <c r="C23" s="25" t="s">
        <v>2287</v>
      </c>
      <c r="D23" s="25" t="str">
        <f>IF(ISBLANK(Raw_Data!D2),"MISSING",Raw_Data!D2)</f>
        <v>CUST-001</v>
      </c>
    </row>
    <row r="24" spans="1:12" ht="24" customHeight="1">
      <c r="A24" s="35" t="s">
        <v>38</v>
      </c>
      <c r="B24" s="36">
        <f>COUNTBLANK(G3:G502)</f>
        <v>500</v>
      </c>
      <c r="C24" s="36" t="s">
        <v>2288</v>
      </c>
      <c r="D24" s="36" t="str">
        <f>IF(OR(ISBLANK(Raw_Data!G2),Raw_Data!G2=""),"Not Provided",Raw_Data!G2)</f>
        <v>Hyderabad</v>
      </c>
    </row>
    <row r="25" spans="1:12" ht="24" customHeight="1">
      <c r="A25" s="37" t="s">
        <v>48</v>
      </c>
      <c r="B25" s="25">
        <f>COUNTBLANK(Q3:Q502)</f>
        <v>500</v>
      </c>
      <c r="C25" s="25" t="s">
        <v>2289</v>
      </c>
      <c r="D25" s="25">
        <f>IF(ISBLANK(Raw_Data!Q2),0,Raw_Data!Q2)</f>
        <v>0</v>
      </c>
    </row>
    <row r="26" spans="1:12" ht="24" customHeight="1">
      <c r="A26" s="35" t="s">
        <v>43</v>
      </c>
      <c r="B26" s="36">
        <f>COUNTBLANK(L3:L502)</f>
        <v>500</v>
      </c>
      <c r="C26" s="36" t="s">
        <v>2290</v>
      </c>
      <c r="D26" s="36" t="str">
        <f>IF(ISBLANK(Raw_Data!L2),"Check Required",PROPER(TRIM(Raw_Data!L2)))</f>
        <v>Grocery</v>
      </c>
    </row>
    <row r="27" spans="1:12" ht="18" customHeight="1">
      <c r="A27" s="150" t="s">
        <v>2291</v>
      </c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5"/>
    </row>
    <row r="28" spans="1:12" ht="15.75" customHeight="1"/>
    <row r="29" spans="1:12" ht="21.75" customHeight="1">
      <c r="A29" s="151" t="s">
        <v>2292</v>
      </c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5"/>
    </row>
    <row r="30" spans="1:12" ht="18" customHeight="1">
      <c r="A30" s="38" t="s">
        <v>2293</v>
      </c>
      <c r="B30" s="38" t="s">
        <v>2294</v>
      </c>
      <c r="C30" s="38" t="s">
        <v>2295</v>
      </c>
      <c r="D30" s="38" t="s">
        <v>2296</v>
      </c>
      <c r="E30" s="38" t="s">
        <v>2297</v>
      </c>
    </row>
    <row r="31" spans="1:12" ht="21.75" customHeight="1">
      <c r="A31" s="39" t="s">
        <v>2298</v>
      </c>
      <c r="B31" s="40" t="s">
        <v>1259</v>
      </c>
      <c r="C31" s="40" t="s">
        <v>2299</v>
      </c>
      <c r="D31" s="40" t="e">
        <f>DATEVALUE(TEXT(B3,"DD-MM-YYYY"))</f>
        <v>#VALUE!</v>
      </c>
      <c r="E31" s="40" t="s">
        <v>1704</v>
      </c>
    </row>
    <row r="32" spans="1:12" ht="21.75" customHeight="1">
      <c r="A32" s="33" t="s">
        <v>2300</v>
      </c>
      <c r="B32" s="25" t="s">
        <v>2301</v>
      </c>
      <c r="C32" s="25" t="s">
        <v>2302</v>
      </c>
      <c r="D32" s="25" t="e">
        <f>DATE(LEFT(B3,4),MID(B3,6,2),RIGHT(B3,2))</f>
        <v>#VALUE!</v>
      </c>
      <c r="E32" s="25" t="s">
        <v>1704</v>
      </c>
    </row>
    <row r="33" spans="1:12" ht="21.75" customHeight="1">
      <c r="A33" s="39" t="s">
        <v>2303</v>
      </c>
      <c r="B33" s="40" t="s">
        <v>1412</v>
      </c>
      <c r="C33" s="40" t="s">
        <v>2304</v>
      </c>
      <c r="D33" s="40" t="e">
        <f>DATEVALUE(B3)</f>
        <v>#VALUE!</v>
      </c>
      <c r="E33" s="40" t="s">
        <v>1714</v>
      </c>
    </row>
    <row r="34" spans="1:12" ht="21.75" customHeight="1">
      <c r="A34" s="33" t="s">
        <v>2305</v>
      </c>
      <c r="B34" s="25" t="s">
        <v>1704</v>
      </c>
      <c r="C34" s="25" t="s">
        <v>2306</v>
      </c>
      <c r="D34" s="25">
        <f>DAY(B3)</f>
        <v>0</v>
      </c>
      <c r="E34" s="25" t="s">
        <v>2307</v>
      </c>
    </row>
    <row r="35" spans="1:12" ht="21.75" customHeight="1">
      <c r="A35" s="39" t="s">
        <v>2308</v>
      </c>
      <c r="B35" s="40" t="s">
        <v>1704</v>
      </c>
      <c r="C35" s="40" t="s">
        <v>2309</v>
      </c>
      <c r="D35" s="40" t="str">
        <f>TEXT(B3,"MMMM")</f>
        <v>January</v>
      </c>
      <c r="E35" s="40" t="s">
        <v>2310</v>
      </c>
    </row>
    <row r="36" spans="1:12" ht="21.75" customHeight="1">
      <c r="A36" s="33" t="s">
        <v>2311</v>
      </c>
      <c r="B36" s="25" t="s">
        <v>1704</v>
      </c>
      <c r="C36" s="25" t="s">
        <v>2312</v>
      </c>
      <c r="D36" s="25">
        <f>YEAR(B3)</f>
        <v>1900</v>
      </c>
      <c r="E36" s="25" t="s">
        <v>2313</v>
      </c>
    </row>
    <row r="37" spans="1:12" ht="21.75" customHeight="1">
      <c r="A37" s="39" t="s">
        <v>2314</v>
      </c>
      <c r="B37" s="40" t="s">
        <v>1704</v>
      </c>
      <c r="C37" s="40" t="s">
        <v>2315</v>
      </c>
      <c r="D37" s="40" t="str">
        <f>TEXT(B3,"DDDD")</f>
        <v>Saturday</v>
      </c>
      <c r="E37" s="40" t="s">
        <v>2316</v>
      </c>
    </row>
    <row r="38" spans="1:12" ht="18" customHeight="1">
      <c r="A38" s="150" t="s">
        <v>2317</v>
      </c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5"/>
    </row>
    <row r="39" spans="1:12" ht="15.75" customHeight="1"/>
    <row r="40" spans="1:12" ht="21.75" customHeight="1">
      <c r="A40" s="152" t="s">
        <v>2318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5"/>
    </row>
    <row r="41" spans="1:12" ht="18" customHeight="1">
      <c r="A41" s="41" t="s">
        <v>2282</v>
      </c>
      <c r="B41" s="41" t="s">
        <v>2293</v>
      </c>
      <c r="C41" s="41" t="s">
        <v>2264</v>
      </c>
      <c r="D41" s="41" t="s">
        <v>2285</v>
      </c>
      <c r="E41" s="41" t="s">
        <v>2265</v>
      </c>
    </row>
    <row r="42" spans="1:12" ht="31.5" customHeight="1">
      <c r="A42" s="42" t="s">
        <v>44</v>
      </c>
      <c r="B42" s="43" t="s">
        <v>2319</v>
      </c>
      <c r="C42" s="44" t="s">
        <v>805</v>
      </c>
      <c r="D42" s="43" t="str">
        <f>IF(LOWER(TRIM(L3))="electronics","Electronics",IF(LOWER(TRIM(L3))="fashion","Fashion",IF(LOWER(TRIM(L3))="grocery","Grocery",IF(LOWER(TRIM(L3))="home","Home","Check Required"))))</f>
        <v>Check Required</v>
      </c>
      <c r="E42" s="45" t="s">
        <v>99</v>
      </c>
    </row>
    <row r="43" spans="1:12" ht="31.5" customHeight="1">
      <c r="A43" s="46" t="s">
        <v>53</v>
      </c>
      <c r="B43" s="25" t="s">
        <v>2320</v>
      </c>
      <c r="C43" s="32" t="s">
        <v>383</v>
      </c>
      <c r="D43" s="25" t="str">
        <f>IF(LOWER(TRIM(U3))="delivered","Delivered",IF(LOWER(TRIM(U3))="shipped","Shipped",IF(LOWER(TRIM(U3))="returned","Returned",IF(LOWER(TRIM(U3))="cancelled","Cancelled","Pending"))))</f>
        <v>Pending</v>
      </c>
      <c r="E43" s="33" t="s">
        <v>211</v>
      </c>
    </row>
    <row r="44" spans="1:12" ht="31.5" customHeight="1">
      <c r="A44" s="42" t="s">
        <v>41</v>
      </c>
      <c r="B44" s="43" t="s">
        <v>2321</v>
      </c>
      <c r="C44" s="44" t="s">
        <v>1612</v>
      </c>
      <c r="D44" s="43" t="str">
        <f ca="1">IFERROR(_xludf.SWITCH(LOWER(TRIM(I3)),"north","North","south","South","east","East","west","West"),"Check Required")</f>
        <v>Check Required</v>
      </c>
      <c r="E44" s="45" t="s">
        <v>63</v>
      </c>
    </row>
    <row r="45" spans="1:12" ht="31.5" customHeight="1">
      <c r="A45" s="46" t="s">
        <v>54</v>
      </c>
      <c r="B45" s="25" t="s">
        <v>2320</v>
      </c>
      <c r="C45" s="32" t="s">
        <v>2322</v>
      </c>
      <c r="D45" s="25" t="str">
        <f>IF(OR(LOWER(TRIM(V3))="yes",TRIM(V3)="1",TRIM(V3)="y"),"Yes","No")</f>
        <v>No</v>
      </c>
      <c r="E45" s="33" t="s">
        <v>155</v>
      </c>
    </row>
    <row r="46" spans="1:12" ht="31.5" customHeight="1">
      <c r="A46" s="42" t="s">
        <v>52</v>
      </c>
      <c r="B46" s="43" t="s">
        <v>2323</v>
      </c>
      <c r="C46" s="44" t="s">
        <v>86</v>
      </c>
      <c r="D46" s="43" t="str">
        <f>PROPER(IF(LOWER(TRIM(T3))="upi","UPI",TRIM(T3)))</f>
        <v/>
      </c>
      <c r="E46" s="45" t="s">
        <v>465</v>
      </c>
    </row>
    <row r="47" spans="1:12" ht="18" customHeight="1">
      <c r="A47" s="150" t="s">
        <v>2324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5"/>
    </row>
    <row r="48" spans="1:12" ht="15.75" customHeight="1"/>
    <row r="49" spans="1:12" ht="21.75" customHeight="1">
      <c r="A49" s="153" t="s">
        <v>2325</v>
      </c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5"/>
    </row>
    <row r="50" spans="1:12" ht="18" customHeight="1">
      <c r="A50" s="47" t="s">
        <v>2282</v>
      </c>
      <c r="B50" s="47" t="s">
        <v>2293</v>
      </c>
      <c r="C50" s="47" t="s">
        <v>2283</v>
      </c>
      <c r="D50" s="47" t="s">
        <v>2296</v>
      </c>
      <c r="E50" s="47" t="s">
        <v>2326</v>
      </c>
    </row>
    <row r="51" spans="1:12" ht="27.75" customHeight="1">
      <c r="A51" s="48" t="s">
        <v>47</v>
      </c>
      <c r="B51" s="49" t="s">
        <v>2327</v>
      </c>
      <c r="C51" s="49" t="str">
        <f>IF(OR(NOT(ISNUMBER(O3)),O3&lt;1,O3&gt;100),"INVALID","OK")</f>
        <v>INVALID</v>
      </c>
      <c r="D51" s="49">
        <f>IF(OR(NOT(ISNUMBER(Raw_Data!O2)),Raw_Data!O2&lt;1),1,Raw_Data!O2)</f>
        <v>2</v>
      </c>
      <c r="E51" s="49" t="s">
        <v>2328</v>
      </c>
    </row>
    <row r="52" spans="1:12" ht="27.75" customHeight="1">
      <c r="A52" s="50" t="s">
        <v>49</v>
      </c>
      <c r="B52" s="25" t="s">
        <v>2329</v>
      </c>
      <c r="C52" s="25" t="str">
        <f>IF(OR(NOT(ISNUMBER(R3)),R3&lt;0,R3&gt;80),"INVALID","OK")</f>
        <v>INVALID</v>
      </c>
      <c r="D52" s="25">
        <f>IF(OR(NOT(ISNUMBER(Raw_Data!R2)),Raw_Data!R2&gt;80),0,IF(Raw_Data!R2&lt;0,0,Raw_Data!R2))</f>
        <v>5</v>
      </c>
      <c r="E52" s="25" t="s">
        <v>2330</v>
      </c>
    </row>
    <row r="53" spans="1:12" ht="27.75" customHeight="1">
      <c r="A53" s="48" t="s">
        <v>48</v>
      </c>
      <c r="B53" s="49" t="s">
        <v>2331</v>
      </c>
      <c r="C53" s="49" t="str">
        <f>IF(OR(ISBLANK(Q3),NOT(ISNUMBER(Q3))),"MISSING","OK")</f>
        <v>MISSING</v>
      </c>
      <c r="D53" s="49">
        <f>IFERROR(VALUE(SUBSTITUTE(SUBSTITUTE(Raw_Data!Q2,"₹",""),",","")),0)</f>
        <v>0</v>
      </c>
      <c r="E53" s="49" t="s">
        <v>2332</v>
      </c>
    </row>
    <row r="54" spans="1:12" ht="27.75" customHeight="1">
      <c r="A54" s="50" t="s">
        <v>51</v>
      </c>
      <c r="B54" s="25" t="s">
        <v>2333</v>
      </c>
      <c r="C54" s="25" t="b">
        <f>ABS(S3-(O3*Q3*(1-R3/100)*(1+S3/100)))&gt;1</f>
        <v>0</v>
      </c>
      <c r="D54" s="25">
        <f>ROUND(O3*Q3*(1-R3/100)*(1+S3/100),0)</f>
        <v>0</v>
      </c>
      <c r="E54" s="25" t="s">
        <v>2334</v>
      </c>
    </row>
    <row r="55" spans="1:12" ht="18" customHeight="1">
      <c r="A55" s="150" t="s">
        <v>2335</v>
      </c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5"/>
    </row>
    <row r="56" spans="1:12" ht="15.75" customHeight="1"/>
    <row r="57" spans="1:12" ht="25.5" customHeight="1">
      <c r="A57" s="154" t="s">
        <v>2336</v>
      </c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5"/>
    </row>
    <row r="58" spans="1:12" ht="18" customHeight="1">
      <c r="A58" s="1" t="s">
        <v>2337</v>
      </c>
      <c r="B58" s="1" t="s">
        <v>2338</v>
      </c>
      <c r="C58" s="1" t="s">
        <v>2339</v>
      </c>
      <c r="D58" s="1" t="s">
        <v>2340</v>
      </c>
      <c r="E58" s="1" t="s">
        <v>2341</v>
      </c>
      <c r="F58" s="1" t="s">
        <v>2342</v>
      </c>
    </row>
    <row r="59" spans="1:12" ht="21.75" customHeight="1">
      <c r="A59" s="51" t="s">
        <v>144</v>
      </c>
      <c r="B59" s="52" t="s">
        <v>2343</v>
      </c>
      <c r="C59" s="53" t="s">
        <v>33</v>
      </c>
      <c r="D59" s="54" t="s">
        <v>2344</v>
      </c>
      <c r="E59" s="52" t="b">
        <f>COUNTIF($A2:$A$3,A3)&gt;1</f>
        <v>0</v>
      </c>
      <c r="F59" s="55" t="s">
        <v>2345</v>
      </c>
    </row>
    <row r="60" spans="1:12" ht="21.75" customHeight="1">
      <c r="A60" s="56" t="s">
        <v>2245</v>
      </c>
      <c r="B60" s="25" t="s">
        <v>2346</v>
      </c>
      <c r="C60" s="57" t="s">
        <v>2347</v>
      </c>
      <c r="D60" s="58" t="s">
        <v>2348</v>
      </c>
      <c r="E60" s="25" t="str">
        <f>TRIM(CLEAN(C3))</f>
        <v/>
      </c>
      <c r="F60" s="33" t="s">
        <v>2349</v>
      </c>
    </row>
    <row r="61" spans="1:12" ht="21.75" customHeight="1">
      <c r="A61" s="51" t="s">
        <v>2249</v>
      </c>
      <c r="B61" s="52" t="s">
        <v>2350</v>
      </c>
      <c r="C61" s="53" t="s">
        <v>2347</v>
      </c>
      <c r="D61" s="54" t="s">
        <v>2351</v>
      </c>
      <c r="E61" s="52" t="str">
        <f>PROPER(TRIM(C3))</f>
        <v/>
      </c>
      <c r="F61" s="55" t="s">
        <v>2352</v>
      </c>
    </row>
    <row r="62" spans="1:12" ht="21.75" customHeight="1">
      <c r="A62" s="56" t="s">
        <v>2253</v>
      </c>
      <c r="B62" s="25" t="s">
        <v>2353</v>
      </c>
      <c r="C62" s="57" t="s">
        <v>35</v>
      </c>
      <c r="D62" s="58" t="s">
        <v>2354</v>
      </c>
      <c r="E62" s="25" t="str">
        <f>IF(ISBLANK(C3),"Unknown",C3)</f>
        <v>Unknown</v>
      </c>
      <c r="F62" s="33" t="s">
        <v>2355</v>
      </c>
    </row>
    <row r="63" spans="1:12" ht="21.75" customHeight="1">
      <c r="A63" s="51" t="s">
        <v>2257</v>
      </c>
      <c r="B63" s="52" t="s">
        <v>2356</v>
      </c>
      <c r="C63" s="53" t="s">
        <v>38</v>
      </c>
      <c r="D63" s="54" t="s">
        <v>2357</v>
      </c>
      <c r="E63" s="52" t="str">
        <f>IF(ISBLANK(G3),"Not Provided",G3)</f>
        <v>Not Provided</v>
      </c>
      <c r="F63" s="55" t="s">
        <v>2358</v>
      </c>
    </row>
    <row r="64" spans="1:12" ht="21.75" customHeight="1">
      <c r="A64" s="56" t="s">
        <v>2359</v>
      </c>
      <c r="B64" s="25" t="s">
        <v>2360</v>
      </c>
      <c r="C64" s="57" t="s">
        <v>34</v>
      </c>
      <c r="D64" s="58" t="s">
        <v>2361</v>
      </c>
      <c r="E64" s="25" t="str">
        <f>TEXT(B3,"DD-MMM-YYYY")</f>
        <v>00-Jan-1900</v>
      </c>
      <c r="F64" s="33" t="s">
        <v>2362</v>
      </c>
    </row>
    <row r="65" spans="1:6" ht="21.75" customHeight="1">
      <c r="A65" s="51" t="s">
        <v>2363</v>
      </c>
      <c r="B65" s="52" t="s">
        <v>2364</v>
      </c>
      <c r="C65" s="53" t="s">
        <v>44</v>
      </c>
      <c r="D65" s="54" t="s">
        <v>2357</v>
      </c>
      <c r="E65" s="52" t="s">
        <v>2365</v>
      </c>
      <c r="F65" s="55" t="s">
        <v>2366</v>
      </c>
    </row>
    <row r="66" spans="1:6" ht="21.75" customHeight="1">
      <c r="A66" s="56" t="s">
        <v>2367</v>
      </c>
      <c r="B66" s="25" t="s">
        <v>2368</v>
      </c>
      <c r="C66" s="57" t="s">
        <v>47</v>
      </c>
      <c r="D66" s="58" t="s">
        <v>2354</v>
      </c>
      <c r="E66" s="25">
        <f>IF(O3&lt;1,1,O3)</f>
        <v>1</v>
      </c>
      <c r="F66" s="33" t="s">
        <v>2369</v>
      </c>
    </row>
    <row r="67" spans="1:6" ht="21.75" customHeight="1">
      <c r="A67" s="51" t="s">
        <v>2370</v>
      </c>
      <c r="B67" s="52" t="s">
        <v>2371</v>
      </c>
      <c r="C67" s="53" t="s">
        <v>49</v>
      </c>
      <c r="D67" s="54" t="s">
        <v>2372</v>
      </c>
      <c r="E67" s="52">
        <f>IF(R3&gt;80,0,R3)</f>
        <v>0</v>
      </c>
      <c r="F67" s="55" t="s">
        <v>2373</v>
      </c>
    </row>
    <row r="68" spans="1:6" ht="21.75" customHeight="1">
      <c r="A68" s="56" t="s">
        <v>2374</v>
      </c>
      <c r="B68" s="25" t="s">
        <v>2375</v>
      </c>
      <c r="C68" s="57" t="s">
        <v>41</v>
      </c>
      <c r="D68" s="58" t="s">
        <v>2361</v>
      </c>
      <c r="E68" s="25" t="s">
        <v>2376</v>
      </c>
      <c r="F68" s="33" t="s">
        <v>2377</v>
      </c>
    </row>
    <row r="69" spans="1:6" ht="21.75" customHeight="1">
      <c r="A69" s="51" t="s">
        <v>2378</v>
      </c>
      <c r="B69" s="52" t="s">
        <v>2379</v>
      </c>
      <c r="C69" s="53" t="s">
        <v>43</v>
      </c>
      <c r="D69" s="54" t="s">
        <v>2354</v>
      </c>
      <c r="E69" s="52" t="str">
        <f>IF(ISBLANK(L3),"Check Required",L3)</f>
        <v>Check Required</v>
      </c>
      <c r="F69" s="55" t="s">
        <v>2380</v>
      </c>
    </row>
    <row r="70" spans="1:6" ht="21.75" customHeight="1">
      <c r="A70" s="56" t="s">
        <v>2381</v>
      </c>
      <c r="B70" s="25" t="s">
        <v>2382</v>
      </c>
      <c r="C70" s="57" t="s">
        <v>2383</v>
      </c>
      <c r="D70" s="58" t="s">
        <v>2384</v>
      </c>
      <c r="E70" s="25"/>
      <c r="F70" s="33" t="s">
        <v>2385</v>
      </c>
    </row>
    <row r="71" spans="1:6" ht="15.75" customHeight="1"/>
    <row r="72" spans="1:6" ht="15.75" customHeight="1"/>
    <row r="73" spans="1:6" ht="15.75" customHeight="1"/>
    <row r="74" spans="1:6" ht="15.75" customHeight="1"/>
    <row r="75" spans="1:6" ht="15.75" customHeight="1"/>
    <row r="76" spans="1:6" ht="15.75" customHeight="1"/>
    <row r="77" spans="1:6" ht="15.75" customHeight="1"/>
    <row r="78" spans="1:6" ht="15.75" customHeight="1"/>
    <row r="79" spans="1:6" ht="15.75" customHeight="1"/>
    <row r="80" spans="1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49:L49"/>
    <mergeCell ref="A55:L55"/>
    <mergeCell ref="A57:L57"/>
    <mergeCell ref="A1:L1"/>
    <mergeCell ref="A2:L2"/>
    <mergeCell ref="A3:L3"/>
    <mergeCell ref="A10:L10"/>
    <mergeCell ref="A12:L12"/>
    <mergeCell ref="A18:L18"/>
    <mergeCell ref="A20:L20"/>
    <mergeCell ref="A27:L27"/>
    <mergeCell ref="A29:L29"/>
    <mergeCell ref="A38:L38"/>
    <mergeCell ref="A40:L40"/>
    <mergeCell ref="A47:L47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59669"/>
  </sheetPr>
  <dimension ref="A1:V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12" customWidth="1"/>
    <col min="2" max="2" width="16" customWidth="1"/>
    <col min="3" max="3" width="22" customWidth="1"/>
    <col min="4" max="4" width="10" customWidth="1"/>
    <col min="5" max="5" width="26" customWidth="1"/>
    <col min="6" max="6" width="14" customWidth="1"/>
    <col min="7" max="8" width="16" customWidth="1"/>
    <col min="9" max="10" width="10" customWidth="1"/>
    <col min="11" max="11" width="24" customWidth="1"/>
    <col min="12" max="13" width="14" customWidth="1"/>
    <col min="14" max="14" width="12" customWidth="1"/>
    <col min="15" max="15" width="10" customWidth="1"/>
    <col min="16" max="17" width="12" customWidth="1"/>
    <col min="18" max="18" width="8" customWidth="1"/>
    <col min="19" max="19" width="14" customWidth="1"/>
    <col min="20" max="20" width="16" customWidth="1"/>
    <col min="21" max="21" width="14" customWidth="1"/>
    <col min="22" max="22" width="12" customWidth="1"/>
    <col min="23" max="26" width="8.6640625" customWidth="1"/>
  </cols>
  <sheetData>
    <row r="1" spans="1:22" ht="21.75" customHeight="1">
      <c r="A1" s="160" t="s">
        <v>2386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5"/>
    </row>
    <row r="2" spans="1:22" ht="19.5" customHeight="1">
      <c r="A2" s="38" t="s">
        <v>33</v>
      </c>
      <c r="B2" s="38" t="s">
        <v>34</v>
      </c>
      <c r="C2" s="38" t="s">
        <v>35</v>
      </c>
      <c r="D2" s="38" t="s">
        <v>36</v>
      </c>
      <c r="E2" s="38" t="s">
        <v>37</v>
      </c>
      <c r="F2" s="38" t="s">
        <v>38</v>
      </c>
      <c r="G2" s="38" t="s">
        <v>39</v>
      </c>
      <c r="H2" s="38" t="s">
        <v>40</v>
      </c>
      <c r="I2" s="38" t="s">
        <v>41</v>
      </c>
      <c r="J2" s="38" t="s">
        <v>42</v>
      </c>
      <c r="K2" s="38" t="s">
        <v>43</v>
      </c>
      <c r="L2" s="38" t="s">
        <v>44</v>
      </c>
      <c r="M2" s="38" t="s">
        <v>45</v>
      </c>
      <c r="N2" s="38" t="s">
        <v>46</v>
      </c>
      <c r="O2" s="38" t="s">
        <v>47</v>
      </c>
      <c r="P2" s="38" t="s">
        <v>48</v>
      </c>
      <c r="Q2" s="38" t="s">
        <v>49</v>
      </c>
      <c r="R2" s="38" t="s">
        <v>50</v>
      </c>
      <c r="S2" s="38" t="s">
        <v>51</v>
      </c>
      <c r="T2" s="38" t="s">
        <v>52</v>
      </c>
      <c r="U2" s="38" t="s">
        <v>53</v>
      </c>
      <c r="V2" s="38" t="s">
        <v>54</v>
      </c>
    </row>
    <row r="3" spans="1:22" ht="14.4">
      <c r="A3" s="17" t="s">
        <v>55</v>
      </c>
      <c r="B3" s="18" t="s">
        <v>2387</v>
      </c>
      <c r="C3" s="18" t="s">
        <v>2388</v>
      </c>
      <c r="D3" s="17" t="s">
        <v>58</v>
      </c>
      <c r="E3" s="18" t="s">
        <v>59</v>
      </c>
      <c r="F3" s="18" t="s">
        <v>60</v>
      </c>
      <c r="G3" s="18" t="s">
        <v>61</v>
      </c>
      <c r="H3" s="17" t="s">
        <v>62</v>
      </c>
      <c r="I3" s="17" t="s">
        <v>63</v>
      </c>
      <c r="J3" s="17" t="s">
        <v>64</v>
      </c>
      <c r="K3" s="18" t="s">
        <v>2389</v>
      </c>
      <c r="L3" s="18" t="s">
        <v>66</v>
      </c>
      <c r="M3" s="18" t="s">
        <v>67</v>
      </c>
      <c r="N3" s="18" t="s">
        <v>68</v>
      </c>
      <c r="O3" s="17">
        <v>2</v>
      </c>
      <c r="P3" s="59">
        <v>450</v>
      </c>
      <c r="Q3" s="60">
        <v>0</v>
      </c>
      <c r="R3" s="17">
        <v>5</v>
      </c>
      <c r="S3" s="19">
        <v>945</v>
      </c>
      <c r="T3" s="18" t="s">
        <v>413</v>
      </c>
      <c r="U3" s="18" t="s">
        <v>70</v>
      </c>
      <c r="V3" s="18" t="s">
        <v>155</v>
      </c>
    </row>
    <row r="4" spans="1:22" ht="14.4">
      <c r="A4" s="13" t="s">
        <v>72</v>
      </c>
      <c r="B4" s="14" t="s">
        <v>2390</v>
      </c>
      <c r="C4" s="14" t="s">
        <v>74</v>
      </c>
      <c r="D4" s="13" t="s">
        <v>75</v>
      </c>
      <c r="E4" s="14" t="s">
        <v>2391</v>
      </c>
      <c r="F4" s="14" t="s">
        <v>77</v>
      </c>
      <c r="G4" s="14" t="s">
        <v>78</v>
      </c>
      <c r="H4" s="13" t="s">
        <v>79</v>
      </c>
      <c r="I4" s="13" t="s">
        <v>80</v>
      </c>
      <c r="J4" s="13" t="s">
        <v>81</v>
      </c>
      <c r="K4" s="14" t="s">
        <v>82</v>
      </c>
      <c r="L4" s="14" t="s">
        <v>83</v>
      </c>
      <c r="M4" s="14" t="s">
        <v>84</v>
      </c>
      <c r="N4" s="14" t="s">
        <v>85</v>
      </c>
      <c r="O4" s="13">
        <v>10</v>
      </c>
      <c r="P4" s="61">
        <v>25000</v>
      </c>
      <c r="Q4" s="62">
        <v>20</v>
      </c>
      <c r="R4" s="13">
        <v>3</v>
      </c>
      <c r="S4" s="16">
        <v>206000</v>
      </c>
      <c r="T4" s="14" t="s">
        <v>465</v>
      </c>
      <c r="U4" s="14" t="s">
        <v>184</v>
      </c>
      <c r="V4" s="14" t="s">
        <v>155</v>
      </c>
    </row>
    <row r="5" spans="1:22" ht="14.4">
      <c r="A5" s="17" t="s">
        <v>89</v>
      </c>
      <c r="B5" s="18" t="s">
        <v>2392</v>
      </c>
      <c r="C5" s="18" t="s">
        <v>2393</v>
      </c>
      <c r="D5" s="17" t="s">
        <v>92</v>
      </c>
      <c r="E5" s="18" t="s">
        <v>93</v>
      </c>
      <c r="F5" s="18" t="s">
        <v>2394</v>
      </c>
      <c r="G5" s="18" t="s">
        <v>95</v>
      </c>
      <c r="H5" s="17" t="s">
        <v>96</v>
      </c>
      <c r="I5" s="17" t="s">
        <v>63</v>
      </c>
      <c r="J5" s="17" t="s">
        <v>97</v>
      </c>
      <c r="K5" s="18" t="s">
        <v>2395</v>
      </c>
      <c r="L5" s="18" t="s">
        <v>99</v>
      </c>
      <c r="M5" s="18" t="s">
        <v>100</v>
      </c>
      <c r="N5" s="18" t="s">
        <v>2396</v>
      </c>
      <c r="O5" s="17">
        <v>5</v>
      </c>
      <c r="P5" s="59">
        <v>28000</v>
      </c>
      <c r="Q5" s="60">
        <v>10</v>
      </c>
      <c r="R5" s="17">
        <v>18</v>
      </c>
      <c r="S5" s="19">
        <v>148680</v>
      </c>
      <c r="T5" s="18" t="s">
        <v>102</v>
      </c>
      <c r="U5" s="18" t="s">
        <v>143</v>
      </c>
      <c r="V5" s="18" t="s">
        <v>155</v>
      </c>
    </row>
    <row r="6" spans="1:22" ht="14.4">
      <c r="A6" s="13" t="s">
        <v>104</v>
      </c>
      <c r="B6" s="14" t="s">
        <v>915</v>
      </c>
      <c r="C6" s="14" t="s">
        <v>106</v>
      </c>
      <c r="D6" s="13" t="s">
        <v>107</v>
      </c>
      <c r="E6" s="14" t="s">
        <v>108</v>
      </c>
      <c r="F6" s="14" t="s">
        <v>109</v>
      </c>
      <c r="G6" s="14" t="s">
        <v>78</v>
      </c>
      <c r="H6" s="13" t="s">
        <v>79</v>
      </c>
      <c r="I6" s="13" t="s">
        <v>80</v>
      </c>
      <c r="J6" s="13" t="s">
        <v>110</v>
      </c>
      <c r="K6" s="14" t="s">
        <v>111</v>
      </c>
      <c r="L6" s="14" t="s">
        <v>112</v>
      </c>
      <c r="M6" s="14" t="s">
        <v>113</v>
      </c>
      <c r="N6" s="14" t="s">
        <v>114</v>
      </c>
      <c r="O6" s="13">
        <v>8</v>
      </c>
      <c r="P6" s="61">
        <v>3500</v>
      </c>
      <c r="Q6" s="62">
        <v>20</v>
      </c>
      <c r="R6" s="13">
        <v>18</v>
      </c>
      <c r="S6" s="16">
        <v>26432</v>
      </c>
      <c r="T6" s="14" t="s">
        <v>115</v>
      </c>
      <c r="U6" s="14" t="s">
        <v>143</v>
      </c>
      <c r="V6" s="14" t="s">
        <v>155</v>
      </c>
    </row>
    <row r="7" spans="1:22" ht="14.4">
      <c r="A7" s="17" t="s">
        <v>116</v>
      </c>
      <c r="B7" s="18" t="s">
        <v>2397</v>
      </c>
      <c r="C7" s="18" t="s">
        <v>2398</v>
      </c>
      <c r="D7" s="17" t="s">
        <v>119</v>
      </c>
      <c r="E7" s="18" t="s">
        <v>120</v>
      </c>
      <c r="F7" s="18" t="s">
        <v>121</v>
      </c>
      <c r="G7" s="18" t="s">
        <v>122</v>
      </c>
      <c r="H7" s="17" t="s">
        <v>122</v>
      </c>
      <c r="I7" s="17" t="s">
        <v>123</v>
      </c>
      <c r="J7" s="17" t="s">
        <v>124</v>
      </c>
      <c r="K7" s="18" t="s">
        <v>125</v>
      </c>
      <c r="L7" s="18" t="s">
        <v>99</v>
      </c>
      <c r="M7" s="18" t="s">
        <v>100</v>
      </c>
      <c r="N7" s="18" t="s">
        <v>126</v>
      </c>
      <c r="O7" s="17">
        <v>1</v>
      </c>
      <c r="P7" s="59">
        <v>14000</v>
      </c>
      <c r="Q7" s="60">
        <v>15</v>
      </c>
      <c r="R7" s="17">
        <v>18</v>
      </c>
      <c r="S7" s="19">
        <v>14042</v>
      </c>
      <c r="T7" s="18" t="s">
        <v>127</v>
      </c>
      <c r="U7" s="18" t="s">
        <v>143</v>
      </c>
      <c r="V7" s="18" t="s">
        <v>155</v>
      </c>
    </row>
    <row r="8" spans="1:22" ht="14.4">
      <c r="A8" s="13" t="s">
        <v>129</v>
      </c>
      <c r="B8" s="14" t="s">
        <v>2399</v>
      </c>
      <c r="C8" s="14" t="s">
        <v>131</v>
      </c>
      <c r="D8" s="13" t="s">
        <v>132</v>
      </c>
      <c r="E8" s="14" t="s">
        <v>133</v>
      </c>
      <c r="F8" s="14" t="s">
        <v>134</v>
      </c>
      <c r="G8" s="14" t="s">
        <v>135</v>
      </c>
      <c r="H8" s="13" t="s">
        <v>136</v>
      </c>
      <c r="I8" s="13" t="s">
        <v>63</v>
      </c>
      <c r="J8" s="13" t="s">
        <v>137</v>
      </c>
      <c r="K8" s="14" t="s">
        <v>138</v>
      </c>
      <c r="L8" s="14" t="s">
        <v>139</v>
      </c>
      <c r="M8" s="14" t="s">
        <v>140</v>
      </c>
      <c r="N8" s="14" t="s">
        <v>141</v>
      </c>
      <c r="O8" s="13">
        <v>1</v>
      </c>
      <c r="P8" s="61">
        <v>12000</v>
      </c>
      <c r="Q8" s="62">
        <v>0</v>
      </c>
      <c r="R8" s="13">
        <v>18</v>
      </c>
      <c r="S8" s="16">
        <v>14160</v>
      </c>
      <c r="T8" s="14" t="s">
        <v>115</v>
      </c>
      <c r="U8" s="14" t="s">
        <v>143</v>
      </c>
      <c r="V8" s="14" t="s">
        <v>212</v>
      </c>
    </row>
    <row r="9" spans="1:22" ht="14.4">
      <c r="A9" s="17" t="s">
        <v>145</v>
      </c>
      <c r="B9" s="18" t="s">
        <v>2061</v>
      </c>
      <c r="C9" s="18" t="s">
        <v>2400</v>
      </c>
      <c r="D9" s="17" t="s">
        <v>148</v>
      </c>
      <c r="E9" s="18" t="s">
        <v>149</v>
      </c>
      <c r="F9" s="18" t="s">
        <v>150</v>
      </c>
      <c r="G9" s="18" t="s">
        <v>151</v>
      </c>
      <c r="H9" s="17" t="s">
        <v>152</v>
      </c>
      <c r="I9" s="17" t="s">
        <v>80</v>
      </c>
      <c r="J9" s="17" t="s">
        <v>81</v>
      </c>
      <c r="K9" s="18" t="s">
        <v>82</v>
      </c>
      <c r="L9" s="18" t="s">
        <v>83</v>
      </c>
      <c r="M9" s="18" t="s">
        <v>84</v>
      </c>
      <c r="N9" s="18" t="s">
        <v>85</v>
      </c>
      <c r="O9" s="17">
        <v>6</v>
      </c>
      <c r="P9" s="59">
        <v>25000</v>
      </c>
      <c r="Q9" s="60">
        <v>80</v>
      </c>
      <c r="R9" s="17">
        <v>3</v>
      </c>
      <c r="S9" s="19">
        <v>30900</v>
      </c>
      <c r="T9" s="18" t="s">
        <v>153</v>
      </c>
      <c r="U9" s="18" t="s">
        <v>70</v>
      </c>
      <c r="V9" s="18" t="s">
        <v>155</v>
      </c>
    </row>
    <row r="10" spans="1:22" ht="14.4">
      <c r="A10" s="13" t="s">
        <v>156</v>
      </c>
      <c r="B10" s="14" t="s">
        <v>2401</v>
      </c>
      <c r="C10" s="14" t="s">
        <v>2402</v>
      </c>
      <c r="D10" s="13" t="s">
        <v>159</v>
      </c>
      <c r="E10" s="14" t="s">
        <v>160</v>
      </c>
      <c r="F10" s="14" t="s">
        <v>161</v>
      </c>
      <c r="G10" s="14" t="s">
        <v>151</v>
      </c>
      <c r="H10" s="13" t="s">
        <v>152</v>
      </c>
      <c r="I10" s="13" t="s">
        <v>80</v>
      </c>
      <c r="J10" s="13" t="s">
        <v>162</v>
      </c>
      <c r="K10" s="14" t="s">
        <v>163</v>
      </c>
      <c r="L10" s="14" t="s">
        <v>99</v>
      </c>
      <c r="M10" s="14" t="s">
        <v>164</v>
      </c>
      <c r="N10" s="14" t="s">
        <v>165</v>
      </c>
      <c r="O10" s="13">
        <v>7</v>
      </c>
      <c r="P10" s="61">
        <v>2800</v>
      </c>
      <c r="Q10" s="62">
        <v>25</v>
      </c>
      <c r="R10" s="13">
        <v>18</v>
      </c>
      <c r="S10" s="16">
        <v>17346</v>
      </c>
      <c r="T10" s="14" t="s">
        <v>102</v>
      </c>
      <c r="U10" s="14" t="s">
        <v>143</v>
      </c>
      <c r="V10" s="14" t="s">
        <v>155</v>
      </c>
    </row>
    <row r="11" spans="1:22" ht="14.4">
      <c r="A11" s="17" t="s">
        <v>166</v>
      </c>
      <c r="B11" s="18" t="s">
        <v>644</v>
      </c>
      <c r="C11" s="18" t="s">
        <v>168</v>
      </c>
      <c r="D11" s="17" t="s">
        <v>169</v>
      </c>
      <c r="E11" s="18" t="s">
        <v>170</v>
      </c>
      <c r="F11" s="18" t="s">
        <v>171</v>
      </c>
      <c r="G11" s="18" t="s">
        <v>172</v>
      </c>
      <c r="H11" s="17" t="s">
        <v>96</v>
      </c>
      <c r="I11" s="17" t="s">
        <v>63</v>
      </c>
      <c r="J11" s="17" t="s">
        <v>97</v>
      </c>
      <c r="K11" s="18" t="s">
        <v>2395</v>
      </c>
      <c r="L11" s="18" t="s">
        <v>99</v>
      </c>
      <c r="M11" s="18" t="s">
        <v>100</v>
      </c>
      <c r="N11" s="18" t="s">
        <v>2396</v>
      </c>
      <c r="O11" s="17">
        <v>9</v>
      </c>
      <c r="P11" s="59">
        <v>28000</v>
      </c>
      <c r="Q11" s="60">
        <v>5</v>
      </c>
      <c r="R11" s="17">
        <v>18</v>
      </c>
      <c r="S11" s="19">
        <v>282492</v>
      </c>
      <c r="T11" s="18" t="s">
        <v>115</v>
      </c>
      <c r="U11" s="18" t="s">
        <v>211</v>
      </c>
      <c r="V11" s="18" t="s">
        <v>155</v>
      </c>
    </row>
    <row r="12" spans="1:22" ht="14.4">
      <c r="A12" s="13" t="s">
        <v>175</v>
      </c>
      <c r="B12" s="14" t="s">
        <v>2403</v>
      </c>
      <c r="C12" s="14" t="s">
        <v>2404</v>
      </c>
      <c r="D12" s="13" t="s">
        <v>178</v>
      </c>
      <c r="E12" s="14" t="s">
        <v>179</v>
      </c>
      <c r="F12" s="14" t="s">
        <v>180</v>
      </c>
      <c r="G12" s="14" t="s">
        <v>181</v>
      </c>
      <c r="H12" s="13" t="s">
        <v>182</v>
      </c>
      <c r="I12" s="13" t="s">
        <v>123</v>
      </c>
      <c r="J12" s="13" t="s">
        <v>162</v>
      </c>
      <c r="K12" s="14" t="s">
        <v>163</v>
      </c>
      <c r="L12" s="14" t="s">
        <v>99</v>
      </c>
      <c r="M12" s="14" t="s">
        <v>164</v>
      </c>
      <c r="N12" s="14" t="s">
        <v>165</v>
      </c>
      <c r="O12" s="13">
        <v>5</v>
      </c>
      <c r="P12" s="61">
        <v>2800</v>
      </c>
      <c r="Q12" s="62">
        <v>15</v>
      </c>
      <c r="R12" s="13">
        <v>18</v>
      </c>
      <c r="S12" s="16">
        <v>14042</v>
      </c>
      <c r="T12" s="14" t="s">
        <v>153</v>
      </c>
      <c r="U12" s="14" t="s">
        <v>184</v>
      </c>
      <c r="V12" s="14" t="s">
        <v>155</v>
      </c>
    </row>
    <row r="13" spans="1:22" ht="14.4">
      <c r="A13" s="17" t="s">
        <v>185</v>
      </c>
      <c r="B13" s="18" t="s">
        <v>501</v>
      </c>
      <c r="C13" s="18" t="s">
        <v>106</v>
      </c>
      <c r="D13" s="17" t="s">
        <v>187</v>
      </c>
      <c r="E13" s="18" t="s">
        <v>188</v>
      </c>
      <c r="F13" s="18" t="s">
        <v>189</v>
      </c>
      <c r="G13" s="18" t="s">
        <v>95</v>
      </c>
      <c r="H13" s="17" t="s">
        <v>96</v>
      </c>
      <c r="I13" s="17" t="s">
        <v>63</v>
      </c>
      <c r="J13" s="17" t="s">
        <v>110</v>
      </c>
      <c r="K13" s="18" t="s">
        <v>111</v>
      </c>
      <c r="L13" s="18" t="s">
        <v>112</v>
      </c>
      <c r="M13" s="18" t="s">
        <v>113</v>
      </c>
      <c r="N13" s="18" t="s">
        <v>114</v>
      </c>
      <c r="O13" s="17">
        <v>10</v>
      </c>
      <c r="P13" s="59">
        <v>3500</v>
      </c>
      <c r="Q13" s="60">
        <v>15</v>
      </c>
      <c r="R13" s="17">
        <v>18</v>
      </c>
      <c r="S13" s="19">
        <v>35105</v>
      </c>
      <c r="T13" s="18" t="s">
        <v>127</v>
      </c>
      <c r="U13" s="18" t="s">
        <v>211</v>
      </c>
      <c r="V13" s="18" t="s">
        <v>155</v>
      </c>
    </row>
    <row r="14" spans="1:22" ht="14.4">
      <c r="A14" s="13" t="s">
        <v>191</v>
      </c>
      <c r="B14" s="14" t="s">
        <v>1324</v>
      </c>
      <c r="C14" s="14" t="s">
        <v>2405</v>
      </c>
      <c r="D14" s="13" t="s">
        <v>194</v>
      </c>
      <c r="E14" s="14" t="s">
        <v>195</v>
      </c>
      <c r="F14" s="14" t="s">
        <v>196</v>
      </c>
      <c r="G14" s="14" t="s">
        <v>78</v>
      </c>
      <c r="H14" s="13" t="s">
        <v>79</v>
      </c>
      <c r="I14" s="13" t="s">
        <v>80</v>
      </c>
      <c r="J14" s="13" t="s">
        <v>197</v>
      </c>
      <c r="K14" s="14" t="s">
        <v>198</v>
      </c>
      <c r="L14" s="14" t="s">
        <v>66</v>
      </c>
      <c r="M14" s="14" t="s">
        <v>199</v>
      </c>
      <c r="N14" s="14" t="s">
        <v>200</v>
      </c>
      <c r="O14" s="13">
        <v>9</v>
      </c>
      <c r="P14" s="61">
        <v>50</v>
      </c>
      <c r="Q14" s="62">
        <v>0</v>
      </c>
      <c r="R14" s="13">
        <v>5</v>
      </c>
      <c r="S14" s="16">
        <v>472</v>
      </c>
      <c r="T14" s="14" t="s">
        <v>153</v>
      </c>
      <c r="U14" s="14" t="s">
        <v>184</v>
      </c>
      <c r="V14" s="14" t="s">
        <v>212</v>
      </c>
    </row>
    <row r="15" spans="1:22" ht="14.4">
      <c r="A15" s="17" t="s">
        <v>202</v>
      </c>
      <c r="B15" s="18" t="s">
        <v>2109</v>
      </c>
      <c r="C15" s="18" t="s">
        <v>74</v>
      </c>
      <c r="D15" s="17" t="s">
        <v>204</v>
      </c>
      <c r="E15" s="18" t="s">
        <v>205</v>
      </c>
      <c r="F15" s="18" t="s">
        <v>206</v>
      </c>
      <c r="G15" s="18" t="s">
        <v>151</v>
      </c>
      <c r="H15" s="17" t="s">
        <v>152</v>
      </c>
      <c r="I15" s="17" t="s">
        <v>80</v>
      </c>
      <c r="J15" s="17" t="s">
        <v>207</v>
      </c>
      <c r="K15" s="18" t="s">
        <v>2406</v>
      </c>
      <c r="L15" s="18" t="s">
        <v>99</v>
      </c>
      <c r="M15" s="18" t="s">
        <v>209</v>
      </c>
      <c r="N15" s="18" t="s">
        <v>2407</v>
      </c>
      <c r="O15" s="17">
        <v>7</v>
      </c>
      <c r="P15" s="59">
        <v>55000</v>
      </c>
      <c r="Q15" s="60">
        <v>12</v>
      </c>
      <c r="R15" s="17">
        <v>18</v>
      </c>
      <c r="S15" s="19">
        <v>399784</v>
      </c>
      <c r="T15" s="18" t="s">
        <v>153</v>
      </c>
      <c r="U15" s="18" t="s">
        <v>211</v>
      </c>
      <c r="V15" s="18" t="s">
        <v>212</v>
      </c>
    </row>
    <row r="16" spans="1:22" ht="14.4">
      <c r="A16" s="13" t="s">
        <v>213</v>
      </c>
      <c r="B16" s="14" t="s">
        <v>792</v>
      </c>
      <c r="C16" s="14" t="s">
        <v>2278</v>
      </c>
      <c r="D16" s="13" t="s">
        <v>216</v>
      </c>
      <c r="E16" s="14" t="s">
        <v>217</v>
      </c>
      <c r="F16" s="14" t="s">
        <v>218</v>
      </c>
      <c r="G16" s="14" t="s">
        <v>181</v>
      </c>
      <c r="H16" s="13" t="s">
        <v>182</v>
      </c>
      <c r="I16" s="13" t="s">
        <v>123</v>
      </c>
      <c r="J16" s="13" t="s">
        <v>219</v>
      </c>
      <c r="K16" s="14" t="s">
        <v>2408</v>
      </c>
      <c r="L16" s="14" t="s">
        <v>99</v>
      </c>
      <c r="M16" s="14" t="s">
        <v>100</v>
      </c>
      <c r="N16" s="14" t="s">
        <v>221</v>
      </c>
      <c r="O16" s="13">
        <v>9</v>
      </c>
      <c r="P16" s="61">
        <v>89000</v>
      </c>
      <c r="Q16" s="62">
        <v>10</v>
      </c>
      <c r="R16" s="13">
        <v>18</v>
      </c>
      <c r="S16" s="16">
        <v>850662</v>
      </c>
      <c r="T16" s="14" t="s">
        <v>413</v>
      </c>
      <c r="U16" s="14" t="s">
        <v>211</v>
      </c>
      <c r="V16" s="14" t="s">
        <v>155</v>
      </c>
    </row>
    <row r="17" spans="1:22" ht="14.4">
      <c r="A17" s="17" t="s">
        <v>222</v>
      </c>
      <c r="B17" s="18" t="s">
        <v>2409</v>
      </c>
      <c r="C17" s="18" t="s">
        <v>2410</v>
      </c>
      <c r="D17" s="17" t="s">
        <v>225</v>
      </c>
      <c r="E17" s="18" t="s">
        <v>226</v>
      </c>
      <c r="F17" s="18" t="s">
        <v>227</v>
      </c>
      <c r="G17" s="18" t="s">
        <v>228</v>
      </c>
      <c r="H17" s="17" t="s">
        <v>152</v>
      </c>
      <c r="I17" s="17" t="s">
        <v>80</v>
      </c>
      <c r="J17" s="17" t="s">
        <v>64</v>
      </c>
      <c r="K17" s="18" t="s">
        <v>2389</v>
      </c>
      <c r="L17" s="18" t="s">
        <v>66</v>
      </c>
      <c r="M17" s="18" t="s">
        <v>67</v>
      </c>
      <c r="N17" s="18" t="s">
        <v>68</v>
      </c>
      <c r="O17" s="17">
        <v>4</v>
      </c>
      <c r="P17" s="59">
        <v>450</v>
      </c>
      <c r="Q17" s="60">
        <v>5</v>
      </c>
      <c r="R17" s="17">
        <v>5</v>
      </c>
      <c r="S17" s="19">
        <v>1796</v>
      </c>
      <c r="T17" s="18" t="s">
        <v>413</v>
      </c>
      <c r="U17" s="18" t="s">
        <v>70</v>
      </c>
      <c r="V17" s="18" t="s">
        <v>212</v>
      </c>
    </row>
    <row r="18" spans="1:22" ht="14.4">
      <c r="A18" s="13" t="s">
        <v>229</v>
      </c>
      <c r="B18" s="14" t="s">
        <v>2411</v>
      </c>
      <c r="C18" s="14" t="s">
        <v>2278</v>
      </c>
      <c r="D18" s="13" t="s">
        <v>231</v>
      </c>
      <c r="E18" s="14" t="s">
        <v>232</v>
      </c>
      <c r="F18" s="14" t="s">
        <v>233</v>
      </c>
      <c r="G18" s="14" t="s">
        <v>95</v>
      </c>
      <c r="H18" s="13" t="s">
        <v>96</v>
      </c>
      <c r="I18" s="13" t="s">
        <v>63</v>
      </c>
      <c r="J18" s="13" t="s">
        <v>197</v>
      </c>
      <c r="K18" s="14" t="s">
        <v>198</v>
      </c>
      <c r="L18" s="14" t="s">
        <v>66</v>
      </c>
      <c r="M18" s="14" t="s">
        <v>199</v>
      </c>
      <c r="N18" s="14" t="s">
        <v>200</v>
      </c>
      <c r="O18" s="13">
        <v>7</v>
      </c>
      <c r="P18" s="61">
        <v>50</v>
      </c>
      <c r="Q18" s="62">
        <v>10</v>
      </c>
      <c r="R18" s="13">
        <v>5</v>
      </c>
      <c r="S18" s="16">
        <v>331</v>
      </c>
      <c r="T18" s="14" t="s">
        <v>465</v>
      </c>
      <c r="U18" s="14" t="s">
        <v>184</v>
      </c>
      <c r="V18" s="14" t="s">
        <v>155</v>
      </c>
    </row>
    <row r="19" spans="1:22" ht="14.4">
      <c r="A19" s="17" t="s">
        <v>234</v>
      </c>
      <c r="B19" s="18" t="s">
        <v>792</v>
      </c>
      <c r="C19" s="18" t="s">
        <v>106</v>
      </c>
      <c r="D19" s="17" t="s">
        <v>236</v>
      </c>
      <c r="E19" s="18" t="s">
        <v>108</v>
      </c>
      <c r="F19" s="18" t="s">
        <v>237</v>
      </c>
      <c r="G19" s="18" t="s">
        <v>181</v>
      </c>
      <c r="H19" s="17" t="s">
        <v>182</v>
      </c>
      <c r="I19" s="17" t="s">
        <v>123</v>
      </c>
      <c r="J19" s="17" t="s">
        <v>238</v>
      </c>
      <c r="K19" s="18" t="s">
        <v>2412</v>
      </c>
      <c r="L19" s="18" t="s">
        <v>112</v>
      </c>
      <c r="M19" s="18" t="s">
        <v>240</v>
      </c>
      <c r="N19" s="18" t="s">
        <v>2413</v>
      </c>
      <c r="O19" s="17">
        <v>10</v>
      </c>
      <c r="P19" s="59">
        <v>2500</v>
      </c>
      <c r="Q19" s="60">
        <v>10</v>
      </c>
      <c r="R19" s="17">
        <v>5</v>
      </c>
      <c r="S19" s="19">
        <v>23625</v>
      </c>
      <c r="T19" s="18" t="s">
        <v>115</v>
      </c>
      <c r="U19" s="18" t="s">
        <v>211</v>
      </c>
      <c r="V19" s="18" t="s">
        <v>155</v>
      </c>
    </row>
    <row r="20" spans="1:22" ht="14.4">
      <c r="A20" s="13" t="s">
        <v>242</v>
      </c>
      <c r="B20" s="14" t="s">
        <v>2414</v>
      </c>
      <c r="C20" s="14" t="s">
        <v>2415</v>
      </c>
      <c r="D20" s="13" t="s">
        <v>245</v>
      </c>
      <c r="E20" s="14" t="s">
        <v>246</v>
      </c>
      <c r="F20" s="14" t="s">
        <v>247</v>
      </c>
      <c r="G20" s="14" t="s">
        <v>248</v>
      </c>
      <c r="H20" s="13" t="s">
        <v>249</v>
      </c>
      <c r="I20" s="13" t="s">
        <v>123</v>
      </c>
      <c r="J20" s="13" t="s">
        <v>81</v>
      </c>
      <c r="K20" s="14" t="s">
        <v>82</v>
      </c>
      <c r="L20" s="14" t="s">
        <v>83</v>
      </c>
      <c r="M20" s="14" t="s">
        <v>84</v>
      </c>
      <c r="N20" s="14" t="s">
        <v>85</v>
      </c>
      <c r="O20" s="13">
        <v>1</v>
      </c>
      <c r="P20" s="61">
        <v>25000</v>
      </c>
      <c r="Q20" s="62">
        <v>20</v>
      </c>
      <c r="R20" s="13">
        <v>3</v>
      </c>
      <c r="S20" s="16">
        <v>20600</v>
      </c>
      <c r="T20" s="14" t="s">
        <v>413</v>
      </c>
      <c r="U20" s="14" t="s">
        <v>211</v>
      </c>
      <c r="V20" s="14" t="s">
        <v>212</v>
      </c>
    </row>
    <row r="21" spans="1:22" ht="15.75" customHeight="1">
      <c r="A21" s="17" t="s">
        <v>251</v>
      </c>
      <c r="B21" s="18" t="s">
        <v>2416</v>
      </c>
      <c r="C21" s="18" t="s">
        <v>2417</v>
      </c>
      <c r="D21" s="17" t="s">
        <v>254</v>
      </c>
      <c r="E21" s="18" t="s">
        <v>255</v>
      </c>
      <c r="F21" s="18" t="s">
        <v>256</v>
      </c>
      <c r="G21" s="18" t="s">
        <v>172</v>
      </c>
      <c r="H21" s="17" t="s">
        <v>96</v>
      </c>
      <c r="I21" s="17" t="s">
        <v>63</v>
      </c>
      <c r="J21" s="17" t="s">
        <v>257</v>
      </c>
      <c r="K21" s="18" t="s">
        <v>2418</v>
      </c>
      <c r="L21" s="18" t="s">
        <v>139</v>
      </c>
      <c r="M21" s="18" t="s">
        <v>259</v>
      </c>
      <c r="N21" s="18" t="s">
        <v>260</v>
      </c>
      <c r="O21" s="17">
        <v>8</v>
      </c>
      <c r="P21" s="59">
        <v>299</v>
      </c>
      <c r="Q21" s="60">
        <v>15</v>
      </c>
      <c r="R21" s="17">
        <v>18</v>
      </c>
      <c r="S21" s="19">
        <v>2399</v>
      </c>
      <c r="T21" s="18" t="s">
        <v>153</v>
      </c>
      <c r="U21" s="18" t="s">
        <v>211</v>
      </c>
      <c r="V21" s="18" t="s">
        <v>212</v>
      </c>
    </row>
    <row r="22" spans="1:22" ht="15.75" customHeight="1">
      <c r="A22" s="13" t="s">
        <v>262</v>
      </c>
      <c r="B22" s="14" t="s">
        <v>2419</v>
      </c>
      <c r="C22" s="14" t="s">
        <v>264</v>
      </c>
      <c r="D22" s="13" t="s">
        <v>265</v>
      </c>
      <c r="E22" s="14" t="s">
        <v>266</v>
      </c>
      <c r="F22" s="14" t="s">
        <v>267</v>
      </c>
      <c r="G22" s="14" t="s">
        <v>122</v>
      </c>
      <c r="H22" s="13" t="s">
        <v>122</v>
      </c>
      <c r="I22" s="13" t="s">
        <v>123</v>
      </c>
      <c r="J22" s="13" t="s">
        <v>64</v>
      </c>
      <c r="K22" s="14" t="s">
        <v>2389</v>
      </c>
      <c r="L22" s="14" t="s">
        <v>66</v>
      </c>
      <c r="M22" s="14" t="s">
        <v>67</v>
      </c>
      <c r="N22" s="14" t="s">
        <v>68</v>
      </c>
      <c r="O22" s="13">
        <v>6</v>
      </c>
      <c r="P22" s="61">
        <v>450</v>
      </c>
      <c r="Q22" s="62">
        <v>8</v>
      </c>
      <c r="R22" s="13">
        <v>5</v>
      </c>
      <c r="S22" s="16">
        <v>2608</v>
      </c>
      <c r="T22" s="14" t="s">
        <v>153</v>
      </c>
      <c r="U22" s="14" t="s">
        <v>211</v>
      </c>
      <c r="V22" s="14" t="s">
        <v>212</v>
      </c>
    </row>
    <row r="23" spans="1:22" ht="15.75" customHeight="1">
      <c r="A23" s="17" t="s">
        <v>269</v>
      </c>
      <c r="B23" s="18" t="s">
        <v>2420</v>
      </c>
      <c r="C23" s="18" t="s">
        <v>2421</v>
      </c>
      <c r="D23" s="17" t="s">
        <v>272</v>
      </c>
      <c r="E23" s="18" t="s">
        <v>273</v>
      </c>
      <c r="F23" s="18" t="s">
        <v>2394</v>
      </c>
      <c r="G23" s="18" t="s">
        <v>2422</v>
      </c>
      <c r="H23" s="17" t="s">
        <v>96</v>
      </c>
      <c r="I23" s="17" t="s">
        <v>63</v>
      </c>
      <c r="J23" s="17" t="s">
        <v>275</v>
      </c>
      <c r="K23" s="18" t="s">
        <v>2423</v>
      </c>
      <c r="L23" s="18" t="s">
        <v>99</v>
      </c>
      <c r="M23" s="18" t="s">
        <v>277</v>
      </c>
      <c r="N23" s="18" t="s">
        <v>126</v>
      </c>
      <c r="O23" s="17">
        <v>7</v>
      </c>
      <c r="P23" s="59">
        <v>35000</v>
      </c>
      <c r="Q23" s="60">
        <v>25</v>
      </c>
      <c r="R23" s="17">
        <v>18</v>
      </c>
      <c r="S23" s="19">
        <v>216825</v>
      </c>
      <c r="T23" s="18" t="s">
        <v>102</v>
      </c>
      <c r="U23" s="18" t="s">
        <v>211</v>
      </c>
      <c r="V23" s="18" t="s">
        <v>155</v>
      </c>
    </row>
    <row r="24" spans="1:22" ht="15.75" customHeight="1">
      <c r="A24" s="13" t="s">
        <v>278</v>
      </c>
      <c r="B24" s="14" t="s">
        <v>2424</v>
      </c>
      <c r="C24" s="14" t="s">
        <v>106</v>
      </c>
      <c r="D24" s="13" t="s">
        <v>280</v>
      </c>
      <c r="E24" s="14" t="s">
        <v>281</v>
      </c>
      <c r="F24" s="14" t="s">
        <v>282</v>
      </c>
      <c r="G24" s="14" t="s">
        <v>2422</v>
      </c>
      <c r="H24" s="13" t="s">
        <v>96</v>
      </c>
      <c r="I24" s="13" t="s">
        <v>63</v>
      </c>
      <c r="J24" s="13" t="s">
        <v>275</v>
      </c>
      <c r="K24" s="14" t="s">
        <v>2423</v>
      </c>
      <c r="L24" s="14" t="s">
        <v>99</v>
      </c>
      <c r="M24" s="14" t="s">
        <v>277</v>
      </c>
      <c r="N24" s="14" t="s">
        <v>126</v>
      </c>
      <c r="O24" s="13">
        <v>5</v>
      </c>
      <c r="P24" s="61">
        <v>35000</v>
      </c>
      <c r="Q24" s="62">
        <v>20</v>
      </c>
      <c r="R24" s="13">
        <v>18</v>
      </c>
      <c r="S24" s="16">
        <v>165200</v>
      </c>
      <c r="T24" s="14" t="s">
        <v>153</v>
      </c>
      <c r="U24" s="14" t="s">
        <v>211</v>
      </c>
      <c r="V24" s="14" t="s">
        <v>155</v>
      </c>
    </row>
    <row r="25" spans="1:22" ht="15.75" customHeight="1">
      <c r="A25" s="17" t="s">
        <v>283</v>
      </c>
      <c r="B25" s="18" t="s">
        <v>1981</v>
      </c>
      <c r="C25" s="18" t="s">
        <v>2278</v>
      </c>
      <c r="D25" s="17" t="s">
        <v>285</v>
      </c>
      <c r="E25" s="18" t="s">
        <v>286</v>
      </c>
      <c r="F25" s="18" t="s">
        <v>287</v>
      </c>
      <c r="G25" s="18" t="s">
        <v>61</v>
      </c>
      <c r="H25" s="17" t="s">
        <v>62</v>
      </c>
      <c r="I25" s="17" t="s">
        <v>63</v>
      </c>
      <c r="J25" s="17" t="s">
        <v>238</v>
      </c>
      <c r="K25" s="18" t="s">
        <v>2412</v>
      </c>
      <c r="L25" s="18" t="s">
        <v>112</v>
      </c>
      <c r="M25" s="18" t="s">
        <v>240</v>
      </c>
      <c r="N25" s="18" t="s">
        <v>2413</v>
      </c>
      <c r="O25" s="17">
        <v>2</v>
      </c>
      <c r="P25" s="59">
        <v>2500</v>
      </c>
      <c r="Q25" s="60">
        <v>8</v>
      </c>
      <c r="R25" s="17">
        <v>5</v>
      </c>
      <c r="S25" s="19">
        <v>4830</v>
      </c>
      <c r="T25" s="18" t="s">
        <v>115</v>
      </c>
      <c r="U25" s="18" t="s">
        <v>288</v>
      </c>
      <c r="V25" s="18" t="s">
        <v>212</v>
      </c>
    </row>
    <row r="26" spans="1:22" ht="15.75" customHeight="1">
      <c r="A26" s="13" t="s">
        <v>289</v>
      </c>
      <c r="B26" s="14" t="s">
        <v>2027</v>
      </c>
      <c r="C26" s="14" t="s">
        <v>291</v>
      </c>
      <c r="D26" s="13" t="s">
        <v>292</v>
      </c>
      <c r="E26" s="14" t="s">
        <v>293</v>
      </c>
      <c r="F26" s="14" t="s">
        <v>294</v>
      </c>
      <c r="G26" s="14" t="s">
        <v>122</v>
      </c>
      <c r="H26" s="13" t="s">
        <v>122</v>
      </c>
      <c r="I26" s="13" t="s">
        <v>123</v>
      </c>
      <c r="J26" s="13" t="s">
        <v>295</v>
      </c>
      <c r="K26" s="14" t="s">
        <v>2425</v>
      </c>
      <c r="L26" s="14" t="s">
        <v>66</v>
      </c>
      <c r="M26" s="14" t="s">
        <v>297</v>
      </c>
      <c r="N26" s="14" t="s">
        <v>298</v>
      </c>
      <c r="O26" s="13">
        <v>2</v>
      </c>
      <c r="P26" s="61">
        <v>280</v>
      </c>
      <c r="Q26" s="62">
        <v>15</v>
      </c>
      <c r="R26" s="13">
        <v>5</v>
      </c>
      <c r="S26" s="16">
        <v>500</v>
      </c>
      <c r="T26" s="14" t="s">
        <v>115</v>
      </c>
      <c r="U26" s="14" t="s">
        <v>143</v>
      </c>
      <c r="V26" s="14" t="s">
        <v>212</v>
      </c>
    </row>
    <row r="27" spans="1:22" ht="15.75" customHeight="1">
      <c r="A27" s="17" t="s">
        <v>299</v>
      </c>
      <c r="B27" s="18" t="s">
        <v>2426</v>
      </c>
      <c r="C27" s="18" t="s">
        <v>264</v>
      </c>
      <c r="D27" s="17" t="s">
        <v>301</v>
      </c>
      <c r="E27" s="18" t="s">
        <v>302</v>
      </c>
      <c r="F27" s="18" t="s">
        <v>303</v>
      </c>
      <c r="G27" s="18" t="s">
        <v>485</v>
      </c>
      <c r="H27" s="17" t="s">
        <v>305</v>
      </c>
      <c r="I27" s="17" t="s">
        <v>306</v>
      </c>
      <c r="J27" s="17" t="s">
        <v>137</v>
      </c>
      <c r="K27" s="18" t="s">
        <v>138</v>
      </c>
      <c r="L27" s="18" t="s">
        <v>139</v>
      </c>
      <c r="M27" s="18" t="s">
        <v>140</v>
      </c>
      <c r="N27" s="18" t="s">
        <v>141</v>
      </c>
      <c r="O27" s="17">
        <v>6</v>
      </c>
      <c r="P27" s="59">
        <v>12000</v>
      </c>
      <c r="Q27" s="60">
        <v>10</v>
      </c>
      <c r="R27" s="17">
        <v>18</v>
      </c>
      <c r="S27" s="19">
        <v>76464</v>
      </c>
      <c r="T27" s="18" t="s">
        <v>465</v>
      </c>
      <c r="U27" s="18" t="s">
        <v>211</v>
      </c>
      <c r="V27" s="18" t="s">
        <v>155</v>
      </c>
    </row>
    <row r="28" spans="1:22" ht="15.75" customHeight="1">
      <c r="A28" s="13" t="s">
        <v>307</v>
      </c>
      <c r="B28" s="14" t="s">
        <v>915</v>
      </c>
      <c r="C28" s="14" t="s">
        <v>2398</v>
      </c>
      <c r="D28" s="13" t="s">
        <v>309</v>
      </c>
      <c r="E28" s="14" t="s">
        <v>310</v>
      </c>
      <c r="F28" s="14" t="s">
        <v>311</v>
      </c>
      <c r="G28" s="14" t="s">
        <v>78</v>
      </c>
      <c r="H28" s="13" t="s">
        <v>79</v>
      </c>
      <c r="I28" s="13" t="s">
        <v>80</v>
      </c>
      <c r="J28" s="13" t="s">
        <v>312</v>
      </c>
      <c r="K28" s="14" t="s">
        <v>313</v>
      </c>
      <c r="L28" s="14" t="s">
        <v>66</v>
      </c>
      <c r="M28" s="14" t="s">
        <v>199</v>
      </c>
      <c r="N28" s="14" t="s">
        <v>314</v>
      </c>
      <c r="O28" s="13">
        <v>4</v>
      </c>
      <c r="P28" s="61">
        <v>40</v>
      </c>
      <c r="Q28" s="62">
        <v>5</v>
      </c>
      <c r="R28" s="13">
        <v>5</v>
      </c>
      <c r="S28" s="16">
        <v>160</v>
      </c>
      <c r="T28" s="14" t="s">
        <v>102</v>
      </c>
      <c r="U28" s="14" t="s">
        <v>184</v>
      </c>
      <c r="V28" s="14" t="s">
        <v>155</v>
      </c>
    </row>
    <row r="29" spans="1:22" ht="15.75" customHeight="1">
      <c r="A29" s="17" t="s">
        <v>315</v>
      </c>
      <c r="B29" s="18" t="s">
        <v>2427</v>
      </c>
      <c r="C29" s="18" t="s">
        <v>2428</v>
      </c>
      <c r="D29" s="17" t="s">
        <v>318</v>
      </c>
      <c r="E29" s="18" t="s">
        <v>319</v>
      </c>
      <c r="F29" s="18" t="s">
        <v>320</v>
      </c>
      <c r="G29" s="18" t="s">
        <v>78</v>
      </c>
      <c r="H29" s="17" t="s">
        <v>79</v>
      </c>
      <c r="I29" s="17" t="s">
        <v>80</v>
      </c>
      <c r="J29" s="17" t="s">
        <v>162</v>
      </c>
      <c r="K29" s="18" t="s">
        <v>163</v>
      </c>
      <c r="L29" s="18" t="s">
        <v>99</v>
      </c>
      <c r="M29" s="18" t="s">
        <v>164</v>
      </c>
      <c r="N29" s="18" t="s">
        <v>165</v>
      </c>
      <c r="O29" s="17">
        <v>3</v>
      </c>
      <c r="P29" s="59">
        <v>2800</v>
      </c>
      <c r="Q29" s="60">
        <v>12</v>
      </c>
      <c r="R29" s="17">
        <v>18</v>
      </c>
      <c r="S29" s="19">
        <v>8723</v>
      </c>
      <c r="T29" s="18" t="s">
        <v>465</v>
      </c>
      <c r="U29" s="18" t="s">
        <v>184</v>
      </c>
      <c r="V29" s="18" t="s">
        <v>212</v>
      </c>
    </row>
    <row r="30" spans="1:22" ht="15.75" customHeight="1">
      <c r="A30" s="13" t="s">
        <v>321</v>
      </c>
      <c r="B30" s="14" t="s">
        <v>2397</v>
      </c>
      <c r="C30" s="14" t="s">
        <v>2402</v>
      </c>
      <c r="D30" s="13" t="s">
        <v>323</v>
      </c>
      <c r="E30" s="14" t="s">
        <v>324</v>
      </c>
      <c r="F30" s="14" t="s">
        <v>325</v>
      </c>
      <c r="G30" s="14" t="s">
        <v>95</v>
      </c>
      <c r="H30" s="13" t="s">
        <v>96</v>
      </c>
      <c r="I30" s="13" t="s">
        <v>63</v>
      </c>
      <c r="J30" s="13" t="s">
        <v>110</v>
      </c>
      <c r="K30" s="14" t="s">
        <v>111</v>
      </c>
      <c r="L30" s="14" t="s">
        <v>112</v>
      </c>
      <c r="M30" s="14" t="s">
        <v>113</v>
      </c>
      <c r="N30" s="14" t="s">
        <v>114</v>
      </c>
      <c r="O30" s="13">
        <v>5</v>
      </c>
      <c r="P30" s="61">
        <v>3500</v>
      </c>
      <c r="Q30" s="62">
        <v>5</v>
      </c>
      <c r="R30" s="13">
        <v>18</v>
      </c>
      <c r="S30" s="16">
        <v>19618</v>
      </c>
      <c r="T30" s="14" t="s">
        <v>465</v>
      </c>
      <c r="U30" s="14" t="s">
        <v>288</v>
      </c>
      <c r="V30" s="14" t="s">
        <v>212</v>
      </c>
    </row>
    <row r="31" spans="1:22" ht="15.75" customHeight="1">
      <c r="A31" s="17" t="s">
        <v>327</v>
      </c>
      <c r="B31" s="18" t="s">
        <v>2429</v>
      </c>
      <c r="C31" s="18" t="s">
        <v>2430</v>
      </c>
      <c r="D31" s="17" t="s">
        <v>330</v>
      </c>
      <c r="E31" s="18" t="s">
        <v>331</v>
      </c>
      <c r="F31" s="18" t="s">
        <v>2394</v>
      </c>
      <c r="G31" s="18" t="s">
        <v>333</v>
      </c>
      <c r="H31" s="17" t="s">
        <v>334</v>
      </c>
      <c r="I31" s="17" t="s">
        <v>63</v>
      </c>
      <c r="J31" s="17" t="s">
        <v>97</v>
      </c>
      <c r="K31" s="18" t="s">
        <v>2395</v>
      </c>
      <c r="L31" s="18" t="s">
        <v>99</v>
      </c>
      <c r="M31" s="18" t="s">
        <v>100</v>
      </c>
      <c r="N31" s="18" t="s">
        <v>2396</v>
      </c>
      <c r="O31" s="17">
        <v>1</v>
      </c>
      <c r="P31" s="59">
        <v>28000</v>
      </c>
      <c r="Q31" s="60">
        <v>10</v>
      </c>
      <c r="R31" s="17">
        <v>18</v>
      </c>
      <c r="S31" s="19">
        <v>29736</v>
      </c>
      <c r="T31" s="18" t="s">
        <v>153</v>
      </c>
      <c r="U31" s="18" t="s">
        <v>143</v>
      </c>
      <c r="V31" s="18" t="s">
        <v>155</v>
      </c>
    </row>
    <row r="32" spans="1:22" ht="15.75" customHeight="1">
      <c r="A32" s="13" t="s">
        <v>335</v>
      </c>
      <c r="B32" s="14" t="s">
        <v>452</v>
      </c>
      <c r="C32" s="14" t="s">
        <v>337</v>
      </c>
      <c r="D32" s="13" t="s">
        <v>338</v>
      </c>
      <c r="E32" s="14" t="s">
        <v>339</v>
      </c>
      <c r="F32" s="14" t="s">
        <v>340</v>
      </c>
      <c r="G32" s="14" t="s">
        <v>341</v>
      </c>
      <c r="H32" s="13" t="s">
        <v>62</v>
      </c>
      <c r="I32" s="13" t="s">
        <v>63</v>
      </c>
      <c r="J32" s="13" t="s">
        <v>64</v>
      </c>
      <c r="K32" s="14" t="s">
        <v>2389</v>
      </c>
      <c r="L32" s="14" t="s">
        <v>66</v>
      </c>
      <c r="M32" s="14" t="s">
        <v>67</v>
      </c>
      <c r="N32" s="14" t="s">
        <v>68</v>
      </c>
      <c r="O32" s="13">
        <v>4</v>
      </c>
      <c r="P32" s="61">
        <v>450</v>
      </c>
      <c r="Q32" s="62">
        <v>8</v>
      </c>
      <c r="R32" s="13">
        <v>5</v>
      </c>
      <c r="S32" s="16">
        <v>1739</v>
      </c>
      <c r="T32" s="14" t="s">
        <v>465</v>
      </c>
      <c r="U32" s="14" t="s">
        <v>288</v>
      </c>
      <c r="V32" s="14" t="s">
        <v>155</v>
      </c>
    </row>
    <row r="33" spans="1:22" ht="15.75" customHeight="1">
      <c r="A33" s="17" t="s">
        <v>342</v>
      </c>
      <c r="B33" s="18" t="s">
        <v>2431</v>
      </c>
      <c r="C33" s="18" t="s">
        <v>2432</v>
      </c>
      <c r="D33" s="17" t="s">
        <v>344</v>
      </c>
      <c r="E33" s="18" t="s">
        <v>345</v>
      </c>
      <c r="F33" s="18" t="s">
        <v>346</v>
      </c>
      <c r="G33" s="18" t="s">
        <v>122</v>
      </c>
      <c r="H33" s="17" t="s">
        <v>122</v>
      </c>
      <c r="I33" s="17" t="s">
        <v>123</v>
      </c>
      <c r="J33" s="17" t="s">
        <v>347</v>
      </c>
      <c r="K33" s="18" t="s">
        <v>348</v>
      </c>
      <c r="L33" s="18" t="s">
        <v>139</v>
      </c>
      <c r="M33" s="18" t="s">
        <v>349</v>
      </c>
      <c r="N33" s="18" t="s">
        <v>350</v>
      </c>
      <c r="O33" s="17">
        <v>10</v>
      </c>
      <c r="P33" s="59">
        <v>3200</v>
      </c>
      <c r="Q33" s="60">
        <v>0</v>
      </c>
      <c r="R33" s="17">
        <v>18</v>
      </c>
      <c r="S33" s="19">
        <v>37760</v>
      </c>
      <c r="T33" s="18" t="s">
        <v>115</v>
      </c>
      <c r="U33" s="18" t="s">
        <v>288</v>
      </c>
      <c r="V33" s="18" t="s">
        <v>155</v>
      </c>
    </row>
    <row r="34" spans="1:22" ht="15.75" customHeight="1">
      <c r="A34" s="13" t="s">
        <v>351</v>
      </c>
      <c r="B34" s="14" t="s">
        <v>2433</v>
      </c>
      <c r="C34" s="14" t="s">
        <v>74</v>
      </c>
      <c r="D34" s="13" t="s">
        <v>353</v>
      </c>
      <c r="E34" s="14" t="s">
        <v>354</v>
      </c>
      <c r="F34" s="14" t="s">
        <v>355</v>
      </c>
      <c r="G34" s="14" t="s">
        <v>248</v>
      </c>
      <c r="H34" s="13" t="s">
        <v>249</v>
      </c>
      <c r="I34" s="13" t="s">
        <v>123</v>
      </c>
      <c r="J34" s="13" t="s">
        <v>356</v>
      </c>
      <c r="K34" s="14" t="s">
        <v>2434</v>
      </c>
      <c r="L34" s="14" t="s">
        <v>139</v>
      </c>
      <c r="M34" s="14" t="s">
        <v>140</v>
      </c>
      <c r="N34" s="14" t="s">
        <v>2435</v>
      </c>
      <c r="O34" s="13">
        <v>9</v>
      </c>
      <c r="P34" s="61">
        <v>42000</v>
      </c>
      <c r="Q34" s="62">
        <v>20</v>
      </c>
      <c r="R34" s="13">
        <v>18</v>
      </c>
      <c r="S34" s="16">
        <v>356832</v>
      </c>
      <c r="T34" s="14" t="s">
        <v>115</v>
      </c>
      <c r="U34" s="14" t="s">
        <v>211</v>
      </c>
      <c r="V34" s="14" t="s">
        <v>155</v>
      </c>
    </row>
    <row r="35" spans="1:22" ht="15.75" customHeight="1">
      <c r="A35" s="17" t="s">
        <v>359</v>
      </c>
      <c r="B35" s="18" t="s">
        <v>2436</v>
      </c>
      <c r="C35" s="18" t="s">
        <v>264</v>
      </c>
      <c r="D35" s="17" t="s">
        <v>361</v>
      </c>
      <c r="E35" s="18" t="s">
        <v>302</v>
      </c>
      <c r="F35" s="18" t="s">
        <v>362</v>
      </c>
      <c r="G35" s="18" t="s">
        <v>439</v>
      </c>
      <c r="H35" s="17" t="s">
        <v>364</v>
      </c>
      <c r="I35" s="17" t="s">
        <v>63</v>
      </c>
      <c r="J35" s="17" t="s">
        <v>365</v>
      </c>
      <c r="K35" s="18" t="s">
        <v>366</v>
      </c>
      <c r="L35" s="18" t="s">
        <v>112</v>
      </c>
      <c r="M35" s="18" t="s">
        <v>367</v>
      </c>
      <c r="N35" s="18" t="s">
        <v>368</v>
      </c>
      <c r="O35" s="17">
        <v>10</v>
      </c>
      <c r="P35" s="59">
        <v>3500</v>
      </c>
      <c r="Q35" s="60">
        <v>20</v>
      </c>
      <c r="R35" s="17">
        <v>5</v>
      </c>
      <c r="S35" s="19">
        <v>29400</v>
      </c>
      <c r="T35" s="18" t="s">
        <v>115</v>
      </c>
      <c r="U35" s="18" t="s">
        <v>143</v>
      </c>
      <c r="V35" s="18" t="s">
        <v>155</v>
      </c>
    </row>
    <row r="36" spans="1:22" ht="15.75" customHeight="1">
      <c r="A36" s="13" t="s">
        <v>370</v>
      </c>
      <c r="B36" s="14" t="s">
        <v>2437</v>
      </c>
      <c r="C36" s="14" t="s">
        <v>372</v>
      </c>
      <c r="D36" s="13" t="s">
        <v>373</v>
      </c>
      <c r="E36" s="14" t="s">
        <v>374</v>
      </c>
      <c r="F36" s="14" t="s">
        <v>375</v>
      </c>
      <c r="G36" s="14" t="s">
        <v>341</v>
      </c>
      <c r="H36" s="13" t="s">
        <v>62</v>
      </c>
      <c r="I36" s="13" t="s">
        <v>63</v>
      </c>
      <c r="J36" s="13" t="s">
        <v>376</v>
      </c>
      <c r="K36" s="14" t="s">
        <v>377</v>
      </c>
      <c r="L36" s="14" t="s">
        <v>112</v>
      </c>
      <c r="M36" s="14" t="s">
        <v>113</v>
      </c>
      <c r="N36" s="14" t="s">
        <v>378</v>
      </c>
      <c r="O36" s="13">
        <v>2</v>
      </c>
      <c r="P36" s="61">
        <v>8500</v>
      </c>
      <c r="Q36" s="62">
        <v>12</v>
      </c>
      <c r="R36" s="13">
        <v>18</v>
      </c>
      <c r="S36" s="16">
        <v>17653</v>
      </c>
      <c r="T36" s="14" t="s">
        <v>465</v>
      </c>
      <c r="U36" s="14" t="s">
        <v>184</v>
      </c>
      <c r="V36" s="14" t="s">
        <v>155</v>
      </c>
    </row>
    <row r="37" spans="1:22" ht="15.75" customHeight="1">
      <c r="A37" s="17" t="s">
        <v>379</v>
      </c>
      <c r="B37" s="18" t="s">
        <v>2438</v>
      </c>
      <c r="C37" s="18" t="s">
        <v>2404</v>
      </c>
      <c r="D37" s="17" t="s">
        <v>381</v>
      </c>
      <c r="E37" s="18" t="s">
        <v>382</v>
      </c>
      <c r="F37" s="18" t="s">
        <v>2394</v>
      </c>
      <c r="G37" s="18" t="s">
        <v>248</v>
      </c>
      <c r="H37" s="17" t="s">
        <v>249</v>
      </c>
      <c r="I37" s="17" t="s">
        <v>123</v>
      </c>
      <c r="J37" s="17" t="s">
        <v>257</v>
      </c>
      <c r="K37" s="18" t="s">
        <v>2418</v>
      </c>
      <c r="L37" s="18" t="s">
        <v>139</v>
      </c>
      <c r="M37" s="18" t="s">
        <v>259</v>
      </c>
      <c r="N37" s="18" t="s">
        <v>260</v>
      </c>
      <c r="O37" s="17">
        <v>6</v>
      </c>
      <c r="P37" s="59">
        <v>299</v>
      </c>
      <c r="Q37" s="60">
        <v>8</v>
      </c>
      <c r="R37" s="17">
        <v>18</v>
      </c>
      <c r="S37" s="19">
        <v>1948</v>
      </c>
      <c r="T37" s="18" t="s">
        <v>465</v>
      </c>
      <c r="U37" s="18" t="s">
        <v>211</v>
      </c>
      <c r="V37" s="18" t="s">
        <v>212</v>
      </c>
    </row>
    <row r="38" spans="1:22" ht="15.75" customHeight="1">
      <c r="A38" s="13" t="s">
        <v>384</v>
      </c>
      <c r="B38" s="14" t="s">
        <v>2439</v>
      </c>
      <c r="C38" s="14" t="s">
        <v>131</v>
      </c>
      <c r="D38" s="13" t="s">
        <v>386</v>
      </c>
      <c r="E38" s="14" t="s">
        <v>387</v>
      </c>
      <c r="F38" s="14" t="s">
        <v>388</v>
      </c>
      <c r="G38" s="14" t="s">
        <v>172</v>
      </c>
      <c r="H38" s="13" t="s">
        <v>96</v>
      </c>
      <c r="I38" s="13" t="s">
        <v>63</v>
      </c>
      <c r="J38" s="13" t="s">
        <v>389</v>
      </c>
      <c r="K38" s="14" t="s">
        <v>390</v>
      </c>
      <c r="L38" s="14" t="s">
        <v>99</v>
      </c>
      <c r="M38" s="14" t="s">
        <v>164</v>
      </c>
      <c r="N38" s="14" t="s">
        <v>391</v>
      </c>
      <c r="O38" s="13">
        <v>7</v>
      </c>
      <c r="P38" s="61">
        <v>1500</v>
      </c>
      <c r="Q38" s="62">
        <v>20</v>
      </c>
      <c r="R38" s="13">
        <v>18</v>
      </c>
      <c r="S38" s="16">
        <v>9912</v>
      </c>
      <c r="T38" s="14" t="s">
        <v>115</v>
      </c>
      <c r="U38" s="14" t="s">
        <v>143</v>
      </c>
      <c r="V38" s="14" t="s">
        <v>155</v>
      </c>
    </row>
    <row r="39" spans="1:22" ht="15.75" customHeight="1">
      <c r="A39" s="17" t="s">
        <v>392</v>
      </c>
      <c r="B39" s="18" t="s">
        <v>2440</v>
      </c>
      <c r="C39" s="18" t="s">
        <v>2417</v>
      </c>
      <c r="D39" s="17" t="s">
        <v>394</v>
      </c>
      <c r="E39" s="18" t="s">
        <v>395</v>
      </c>
      <c r="F39" s="18" t="s">
        <v>396</v>
      </c>
      <c r="G39" s="18" t="s">
        <v>95</v>
      </c>
      <c r="H39" s="17" t="s">
        <v>96</v>
      </c>
      <c r="I39" s="17" t="s">
        <v>63</v>
      </c>
      <c r="J39" s="17" t="s">
        <v>257</v>
      </c>
      <c r="K39" s="18" t="s">
        <v>2441</v>
      </c>
      <c r="L39" s="18" t="s">
        <v>139</v>
      </c>
      <c r="M39" s="18" t="s">
        <v>259</v>
      </c>
      <c r="N39" s="18" t="s">
        <v>260</v>
      </c>
      <c r="O39" s="17">
        <v>6</v>
      </c>
      <c r="P39" s="59">
        <v>299</v>
      </c>
      <c r="Q39" s="60">
        <v>8</v>
      </c>
      <c r="R39" s="17">
        <v>18</v>
      </c>
      <c r="S39" s="19">
        <v>1948</v>
      </c>
      <c r="T39" s="18" t="s">
        <v>465</v>
      </c>
      <c r="U39" s="18" t="s">
        <v>70</v>
      </c>
      <c r="V39" s="18" t="s">
        <v>155</v>
      </c>
    </row>
    <row r="40" spans="1:22" ht="15.75" customHeight="1">
      <c r="A40" s="13" t="s">
        <v>397</v>
      </c>
      <c r="B40" s="14" t="s">
        <v>1033</v>
      </c>
      <c r="C40" s="14" t="s">
        <v>2404</v>
      </c>
      <c r="D40" s="13" t="s">
        <v>399</v>
      </c>
      <c r="E40" s="14" t="s">
        <v>400</v>
      </c>
      <c r="F40" s="14" t="s">
        <v>401</v>
      </c>
      <c r="G40" s="14" t="s">
        <v>181</v>
      </c>
      <c r="H40" s="13" t="s">
        <v>182</v>
      </c>
      <c r="I40" s="13" t="s">
        <v>123</v>
      </c>
      <c r="J40" s="13" t="s">
        <v>356</v>
      </c>
      <c r="K40" s="14" t="s">
        <v>2434</v>
      </c>
      <c r="L40" s="14" t="s">
        <v>139</v>
      </c>
      <c r="M40" s="14" t="s">
        <v>140</v>
      </c>
      <c r="N40" s="14" t="s">
        <v>2435</v>
      </c>
      <c r="O40" s="13">
        <v>7</v>
      </c>
      <c r="P40" s="61">
        <v>42000</v>
      </c>
      <c r="Q40" s="62">
        <v>25</v>
      </c>
      <c r="R40" s="13">
        <v>18</v>
      </c>
      <c r="S40" s="16">
        <v>260190</v>
      </c>
      <c r="T40" s="14" t="s">
        <v>127</v>
      </c>
      <c r="U40" s="14" t="s">
        <v>288</v>
      </c>
      <c r="V40" s="14" t="s">
        <v>155</v>
      </c>
    </row>
    <row r="41" spans="1:22" ht="15.75" customHeight="1">
      <c r="A41" s="17" t="s">
        <v>402</v>
      </c>
      <c r="B41" s="18" t="s">
        <v>1012</v>
      </c>
      <c r="C41" s="18" t="s">
        <v>2398</v>
      </c>
      <c r="D41" s="17" t="s">
        <v>404</v>
      </c>
      <c r="E41" s="18" t="s">
        <v>405</v>
      </c>
      <c r="F41" s="18" t="s">
        <v>406</v>
      </c>
      <c r="G41" s="18" t="s">
        <v>228</v>
      </c>
      <c r="H41" s="17" t="s">
        <v>152</v>
      </c>
      <c r="I41" s="17" t="s">
        <v>80</v>
      </c>
      <c r="J41" s="17" t="s">
        <v>365</v>
      </c>
      <c r="K41" s="18" t="s">
        <v>366</v>
      </c>
      <c r="L41" s="18" t="s">
        <v>112</v>
      </c>
      <c r="M41" s="18" t="s">
        <v>367</v>
      </c>
      <c r="N41" s="18" t="s">
        <v>368</v>
      </c>
      <c r="O41" s="17">
        <v>4</v>
      </c>
      <c r="P41" s="59">
        <v>3500</v>
      </c>
      <c r="Q41" s="60">
        <v>8</v>
      </c>
      <c r="R41" s="17">
        <v>5</v>
      </c>
      <c r="S41" s="19">
        <v>13524</v>
      </c>
      <c r="T41" s="18" t="s">
        <v>127</v>
      </c>
      <c r="U41" s="18" t="s">
        <v>211</v>
      </c>
      <c r="V41" s="18" t="s">
        <v>155</v>
      </c>
    </row>
    <row r="42" spans="1:22" ht="15.75" customHeight="1">
      <c r="A42" s="13" t="s">
        <v>408</v>
      </c>
      <c r="B42" s="14" t="s">
        <v>2227</v>
      </c>
      <c r="C42" s="14" t="s">
        <v>2442</v>
      </c>
      <c r="D42" s="13" t="s">
        <v>411</v>
      </c>
      <c r="E42" s="14" t="s">
        <v>412</v>
      </c>
      <c r="F42" s="14" t="s">
        <v>2394</v>
      </c>
      <c r="G42" s="14" t="s">
        <v>151</v>
      </c>
      <c r="H42" s="13" t="s">
        <v>152</v>
      </c>
      <c r="I42" s="13" t="s">
        <v>80</v>
      </c>
      <c r="J42" s="13" t="s">
        <v>137</v>
      </c>
      <c r="K42" s="14" t="s">
        <v>138</v>
      </c>
      <c r="L42" s="14" t="s">
        <v>139</v>
      </c>
      <c r="M42" s="14" t="s">
        <v>140</v>
      </c>
      <c r="N42" s="14" t="s">
        <v>141</v>
      </c>
      <c r="O42" s="13">
        <v>3</v>
      </c>
      <c r="P42" s="61">
        <v>12000</v>
      </c>
      <c r="Q42" s="62">
        <v>15</v>
      </c>
      <c r="R42" s="13">
        <v>18</v>
      </c>
      <c r="S42" s="16">
        <v>36108</v>
      </c>
      <c r="T42" s="14" t="s">
        <v>413</v>
      </c>
      <c r="U42" s="14" t="s">
        <v>70</v>
      </c>
      <c r="V42" s="14" t="s">
        <v>212</v>
      </c>
    </row>
    <row r="43" spans="1:22" ht="15.75" customHeight="1">
      <c r="A43" s="17" t="s">
        <v>414</v>
      </c>
      <c r="B43" s="18" t="s">
        <v>2443</v>
      </c>
      <c r="C43" s="18" t="s">
        <v>416</v>
      </c>
      <c r="D43" s="17" t="s">
        <v>417</v>
      </c>
      <c r="E43" s="18" t="s">
        <v>2444</v>
      </c>
      <c r="F43" s="18" t="s">
        <v>419</v>
      </c>
      <c r="G43" s="18" t="s">
        <v>95</v>
      </c>
      <c r="H43" s="17" t="s">
        <v>96</v>
      </c>
      <c r="I43" s="17" t="s">
        <v>63</v>
      </c>
      <c r="J43" s="17" t="s">
        <v>420</v>
      </c>
      <c r="K43" s="18" t="s">
        <v>2445</v>
      </c>
      <c r="L43" s="18" t="s">
        <v>112</v>
      </c>
      <c r="M43" s="18" t="s">
        <v>422</v>
      </c>
      <c r="N43" s="18" t="s">
        <v>2446</v>
      </c>
      <c r="O43" s="17">
        <v>6</v>
      </c>
      <c r="P43" s="17">
        <v>0</v>
      </c>
      <c r="Q43" s="60">
        <v>15</v>
      </c>
      <c r="R43" s="17">
        <v>18</v>
      </c>
      <c r="S43" s="19">
        <v>0</v>
      </c>
      <c r="T43" s="18" t="s">
        <v>115</v>
      </c>
      <c r="U43" s="18" t="s">
        <v>288</v>
      </c>
      <c r="V43" s="18" t="s">
        <v>212</v>
      </c>
    </row>
    <row r="44" spans="1:22" ht="15.75" customHeight="1">
      <c r="A44" s="13" t="s">
        <v>424</v>
      </c>
      <c r="B44" s="14" t="s">
        <v>2447</v>
      </c>
      <c r="C44" s="14" t="s">
        <v>372</v>
      </c>
      <c r="D44" s="13" t="s">
        <v>426</v>
      </c>
      <c r="E44" s="14" t="s">
        <v>427</v>
      </c>
      <c r="F44" s="14" t="s">
        <v>428</v>
      </c>
      <c r="G44" s="14" t="s">
        <v>439</v>
      </c>
      <c r="H44" s="13" t="s">
        <v>364</v>
      </c>
      <c r="I44" s="13" t="s">
        <v>63</v>
      </c>
      <c r="J44" s="13" t="s">
        <v>97</v>
      </c>
      <c r="K44" s="14" t="s">
        <v>2395</v>
      </c>
      <c r="L44" s="14" t="s">
        <v>99</v>
      </c>
      <c r="M44" s="14" t="s">
        <v>100</v>
      </c>
      <c r="N44" s="14" t="s">
        <v>2396</v>
      </c>
      <c r="O44" s="13">
        <v>10</v>
      </c>
      <c r="P44" s="61">
        <v>28000</v>
      </c>
      <c r="Q44" s="62">
        <v>25</v>
      </c>
      <c r="R44" s="13">
        <v>18</v>
      </c>
      <c r="S44" s="16">
        <v>247800</v>
      </c>
      <c r="T44" s="14" t="s">
        <v>465</v>
      </c>
      <c r="U44" s="14" t="s">
        <v>70</v>
      </c>
      <c r="V44" s="14" t="s">
        <v>155</v>
      </c>
    </row>
    <row r="45" spans="1:22" ht="15.75" customHeight="1">
      <c r="A45" s="17" t="s">
        <v>429</v>
      </c>
      <c r="B45" s="18" t="s">
        <v>2448</v>
      </c>
      <c r="C45" s="18" t="s">
        <v>2449</v>
      </c>
      <c r="D45" s="17" t="s">
        <v>432</v>
      </c>
      <c r="E45" s="18" t="s">
        <v>433</v>
      </c>
      <c r="F45" s="18" t="s">
        <v>2394</v>
      </c>
      <c r="G45" s="18" t="s">
        <v>228</v>
      </c>
      <c r="H45" s="17" t="s">
        <v>152</v>
      </c>
      <c r="I45" s="17" t="s">
        <v>80</v>
      </c>
      <c r="J45" s="17" t="s">
        <v>238</v>
      </c>
      <c r="K45" s="18" t="s">
        <v>2412</v>
      </c>
      <c r="L45" s="18" t="s">
        <v>112</v>
      </c>
      <c r="M45" s="18" t="s">
        <v>240</v>
      </c>
      <c r="N45" s="18" t="s">
        <v>2413</v>
      </c>
      <c r="O45" s="17">
        <v>4</v>
      </c>
      <c r="P45" s="17">
        <v>0</v>
      </c>
      <c r="Q45" s="60">
        <v>10</v>
      </c>
      <c r="R45" s="17">
        <v>5</v>
      </c>
      <c r="S45" s="19">
        <v>0</v>
      </c>
      <c r="T45" s="18" t="s">
        <v>153</v>
      </c>
      <c r="U45" s="18" t="s">
        <v>70</v>
      </c>
      <c r="V45" s="18" t="s">
        <v>155</v>
      </c>
    </row>
    <row r="46" spans="1:22" ht="15.75" customHeight="1">
      <c r="A46" s="13" t="s">
        <v>434</v>
      </c>
      <c r="B46" s="14" t="s">
        <v>2101</v>
      </c>
      <c r="C46" s="14" t="s">
        <v>131</v>
      </c>
      <c r="D46" s="13" t="s">
        <v>436</v>
      </c>
      <c r="E46" s="14" t="s">
        <v>437</v>
      </c>
      <c r="F46" s="14" t="s">
        <v>438</v>
      </c>
      <c r="G46" s="14" t="s">
        <v>439</v>
      </c>
      <c r="H46" s="13" t="s">
        <v>364</v>
      </c>
      <c r="I46" s="13" t="s">
        <v>63</v>
      </c>
      <c r="J46" s="13" t="s">
        <v>356</v>
      </c>
      <c r="K46" s="14" t="s">
        <v>2434</v>
      </c>
      <c r="L46" s="14" t="s">
        <v>139</v>
      </c>
      <c r="M46" s="14" t="s">
        <v>140</v>
      </c>
      <c r="N46" s="14" t="s">
        <v>2435</v>
      </c>
      <c r="O46" s="13">
        <v>1</v>
      </c>
      <c r="P46" s="61">
        <v>42000</v>
      </c>
      <c r="Q46" s="62">
        <v>20</v>
      </c>
      <c r="R46" s="13">
        <v>18</v>
      </c>
      <c r="S46" s="16">
        <v>39648</v>
      </c>
      <c r="T46" s="14" t="s">
        <v>465</v>
      </c>
      <c r="U46" s="14" t="s">
        <v>143</v>
      </c>
      <c r="V46" s="14" t="s">
        <v>212</v>
      </c>
    </row>
    <row r="47" spans="1:22" ht="15.75" customHeight="1">
      <c r="A47" s="17" t="s">
        <v>441</v>
      </c>
      <c r="B47" s="18" t="s">
        <v>1883</v>
      </c>
      <c r="C47" s="18" t="s">
        <v>2430</v>
      </c>
      <c r="D47" s="17" t="s">
        <v>443</v>
      </c>
      <c r="E47" s="18" t="s">
        <v>331</v>
      </c>
      <c r="F47" s="18" t="s">
        <v>444</v>
      </c>
      <c r="G47" s="18" t="s">
        <v>181</v>
      </c>
      <c r="H47" s="17" t="s">
        <v>182</v>
      </c>
      <c r="I47" s="17" t="s">
        <v>123</v>
      </c>
      <c r="J47" s="17" t="s">
        <v>275</v>
      </c>
      <c r="K47" s="18" t="s">
        <v>2423</v>
      </c>
      <c r="L47" s="18" t="s">
        <v>99</v>
      </c>
      <c r="M47" s="18" t="s">
        <v>277</v>
      </c>
      <c r="N47" s="18" t="s">
        <v>126</v>
      </c>
      <c r="O47" s="17">
        <v>8</v>
      </c>
      <c r="P47" s="59">
        <v>35000</v>
      </c>
      <c r="Q47" s="60">
        <v>8</v>
      </c>
      <c r="R47" s="17">
        <v>18</v>
      </c>
      <c r="S47" s="19">
        <v>303968</v>
      </c>
      <c r="T47" s="18" t="s">
        <v>153</v>
      </c>
      <c r="U47" s="18" t="s">
        <v>211</v>
      </c>
      <c r="V47" s="18" t="s">
        <v>212</v>
      </c>
    </row>
    <row r="48" spans="1:22" ht="15.75" customHeight="1">
      <c r="A48" s="13" t="s">
        <v>445</v>
      </c>
      <c r="B48" s="14" t="s">
        <v>1547</v>
      </c>
      <c r="C48" s="14" t="s">
        <v>2450</v>
      </c>
      <c r="D48" s="13" t="s">
        <v>448</v>
      </c>
      <c r="E48" s="14" t="s">
        <v>449</v>
      </c>
      <c r="F48" s="14" t="s">
        <v>450</v>
      </c>
      <c r="G48" s="14" t="s">
        <v>151</v>
      </c>
      <c r="H48" s="13" t="s">
        <v>152</v>
      </c>
      <c r="I48" s="13" t="s">
        <v>80</v>
      </c>
      <c r="J48" s="13" t="s">
        <v>64</v>
      </c>
      <c r="K48" s="14" t="s">
        <v>2389</v>
      </c>
      <c r="L48" s="14" t="s">
        <v>66</v>
      </c>
      <c r="M48" s="14" t="s">
        <v>67</v>
      </c>
      <c r="N48" s="14" t="s">
        <v>68</v>
      </c>
      <c r="O48" s="13">
        <v>6</v>
      </c>
      <c r="P48" s="61">
        <v>450</v>
      </c>
      <c r="Q48" s="62">
        <v>25</v>
      </c>
      <c r="R48" s="13">
        <v>5</v>
      </c>
      <c r="S48" s="16">
        <v>2126</v>
      </c>
      <c r="T48" s="14" t="s">
        <v>153</v>
      </c>
      <c r="U48" s="14" t="s">
        <v>211</v>
      </c>
      <c r="V48" s="14" t="s">
        <v>155</v>
      </c>
    </row>
    <row r="49" spans="1:22" ht="15.75" customHeight="1">
      <c r="A49" s="17" t="s">
        <v>451</v>
      </c>
      <c r="B49" s="18" t="s">
        <v>1391</v>
      </c>
      <c r="C49" s="18" t="s">
        <v>2449</v>
      </c>
      <c r="D49" s="17" t="s">
        <v>453</v>
      </c>
      <c r="E49" s="18" t="s">
        <v>2451</v>
      </c>
      <c r="F49" s="18" t="s">
        <v>455</v>
      </c>
      <c r="G49" s="18" t="s">
        <v>172</v>
      </c>
      <c r="H49" s="17" t="s">
        <v>96</v>
      </c>
      <c r="I49" s="17" t="s">
        <v>63</v>
      </c>
      <c r="J49" s="17" t="s">
        <v>162</v>
      </c>
      <c r="K49" s="18" t="s">
        <v>163</v>
      </c>
      <c r="L49" s="18" t="s">
        <v>99</v>
      </c>
      <c r="M49" s="18" t="s">
        <v>164</v>
      </c>
      <c r="N49" s="18" t="s">
        <v>165</v>
      </c>
      <c r="O49" s="17">
        <v>9</v>
      </c>
      <c r="P49" s="59">
        <v>2800</v>
      </c>
      <c r="Q49" s="60">
        <v>15</v>
      </c>
      <c r="R49" s="17">
        <v>18</v>
      </c>
      <c r="S49" s="19">
        <v>25276</v>
      </c>
      <c r="T49" s="18" t="s">
        <v>413</v>
      </c>
      <c r="U49" s="18" t="s">
        <v>143</v>
      </c>
      <c r="V49" s="18" t="s">
        <v>212</v>
      </c>
    </row>
    <row r="50" spans="1:22" ht="15.75" customHeight="1">
      <c r="A50" s="13" t="s">
        <v>456</v>
      </c>
      <c r="B50" s="14" t="s">
        <v>874</v>
      </c>
      <c r="C50" s="14" t="s">
        <v>2449</v>
      </c>
      <c r="D50" s="13" t="s">
        <v>458</v>
      </c>
      <c r="E50" s="14" t="s">
        <v>433</v>
      </c>
      <c r="F50" s="14" t="s">
        <v>2394</v>
      </c>
      <c r="G50" s="14" t="s">
        <v>61</v>
      </c>
      <c r="H50" s="13" t="s">
        <v>62</v>
      </c>
      <c r="I50" s="13" t="s">
        <v>63</v>
      </c>
      <c r="J50" s="13" t="s">
        <v>389</v>
      </c>
      <c r="K50" s="14" t="s">
        <v>390</v>
      </c>
      <c r="L50" s="14" t="s">
        <v>99</v>
      </c>
      <c r="M50" s="14" t="s">
        <v>164</v>
      </c>
      <c r="N50" s="14" t="s">
        <v>391</v>
      </c>
      <c r="O50" s="13">
        <v>1</v>
      </c>
      <c r="P50" s="61">
        <v>1500</v>
      </c>
      <c r="Q50" s="62">
        <v>8</v>
      </c>
      <c r="R50" s="13">
        <v>18</v>
      </c>
      <c r="S50" s="16">
        <v>1628</v>
      </c>
      <c r="T50" s="14" t="s">
        <v>465</v>
      </c>
      <c r="U50" s="14" t="s">
        <v>184</v>
      </c>
      <c r="V50" s="14" t="s">
        <v>212</v>
      </c>
    </row>
    <row r="51" spans="1:22" ht="15.75" customHeight="1">
      <c r="A51" s="17" t="s">
        <v>459</v>
      </c>
      <c r="B51" s="18" t="s">
        <v>2452</v>
      </c>
      <c r="C51" s="18" t="s">
        <v>461</v>
      </c>
      <c r="D51" s="17" t="s">
        <v>462</v>
      </c>
      <c r="E51" s="18" t="s">
        <v>463</v>
      </c>
      <c r="F51" s="18" t="s">
        <v>2394</v>
      </c>
      <c r="G51" s="18" t="s">
        <v>78</v>
      </c>
      <c r="H51" s="17" t="s">
        <v>79</v>
      </c>
      <c r="I51" s="17" t="s">
        <v>80</v>
      </c>
      <c r="J51" s="17" t="s">
        <v>347</v>
      </c>
      <c r="K51" s="18" t="s">
        <v>348</v>
      </c>
      <c r="L51" s="18" t="s">
        <v>139</v>
      </c>
      <c r="M51" s="18" t="s">
        <v>349</v>
      </c>
      <c r="N51" s="18" t="s">
        <v>350</v>
      </c>
      <c r="O51" s="17">
        <v>2</v>
      </c>
      <c r="P51" s="59">
        <v>3200</v>
      </c>
      <c r="Q51" s="60">
        <v>12</v>
      </c>
      <c r="R51" s="17">
        <v>18</v>
      </c>
      <c r="S51" s="19">
        <v>6646</v>
      </c>
      <c r="T51" s="18" t="s">
        <v>465</v>
      </c>
      <c r="U51" s="18" t="s">
        <v>70</v>
      </c>
      <c r="V51" s="18" t="s">
        <v>212</v>
      </c>
    </row>
    <row r="52" spans="1:22" ht="15.75" customHeight="1">
      <c r="A52" s="13" t="s">
        <v>466</v>
      </c>
      <c r="B52" s="14" t="s">
        <v>2011</v>
      </c>
      <c r="C52" s="14" t="s">
        <v>2442</v>
      </c>
      <c r="D52" s="13" t="s">
        <v>468</v>
      </c>
      <c r="E52" s="14" t="s">
        <v>469</v>
      </c>
      <c r="F52" s="14" t="s">
        <v>470</v>
      </c>
      <c r="G52" s="14" t="s">
        <v>439</v>
      </c>
      <c r="H52" s="13" t="s">
        <v>364</v>
      </c>
      <c r="I52" s="13" t="s">
        <v>63</v>
      </c>
      <c r="J52" s="13" t="s">
        <v>257</v>
      </c>
      <c r="K52" s="14" t="s">
        <v>2418</v>
      </c>
      <c r="L52" s="14" t="s">
        <v>139</v>
      </c>
      <c r="M52" s="14" t="s">
        <v>259</v>
      </c>
      <c r="N52" s="14" t="s">
        <v>260</v>
      </c>
      <c r="O52" s="13">
        <v>7</v>
      </c>
      <c r="P52" s="13">
        <v>0</v>
      </c>
      <c r="Q52" s="62">
        <v>15</v>
      </c>
      <c r="R52" s="13">
        <v>18</v>
      </c>
      <c r="S52" s="16">
        <v>0</v>
      </c>
      <c r="T52" s="14" t="s">
        <v>413</v>
      </c>
      <c r="U52" s="14" t="s">
        <v>288</v>
      </c>
      <c r="V52" s="14" t="s">
        <v>212</v>
      </c>
    </row>
    <row r="53" spans="1:22" ht="15.75" customHeight="1">
      <c r="A53" s="17" t="s">
        <v>471</v>
      </c>
      <c r="B53" s="18" t="s">
        <v>1936</v>
      </c>
      <c r="C53" s="18" t="s">
        <v>2453</v>
      </c>
      <c r="D53" s="17" t="s">
        <v>474</v>
      </c>
      <c r="E53" s="18" t="s">
        <v>475</v>
      </c>
      <c r="F53" s="18" t="s">
        <v>476</v>
      </c>
      <c r="G53" s="18" t="s">
        <v>122</v>
      </c>
      <c r="H53" s="17" t="s">
        <v>122</v>
      </c>
      <c r="I53" s="17" t="s">
        <v>123</v>
      </c>
      <c r="J53" s="17" t="s">
        <v>477</v>
      </c>
      <c r="K53" s="18" t="s">
        <v>478</v>
      </c>
      <c r="L53" s="18" t="s">
        <v>139</v>
      </c>
      <c r="M53" s="18" t="s">
        <v>349</v>
      </c>
      <c r="N53" s="18" t="s">
        <v>479</v>
      </c>
      <c r="O53" s="17">
        <v>5</v>
      </c>
      <c r="P53" s="59">
        <v>2200</v>
      </c>
      <c r="Q53" s="60">
        <v>5</v>
      </c>
      <c r="R53" s="17">
        <v>12</v>
      </c>
      <c r="S53" s="19">
        <v>11704</v>
      </c>
      <c r="T53" s="18" t="s">
        <v>465</v>
      </c>
      <c r="U53" s="18" t="s">
        <v>70</v>
      </c>
      <c r="V53" s="18" t="s">
        <v>155</v>
      </c>
    </row>
    <row r="54" spans="1:22" ht="15.75" customHeight="1">
      <c r="A54" s="13" t="s">
        <v>480</v>
      </c>
      <c r="B54" s="14" t="s">
        <v>2387</v>
      </c>
      <c r="C54" s="14" t="s">
        <v>482</v>
      </c>
      <c r="D54" s="13" t="s">
        <v>483</v>
      </c>
      <c r="E54" s="14" t="s">
        <v>484</v>
      </c>
      <c r="F54" s="14" t="s">
        <v>2394</v>
      </c>
      <c r="G54" s="14" t="s">
        <v>485</v>
      </c>
      <c r="H54" s="13" t="s">
        <v>305</v>
      </c>
      <c r="I54" s="13" t="s">
        <v>306</v>
      </c>
      <c r="J54" s="13" t="s">
        <v>295</v>
      </c>
      <c r="K54" s="14" t="s">
        <v>2425</v>
      </c>
      <c r="L54" s="14" t="s">
        <v>66</v>
      </c>
      <c r="M54" s="14" t="s">
        <v>297</v>
      </c>
      <c r="N54" s="14" t="s">
        <v>298</v>
      </c>
      <c r="O54" s="13">
        <v>10</v>
      </c>
      <c r="P54" s="61">
        <v>280</v>
      </c>
      <c r="Q54" s="62">
        <v>15</v>
      </c>
      <c r="R54" s="13">
        <v>5</v>
      </c>
      <c r="S54" s="16">
        <v>2499</v>
      </c>
      <c r="T54" s="14" t="s">
        <v>127</v>
      </c>
      <c r="U54" s="14" t="s">
        <v>288</v>
      </c>
      <c r="V54" s="14" t="s">
        <v>155</v>
      </c>
    </row>
    <row r="55" spans="1:22" ht="15.75" customHeight="1">
      <c r="A55" s="17" t="s">
        <v>486</v>
      </c>
      <c r="B55" s="18" t="s">
        <v>2109</v>
      </c>
      <c r="C55" s="18" t="s">
        <v>2453</v>
      </c>
      <c r="D55" s="17" t="s">
        <v>488</v>
      </c>
      <c r="E55" s="18" t="s">
        <v>489</v>
      </c>
      <c r="F55" s="18" t="s">
        <v>490</v>
      </c>
      <c r="G55" s="18" t="s">
        <v>181</v>
      </c>
      <c r="H55" s="17" t="s">
        <v>182</v>
      </c>
      <c r="I55" s="17" t="s">
        <v>123</v>
      </c>
      <c r="J55" s="17" t="s">
        <v>491</v>
      </c>
      <c r="K55" s="18" t="s">
        <v>492</v>
      </c>
      <c r="L55" s="18" t="s">
        <v>112</v>
      </c>
      <c r="M55" s="18" t="s">
        <v>493</v>
      </c>
      <c r="N55" s="18" t="s">
        <v>494</v>
      </c>
      <c r="O55" s="17">
        <v>1</v>
      </c>
      <c r="P55" s="59">
        <v>4500</v>
      </c>
      <c r="Q55" s="60">
        <v>25</v>
      </c>
      <c r="R55" s="17">
        <v>5</v>
      </c>
      <c r="S55" s="19">
        <v>3544</v>
      </c>
      <c r="T55" s="18" t="s">
        <v>465</v>
      </c>
      <c r="U55" s="18" t="s">
        <v>143</v>
      </c>
      <c r="V55" s="18" t="s">
        <v>212</v>
      </c>
    </row>
    <row r="56" spans="1:22" ht="15.75" customHeight="1">
      <c r="A56" s="13" t="s">
        <v>495</v>
      </c>
      <c r="B56" s="14" t="s">
        <v>308</v>
      </c>
      <c r="C56" s="14" t="s">
        <v>2415</v>
      </c>
      <c r="D56" s="13" t="s">
        <v>497</v>
      </c>
      <c r="E56" s="14" t="s">
        <v>498</v>
      </c>
      <c r="F56" s="14" t="s">
        <v>499</v>
      </c>
      <c r="G56" s="14" t="s">
        <v>485</v>
      </c>
      <c r="H56" s="13" t="s">
        <v>305</v>
      </c>
      <c r="I56" s="13" t="s">
        <v>306</v>
      </c>
      <c r="J56" s="13" t="s">
        <v>365</v>
      </c>
      <c r="K56" s="14" t="s">
        <v>366</v>
      </c>
      <c r="L56" s="14" t="s">
        <v>112</v>
      </c>
      <c r="M56" s="14" t="s">
        <v>367</v>
      </c>
      <c r="N56" s="14" t="s">
        <v>368</v>
      </c>
      <c r="O56" s="13">
        <v>6</v>
      </c>
      <c r="P56" s="61">
        <v>3500</v>
      </c>
      <c r="Q56" s="62">
        <v>8</v>
      </c>
      <c r="R56" s="13">
        <v>5</v>
      </c>
      <c r="S56" s="16">
        <v>20286</v>
      </c>
      <c r="T56" s="14" t="s">
        <v>465</v>
      </c>
      <c r="U56" s="14" t="s">
        <v>288</v>
      </c>
      <c r="V56" s="14" t="s">
        <v>212</v>
      </c>
    </row>
    <row r="57" spans="1:22" ht="15.75" customHeight="1">
      <c r="A57" s="17" t="s">
        <v>500</v>
      </c>
      <c r="B57" s="18" t="s">
        <v>2454</v>
      </c>
      <c r="C57" s="18" t="s">
        <v>2430</v>
      </c>
      <c r="D57" s="17" t="s">
        <v>502</v>
      </c>
      <c r="E57" s="18" t="s">
        <v>331</v>
      </c>
      <c r="F57" s="18" t="s">
        <v>503</v>
      </c>
      <c r="G57" s="18" t="s">
        <v>122</v>
      </c>
      <c r="H57" s="17" t="s">
        <v>122</v>
      </c>
      <c r="I57" s="17" t="s">
        <v>123</v>
      </c>
      <c r="J57" s="17" t="s">
        <v>347</v>
      </c>
      <c r="K57" s="18" t="s">
        <v>2441</v>
      </c>
      <c r="L57" s="18" t="s">
        <v>139</v>
      </c>
      <c r="M57" s="18" t="s">
        <v>349</v>
      </c>
      <c r="N57" s="18" t="s">
        <v>350</v>
      </c>
      <c r="O57" s="17">
        <v>6</v>
      </c>
      <c r="P57" s="59">
        <v>3200</v>
      </c>
      <c r="Q57" s="60">
        <v>5</v>
      </c>
      <c r="R57" s="17">
        <v>18</v>
      </c>
      <c r="S57" s="19">
        <v>21523</v>
      </c>
      <c r="T57" s="18" t="s">
        <v>153</v>
      </c>
      <c r="U57" s="18" t="s">
        <v>143</v>
      </c>
      <c r="V57" s="18" t="s">
        <v>155</v>
      </c>
    </row>
    <row r="58" spans="1:22" ht="15.75" customHeight="1">
      <c r="A58" s="13" t="s">
        <v>504</v>
      </c>
      <c r="B58" s="14" t="s">
        <v>2452</v>
      </c>
      <c r="C58" s="14" t="s">
        <v>2442</v>
      </c>
      <c r="D58" s="13" t="s">
        <v>506</v>
      </c>
      <c r="E58" s="14" t="s">
        <v>507</v>
      </c>
      <c r="F58" s="14" t="s">
        <v>508</v>
      </c>
      <c r="G58" s="14" t="s">
        <v>485</v>
      </c>
      <c r="H58" s="13" t="s">
        <v>305</v>
      </c>
      <c r="I58" s="13" t="s">
        <v>306</v>
      </c>
      <c r="J58" s="13" t="s">
        <v>356</v>
      </c>
      <c r="K58" s="14" t="s">
        <v>2434</v>
      </c>
      <c r="L58" s="14" t="s">
        <v>139</v>
      </c>
      <c r="M58" s="14" t="s">
        <v>140</v>
      </c>
      <c r="N58" s="14" t="s">
        <v>2435</v>
      </c>
      <c r="O58" s="13">
        <v>8</v>
      </c>
      <c r="P58" s="61">
        <v>42000</v>
      </c>
      <c r="Q58" s="62">
        <v>10</v>
      </c>
      <c r="R58" s="13">
        <v>18</v>
      </c>
      <c r="S58" s="16">
        <v>356832</v>
      </c>
      <c r="T58" s="14" t="s">
        <v>413</v>
      </c>
      <c r="U58" s="14" t="s">
        <v>211</v>
      </c>
      <c r="V58" s="14" t="s">
        <v>155</v>
      </c>
    </row>
    <row r="59" spans="1:22" ht="15.75" customHeight="1">
      <c r="A59" s="17" t="s">
        <v>509</v>
      </c>
      <c r="B59" s="18" t="s">
        <v>2431</v>
      </c>
      <c r="C59" s="18" t="s">
        <v>291</v>
      </c>
      <c r="D59" s="17" t="s">
        <v>511</v>
      </c>
      <c r="E59" s="18" t="s">
        <v>512</v>
      </c>
      <c r="F59" s="18" t="s">
        <v>513</v>
      </c>
      <c r="G59" s="18" t="s">
        <v>485</v>
      </c>
      <c r="H59" s="17" t="s">
        <v>305</v>
      </c>
      <c r="I59" s="17" t="s">
        <v>306</v>
      </c>
      <c r="J59" s="17" t="s">
        <v>207</v>
      </c>
      <c r="K59" s="18" t="s">
        <v>2406</v>
      </c>
      <c r="L59" s="18" t="s">
        <v>99</v>
      </c>
      <c r="M59" s="18" t="s">
        <v>209</v>
      </c>
      <c r="N59" s="18" t="s">
        <v>2407</v>
      </c>
      <c r="O59" s="17">
        <v>9</v>
      </c>
      <c r="P59" s="59">
        <v>55000</v>
      </c>
      <c r="Q59" s="60">
        <v>8</v>
      </c>
      <c r="R59" s="17">
        <v>18</v>
      </c>
      <c r="S59" s="19">
        <v>537372</v>
      </c>
      <c r="T59" s="18" t="s">
        <v>115</v>
      </c>
      <c r="U59" s="18" t="s">
        <v>211</v>
      </c>
      <c r="V59" s="18" t="s">
        <v>155</v>
      </c>
    </row>
    <row r="60" spans="1:22" ht="15.75" customHeight="1">
      <c r="A60" s="13" t="s">
        <v>514</v>
      </c>
      <c r="B60" s="14" t="s">
        <v>1948</v>
      </c>
      <c r="C60" s="14" t="s">
        <v>2393</v>
      </c>
      <c r="D60" s="13" t="s">
        <v>516</v>
      </c>
      <c r="E60" s="14" t="s">
        <v>517</v>
      </c>
      <c r="F60" s="14" t="s">
        <v>518</v>
      </c>
      <c r="G60" s="14" t="s">
        <v>61</v>
      </c>
      <c r="H60" s="13" t="s">
        <v>62</v>
      </c>
      <c r="I60" s="13" t="s">
        <v>63</v>
      </c>
      <c r="J60" s="13" t="s">
        <v>477</v>
      </c>
      <c r="K60" s="14" t="s">
        <v>478</v>
      </c>
      <c r="L60" s="14" t="s">
        <v>139</v>
      </c>
      <c r="M60" s="14" t="s">
        <v>349</v>
      </c>
      <c r="N60" s="14" t="s">
        <v>479</v>
      </c>
      <c r="O60" s="13">
        <v>5</v>
      </c>
      <c r="P60" s="61">
        <v>2200</v>
      </c>
      <c r="Q60" s="62">
        <v>25</v>
      </c>
      <c r="R60" s="13">
        <v>12</v>
      </c>
      <c r="S60" s="16">
        <v>9240</v>
      </c>
      <c r="T60" s="14" t="s">
        <v>127</v>
      </c>
      <c r="U60" s="14" t="s">
        <v>70</v>
      </c>
      <c r="V60" s="14" t="s">
        <v>155</v>
      </c>
    </row>
    <row r="61" spans="1:22" ht="15.75" customHeight="1">
      <c r="A61" s="17" t="s">
        <v>520</v>
      </c>
      <c r="B61" s="18" t="s">
        <v>2455</v>
      </c>
      <c r="C61" s="18" t="s">
        <v>2456</v>
      </c>
      <c r="D61" s="17" t="s">
        <v>523</v>
      </c>
      <c r="E61" s="18" t="s">
        <v>524</v>
      </c>
      <c r="F61" s="18" t="s">
        <v>2394</v>
      </c>
      <c r="G61" s="18" t="s">
        <v>485</v>
      </c>
      <c r="H61" s="17" t="s">
        <v>305</v>
      </c>
      <c r="I61" s="17" t="s">
        <v>306</v>
      </c>
      <c r="J61" s="17" t="s">
        <v>477</v>
      </c>
      <c r="K61" s="18" t="s">
        <v>478</v>
      </c>
      <c r="L61" s="18" t="s">
        <v>139</v>
      </c>
      <c r="M61" s="18" t="s">
        <v>349</v>
      </c>
      <c r="N61" s="18" t="s">
        <v>479</v>
      </c>
      <c r="O61" s="17">
        <v>10</v>
      </c>
      <c r="P61" s="59">
        <v>2200</v>
      </c>
      <c r="Q61" s="60">
        <v>10</v>
      </c>
      <c r="R61" s="17">
        <v>12</v>
      </c>
      <c r="S61" s="19">
        <v>22176</v>
      </c>
      <c r="T61" s="18" t="s">
        <v>153</v>
      </c>
      <c r="U61" s="18" t="s">
        <v>211</v>
      </c>
      <c r="V61" s="18" t="s">
        <v>212</v>
      </c>
    </row>
    <row r="62" spans="1:22" ht="15.75" customHeight="1">
      <c r="A62" s="13" t="s">
        <v>525</v>
      </c>
      <c r="B62" s="14" t="s">
        <v>2457</v>
      </c>
      <c r="C62" s="14" t="s">
        <v>2410</v>
      </c>
      <c r="D62" s="13" t="s">
        <v>527</v>
      </c>
      <c r="E62" s="14" t="s">
        <v>528</v>
      </c>
      <c r="F62" s="14" t="s">
        <v>2394</v>
      </c>
      <c r="G62" s="14" t="s">
        <v>135</v>
      </c>
      <c r="H62" s="13" t="s">
        <v>136</v>
      </c>
      <c r="I62" s="13" t="s">
        <v>63</v>
      </c>
      <c r="J62" s="13" t="s">
        <v>275</v>
      </c>
      <c r="K62" s="14" t="s">
        <v>2423</v>
      </c>
      <c r="L62" s="14" t="s">
        <v>99</v>
      </c>
      <c r="M62" s="14" t="s">
        <v>277</v>
      </c>
      <c r="N62" s="14" t="s">
        <v>126</v>
      </c>
      <c r="O62" s="13">
        <v>2</v>
      </c>
      <c r="P62" s="61">
        <v>35000</v>
      </c>
      <c r="Q62" s="62">
        <v>15</v>
      </c>
      <c r="R62" s="13">
        <v>18</v>
      </c>
      <c r="S62" s="16">
        <v>70210</v>
      </c>
      <c r="T62" s="14" t="s">
        <v>115</v>
      </c>
      <c r="U62" s="14" t="s">
        <v>211</v>
      </c>
      <c r="V62" s="14" t="s">
        <v>155</v>
      </c>
    </row>
    <row r="63" spans="1:22" ht="15.75" customHeight="1">
      <c r="A63" s="17" t="s">
        <v>529</v>
      </c>
      <c r="B63" s="18" t="s">
        <v>2458</v>
      </c>
      <c r="C63" s="18" t="s">
        <v>291</v>
      </c>
      <c r="D63" s="17" t="s">
        <v>531</v>
      </c>
      <c r="E63" s="18" t="s">
        <v>532</v>
      </c>
      <c r="F63" s="18" t="s">
        <v>533</v>
      </c>
      <c r="G63" s="18" t="s">
        <v>228</v>
      </c>
      <c r="H63" s="17" t="s">
        <v>152</v>
      </c>
      <c r="I63" s="17" t="s">
        <v>80</v>
      </c>
      <c r="J63" s="17" t="s">
        <v>219</v>
      </c>
      <c r="K63" s="18" t="s">
        <v>2408</v>
      </c>
      <c r="L63" s="18" t="s">
        <v>99</v>
      </c>
      <c r="M63" s="18" t="s">
        <v>100</v>
      </c>
      <c r="N63" s="18" t="s">
        <v>221</v>
      </c>
      <c r="O63" s="17">
        <v>8</v>
      </c>
      <c r="P63" s="59">
        <v>89000</v>
      </c>
      <c r="Q63" s="60">
        <v>0</v>
      </c>
      <c r="R63" s="17">
        <v>18</v>
      </c>
      <c r="S63" s="19">
        <v>840160</v>
      </c>
      <c r="T63" s="18" t="s">
        <v>465</v>
      </c>
      <c r="U63" s="18" t="s">
        <v>211</v>
      </c>
      <c r="V63" s="18" t="s">
        <v>212</v>
      </c>
    </row>
    <row r="64" spans="1:22" ht="15.75" customHeight="1">
      <c r="A64" s="13" t="s">
        <v>534</v>
      </c>
      <c r="B64" s="14" t="s">
        <v>1012</v>
      </c>
      <c r="C64" s="14" t="s">
        <v>2430</v>
      </c>
      <c r="D64" s="13" t="s">
        <v>536</v>
      </c>
      <c r="E64" s="14" t="s">
        <v>537</v>
      </c>
      <c r="F64" s="14" t="s">
        <v>538</v>
      </c>
      <c r="G64" s="14" t="s">
        <v>78</v>
      </c>
      <c r="H64" s="13" t="s">
        <v>79</v>
      </c>
      <c r="I64" s="13" t="s">
        <v>80</v>
      </c>
      <c r="J64" s="13" t="s">
        <v>162</v>
      </c>
      <c r="K64" s="14" t="s">
        <v>163</v>
      </c>
      <c r="L64" s="14" t="s">
        <v>99</v>
      </c>
      <c r="M64" s="14" t="s">
        <v>164</v>
      </c>
      <c r="N64" s="14" t="s">
        <v>165</v>
      </c>
      <c r="O64" s="13">
        <v>5</v>
      </c>
      <c r="P64" s="61">
        <v>2800</v>
      </c>
      <c r="Q64" s="62">
        <v>20</v>
      </c>
      <c r="R64" s="13">
        <v>18</v>
      </c>
      <c r="S64" s="16">
        <v>13216</v>
      </c>
      <c r="T64" s="14" t="s">
        <v>465</v>
      </c>
      <c r="U64" s="14" t="s">
        <v>184</v>
      </c>
      <c r="V64" s="14" t="s">
        <v>212</v>
      </c>
    </row>
    <row r="65" spans="1:22" ht="15.75" customHeight="1">
      <c r="A65" s="17" t="s">
        <v>539</v>
      </c>
      <c r="B65" s="18" t="s">
        <v>2390</v>
      </c>
      <c r="C65" s="18" t="s">
        <v>2459</v>
      </c>
      <c r="D65" s="17" t="s">
        <v>542</v>
      </c>
      <c r="E65" s="18" t="s">
        <v>543</v>
      </c>
      <c r="F65" s="18" t="s">
        <v>544</v>
      </c>
      <c r="G65" s="18" t="s">
        <v>61</v>
      </c>
      <c r="H65" s="17" t="s">
        <v>62</v>
      </c>
      <c r="I65" s="17" t="s">
        <v>63</v>
      </c>
      <c r="J65" s="17" t="s">
        <v>124</v>
      </c>
      <c r="K65" s="18" t="s">
        <v>125</v>
      </c>
      <c r="L65" s="18" t="s">
        <v>99</v>
      </c>
      <c r="M65" s="18" t="s">
        <v>100</v>
      </c>
      <c r="N65" s="18" t="s">
        <v>126</v>
      </c>
      <c r="O65" s="17">
        <v>6</v>
      </c>
      <c r="P65" s="17">
        <v>0</v>
      </c>
      <c r="Q65" s="60">
        <v>25</v>
      </c>
      <c r="R65" s="17">
        <v>18</v>
      </c>
      <c r="S65" s="19">
        <v>0</v>
      </c>
      <c r="T65" s="18" t="s">
        <v>465</v>
      </c>
      <c r="U65" s="18" t="s">
        <v>184</v>
      </c>
      <c r="V65" s="18" t="s">
        <v>212</v>
      </c>
    </row>
    <row r="66" spans="1:22" ht="15.75" customHeight="1">
      <c r="A66" s="13" t="s">
        <v>545</v>
      </c>
      <c r="B66" s="14" t="s">
        <v>1153</v>
      </c>
      <c r="C66" s="14" t="s">
        <v>2442</v>
      </c>
      <c r="D66" s="13" t="s">
        <v>547</v>
      </c>
      <c r="E66" s="14" t="s">
        <v>507</v>
      </c>
      <c r="F66" s="14" t="s">
        <v>548</v>
      </c>
      <c r="G66" s="14" t="s">
        <v>228</v>
      </c>
      <c r="H66" s="13" t="s">
        <v>152</v>
      </c>
      <c r="I66" s="13" t="s">
        <v>80</v>
      </c>
      <c r="J66" s="13" t="s">
        <v>137</v>
      </c>
      <c r="K66" s="14" t="s">
        <v>138</v>
      </c>
      <c r="L66" s="14" t="s">
        <v>139</v>
      </c>
      <c r="M66" s="14" t="s">
        <v>140</v>
      </c>
      <c r="N66" s="14" t="s">
        <v>141</v>
      </c>
      <c r="O66" s="13">
        <v>10</v>
      </c>
      <c r="P66" s="61">
        <v>12000</v>
      </c>
      <c r="Q66" s="62">
        <v>5</v>
      </c>
      <c r="R66" s="13">
        <v>18</v>
      </c>
      <c r="S66" s="16">
        <v>134520</v>
      </c>
      <c r="T66" s="14" t="s">
        <v>153</v>
      </c>
      <c r="U66" s="14" t="s">
        <v>70</v>
      </c>
      <c r="V66" s="14" t="s">
        <v>155</v>
      </c>
    </row>
    <row r="67" spans="1:22" ht="15.75" customHeight="1">
      <c r="A67" s="17" t="s">
        <v>549</v>
      </c>
      <c r="B67" s="18" t="s">
        <v>2460</v>
      </c>
      <c r="C67" s="18" t="s">
        <v>2459</v>
      </c>
      <c r="D67" s="17" t="s">
        <v>551</v>
      </c>
      <c r="E67" s="18" t="s">
        <v>543</v>
      </c>
      <c r="F67" s="18" t="s">
        <v>552</v>
      </c>
      <c r="G67" s="18" t="s">
        <v>485</v>
      </c>
      <c r="H67" s="17" t="s">
        <v>305</v>
      </c>
      <c r="I67" s="17" t="s">
        <v>306</v>
      </c>
      <c r="J67" s="17" t="s">
        <v>312</v>
      </c>
      <c r="K67" s="18" t="s">
        <v>313</v>
      </c>
      <c r="L67" s="18" t="s">
        <v>66</v>
      </c>
      <c r="M67" s="18" t="s">
        <v>199</v>
      </c>
      <c r="N67" s="18" t="s">
        <v>314</v>
      </c>
      <c r="O67" s="17">
        <v>1</v>
      </c>
      <c r="P67" s="59">
        <v>40</v>
      </c>
      <c r="Q67" s="60">
        <v>8</v>
      </c>
      <c r="R67" s="17">
        <v>5</v>
      </c>
      <c r="S67" s="19">
        <v>39</v>
      </c>
      <c r="T67" s="18" t="s">
        <v>115</v>
      </c>
      <c r="U67" s="18" t="s">
        <v>143</v>
      </c>
      <c r="V67" s="18" t="s">
        <v>212</v>
      </c>
    </row>
    <row r="68" spans="1:22" ht="15.75" customHeight="1">
      <c r="A68" s="13" t="s">
        <v>553</v>
      </c>
      <c r="B68" s="14" t="s">
        <v>409</v>
      </c>
      <c r="C68" s="14" t="s">
        <v>2430</v>
      </c>
      <c r="D68" s="13" t="s">
        <v>555</v>
      </c>
      <c r="E68" s="14" t="s">
        <v>331</v>
      </c>
      <c r="F68" s="14" t="s">
        <v>556</v>
      </c>
      <c r="G68" s="14" t="s">
        <v>135</v>
      </c>
      <c r="H68" s="13" t="s">
        <v>136</v>
      </c>
      <c r="I68" s="13" t="s">
        <v>63</v>
      </c>
      <c r="J68" s="13" t="s">
        <v>81</v>
      </c>
      <c r="K68" s="14" t="s">
        <v>82</v>
      </c>
      <c r="L68" s="14" t="s">
        <v>83</v>
      </c>
      <c r="M68" s="14" t="s">
        <v>84</v>
      </c>
      <c r="N68" s="14" t="s">
        <v>85</v>
      </c>
      <c r="O68" s="13">
        <v>9</v>
      </c>
      <c r="P68" s="61">
        <v>25000</v>
      </c>
      <c r="Q68" s="62">
        <v>8</v>
      </c>
      <c r="R68" s="13">
        <v>3</v>
      </c>
      <c r="S68" s="16">
        <v>213210</v>
      </c>
      <c r="T68" s="14" t="s">
        <v>153</v>
      </c>
      <c r="U68" s="14" t="s">
        <v>288</v>
      </c>
      <c r="V68" s="14" t="s">
        <v>212</v>
      </c>
    </row>
    <row r="69" spans="1:22" ht="15.75" customHeight="1">
      <c r="A69" s="17" t="s">
        <v>557</v>
      </c>
      <c r="B69" s="18" t="s">
        <v>2461</v>
      </c>
      <c r="C69" s="18" t="s">
        <v>416</v>
      </c>
      <c r="D69" s="17" t="s">
        <v>558</v>
      </c>
      <c r="E69" s="18" t="s">
        <v>559</v>
      </c>
      <c r="F69" s="18" t="s">
        <v>560</v>
      </c>
      <c r="G69" s="18" t="s">
        <v>122</v>
      </c>
      <c r="H69" s="17" t="s">
        <v>122</v>
      </c>
      <c r="I69" s="17" t="s">
        <v>123</v>
      </c>
      <c r="J69" s="17" t="s">
        <v>356</v>
      </c>
      <c r="K69" s="18" t="s">
        <v>2434</v>
      </c>
      <c r="L69" s="18" t="s">
        <v>139</v>
      </c>
      <c r="M69" s="18" t="s">
        <v>140</v>
      </c>
      <c r="N69" s="18" t="s">
        <v>2435</v>
      </c>
      <c r="O69" s="17">
        <v>10</v>
      </c>
      <c r="P69" s="59">
        <v>42000</v>
      </c>
      <c r="Q69" s="60">
        <v>5</v>
      </c>
      <c r="R69" s="17">
        <v>18</v>
      </c>
      <c r="S69" s="19">
        <v>470820</v>
      </c>
      <c r="T69" s="18" t="s">
        <v>102</v>
      </c>
      <c r="U69" s="18" t="s">
        <v>70</v>
      </c>
      <c r="V69" s="18" t="s">
        <v>212</v>
      </c>
    </row>
    <row r="70" spans="1:22" ht="15.75" customHeight="1">
      <c r="A70" s="13" t="s">
        <v>561</v>
      </c>
      <c r="B70" s="14" t="s">
        <v>546</v>
      </c>
      <c r="C70" s="14" t="s">
        <v>372</v>
      </c>
      <c r="D70" s="13" t="s">
        <v>563</v>
      </c>
      <c r="E70" s="14" t="s">
        <v>564</v>
      </c>
      <c r="F70" s="14" t="s">
        <v>565</v>
      </c>
      <c r="G70" s="14" t="s">
        <v>333</v>
      </c>
      <c r="H70" s="13" t="s">
        <v>334</v>
      </c>
      <c r="I70" s="13" t="s">
        <v>63</v>
      </c>
      <c r="J70" s="13" t="s">
        <v>491</v>
      </c>
      <c r="K70" s="14" t="s">
        <v>492</v>
      </c>
      <c r="L70" s="14" t="s">
        <v>112</v>
      </c>
      <c r="M70" s="14" t="s">
        <v>493</v>
      </c>
      <c r="N70" s="14" t="s">
        <v>494</v>
      </c>
      <c r="O70" s="13">
        <v>6</v>
      </c>
      <c r="P70" s="61">
        <v>4500</v>
      </c>
      <c r="Q70" s="62">
        <v>15</v>
      </c>
      <c r="R70" s="13">
        <v>5</v>
      </c>
      <c r="S70" s="16">
        <v>24098</v>
      </c>
      <c r="T70" s="14" t="s">
        <v>153</v>
      </c>
      <c r="U70" s="14" t="s">
        <v>143</v>
      </c>
      <c r="V70" s="14" t="s">
        <v>155</v>
      </c>
    </row>
    <row r="71" spans="1:22" ht="15.75" customHeight="1">
      <c r="A71" s="17" t="s">
        <v>566</v>
      </c>
      <c r="B71" s="18" t="s">
        <v>2443</v>
      </c>
      <c r="C71" s="18" t="s">
        <v>2410</v>
      </c>
      <c r="D71" s="17" t="s">
        <v>568</v>
      </c>
      <c r="E71" s="18" t="s">
        <v>569</v>
      </c>
      <c r="F71" s="18" t="s">
        <v>570</v>
      </c>
      <c r="G71" s="18" t="s">
        <v>485</v>
      </c>
      <c r="H71" s="17" t="s">
        <v>305</v>
      </c>
      <c r="I71" s="17" t="s">
        <v>306</v>
      </c>
      <c r="J71" s="17" t="s">
        <v>356</v>
      </c>
      <c r="K71" s="18" t="s">
        <v>2434</v>
      </c>
      <c r="L71" s="18" t="s">
        <v>139</v>
      </c>
      <c r="M71" s="18" t="s">
        <v>140</v>
      </c>
      <c r="N71" s="18" t="s">
        <v>2435</v>
      </c>
      <c r="O71" s="17">
        <v>3</v>
      </c>
      <c r="P71" s="59">
        <v>42000</v>
      </c>
      <c r="Q71" s="60">
        <v>0</v>
      </c>
      <c r="R71" s="17">
        <v>18</v>
      </c>
      <c r="S71" s="19">
        <v>148680</v>
      </c>
      <c r="T71" s="18" t="s">
        <v>413</v>
      </c>
      <c r="U71" s="18" t="s">
        <v>70</v>
      </c>
      <c r="V71" s="18" t="s">
        <v>155</v>
      </c>
    </row>
    <row r="72" spans="1:22" ht="15.75" customHeight="1">
      <c r="A72" s="13" t="s">
        <v>571</v>
      </c>
      <c r="B72" s="14" t="s">
        <v>1299</v>
      </c>
      <c r="C72" s="14" t="s">
        <v>337</v>
      </c>
      <c r="D72" s="13" t="s">
        <v>573</v>
      </c>
      <c r="E72" s="14" t="s">
        <v>574</v>
      </c>
      <c r="F72" s="14" t="s">
        <v>575</v>
      </c>
      <c r="G72" s="14" t="s">
        <v>439</v>
      </c>
      <c r="H72" s="13" t="s">
        <v>364</v>
      </c>
      <c r="I72" s="13" t="s">
        <v>63</v>
      </c>
      <c r="J72" s="13" t="s">
        <v>347</v>
      </c>
      <c r="K72" s="14" t="s">
        <v>348</v>
      </c>
      <c r="L72" s="14" t="s">
        <v>139</v>
      </c>
      <c r="M72" s="14" t="s">
        <v>349</v>
      </c>
      <c r="N72" s="14" t="s">
        <v>350</v>
      </c>
      <c r="O72" s="13">
        <v>1</v>
      </c>
      <c r="P72" s="61">
        <v>3200</v>
      </c>
      <c r="Q72" s="62">
        <v>5</v>
      </c>
      <c r="R72" s="13">
        <v>18</v>
      </c>
      <c r="S72" s="16">
        <v>3587</v>
      </c>
      <c r="T72" s="14" t="s">
        <v>465</v>
      </c>
      <c r="U72" s="14" t="s">
        <v>70</v>
      </c>
      <c r="V72" s="14" t="s">
        <v>212</v>
      </c>
    </row>
    <row r="73" spans="1:22" ht="15.75" customHeight="1">
      <c r="A73" s="17" t="s">
        <v>577</v>
      </c>
      <c r="B73" s="18" t="s">
        <v>2437</v>
      </c>
      <c r="C73" s="18" t="s">
        <v>291</v>
      </c>
      <c r="D73" s="17" t="s">
        <v>579</v>
      </c>
      <c r="E73" s="18" t="s">
        <v>512</v>
      </c>
      <c r="F73" s="18" t="s">
        <v>2394</v>
      </c>
      <c r="G73" s="18" t="s">
        <v>485</v>
      </c>
      <c r="H73" s="17" t="s">
        <v>305</v>
      </c>
      <c r="I73" s="17" t="s">
        <v>306</v>
      </c>
      <c r="J73" s="17" t="s">
        <v>312</v>
      </c>
      <c r="K73" s="18" t="s">
        <v>313</v>
      </c>
      <c r="L73" s="18" t="s">
        <v>66</v>
      </c>
      <c r="M73" s="18" t="s">
        <v>199</v>
      </c>
      <c r="N73" s="18" t="s">
        <v>314</v>
      </c>
      <c r="O73" s="17">
        <v>9</v>
      </c>
      <c r="P73" s="59">
        <v>40</v>
      </c>
      <c r="Q73" s="60">
        <v>15</v>
      </c>
      <c r="R73" s="17">
        <v>5</v>
      </c>
      <c r="S73" s="19">
        <v>321</v>
      </c>
      <c r="T73" s="18" t="s">
        <v>127</v>
      </c>
      <c r="U73" s="18" t="s">
        <v>184</v>
      </c>
      <c r="V73" s="18" t="s">
        <v>155</v>
      </c>
    </row>
    <row r="74" spans="1:22" ht="15.75" customHeight="1">
      <c r="A74" s="13" t="s">
        <v>581</v>
      </c>
      <c r="B74" s="14" t="s">
        <v>1395</v>
      </c>
      <c r="C74" s="14" t="s">
        <v>2388</v>
      </c>
      <c r="D74" s="13" t="s">
        <v>583</v>
      </c>
      <c r="E74" s="14" t="s">
        <v>584</v>
      </c>
      <c r="F74" s="14" t="s">
        <v>585</v>
      </c>
      <c r="G74" s="14" t="s">
        <v>172</v>
      </c>
      <c r="H74" s="13" t="s">
        <v>96</v>
      </c>
      <c r="I74" s="13" t="s">
        <v>63</v>
      </c>
      <c r="J74" s="13" t="s">
        <v>162</v>
      </c>
      <c r="K74" s="14" t="s">
        <v>163</v>
      </c>
      <c r="L74" s="14" t="s">
        <v>99</v>
      </c>
      <c r="M74" s="14" t="s">
        <v>164</v>
      </c>
      <c r="N74" s="14" t="s">
        <v>165</v>
      </c>
      <c r="O74" s="13">
        <v>10</v>
      </c>
      <c r="P74" s="61">
        <v>2800</v>
      </c>
      <c r="Q74" s="62">
        <v>20</v>
      </c>
      <c r="R74" s="13">
        <v>18</v>
      </c>
      <c r="S74" s="16">
        <v>26432</v>
      </c>
      <c r="T74" s="14" t="s">
        <v>153</v>
      </c>
      <c r="U74" s="14" t="s">
        <v>70</v>
      </c>
      <c r="V74" s="14" t="s">
        <v>155</v>
      </c>
    </row>
    <row r="75" spans="1:22" ht="15.75" customHeight="1">
      <c r="A75" s="17" t="s">
        <v>586</v>
      </c>
      <c r="B75" s="18" t="s">
        <v>2462</v>
      </c>
      <c r="C75" s="18" t="s">
        <v>2415</v>
      </c>
      <c r="D75" s="17" t="s">
        <v>588</v>
      </c>
      <c r="E75" s="18" t="s">
        <v>589</v>
      </c>
      <c r="F75" s="18" t="s">
        <v>590</v>
      </c>
      <c r="G75" s="18" t="s">
        <v>228</v>
      </c>
      <c r="H75" s="17" t="s">
        <v>152</v>
      </c>
      <c r="I75" s="17" t="s">
        <v>80</v>
      </c>
      <c r="J75" s="17" t="s">
        <v>162</v>
      </c>
      <c r="K75" s="18" t="s">
        <v>163</v>
      </c>
      <c r="L75" s="18" t="s">
        <v>99</v>
      </c>
      <c r="M75" s="18" t="s">
        <v>164</v>
      </c>
      <c r="N75" s="18" t="s">
        <v>165</v>
      </c>
      <c r="O75" s="17">
        <v>8</v>
      </c>
      <c r="P75" s="59">
        <v>2800</v>
      </c>
      <c r="Q75" s="60">
        <v>15</v>
      </c>
      <c r="R75" s="17">
        <v>18</v>
      </c>
      <c r="S75" s="19">
        <v>22467</v>
      </c>
      <c r="T75" s="18" t="s">
        <v>102</v>
      </c>
      <c r="U75" s="18" t="s">
        <v>70</v>
      </c>
      <c r="V75" s="18" t="s">
        <v>212</v>
      </c>
    </row>
    <row r="76" spans="1:22" ht="15.75" customHeight="1">
      <c r="A76" s="13" t="s">
        <v>591</v>
      </c>
      <c r="B76" s="14" t="s">
        <v>2463</v>
      </c>
      <c r="C76" s="14" t="s">
        <v>337</v>
      </c>
      <c r="D76" s="13" t="s">
        <v>593</v>
      </c>
      <c r="E76" s="14" t="s">
        <v>574</v>
      </c>
      <c r="F76" s="14" t="s">
        <v>594</v>
      </c>
      <c r="G76" s="14" t="s">
        <v>151</v>
      </c>
      <c r="H76" s="13" t="s">
        <v>152</v>
      </c>
      <c r="I76" s="13" t="s">
        <v>80</v>
      </c>
      <c r="J76" s="13" t="s">
        <v>595</v>
      </c>
      <c r="K76" s="14" t="s">
        <v>596</v>
      </c>
      <c r="L76" s="14" t="s">
        <v>112</v>
      </c>
      <c r="M76" s="14" t="s">
        <v>240</v>
      </c>
      <c r="N76" s="14" t="s">
        <v>597</v>
      </c>
      <c r="O76" s="13">
        <v>5</v>
      </c>
      <c r="P76" s="61">
        <v>1200</v>
      </c>
      <c r="Q76" s="62">
        <v>20</v>
      </c>
      <c r="R76" s="13">
        <v>5</v>
      </c>
      <c r="S76" s="16">
        <v>5040</v>
      </c>
      <c r="T76" s="14" t="s">
        <v>127</v>
      </c>
      <c r="U76" s="14" t="s">
        <v>211</v>
      </c>
      <c r="V76" s="14" t="s">
        <v>212</v>
      </c>
    </row>
    <row r="77" spans="1:22" ht="15.75" customHeight="1">
      <c r="A77" s="17" t="s">
        <v>598</v>
      </c>
      <c r="B77" s="18" t="s">
        <v>157</v>
      </c>
      <c r="C77" s="18" t="s">
        <v>416</v>
      </c>
      <c r="D77" s="17" t="s">
        <v>600</v>
      </c>
      <c r="E77" s="18" t="s">
        <v>601</v>
      </c>
      <c r="F77" s="18" t="s">
        <v>602</v>
      </c>
      <c r="G77" s="18" t="s">
        <v>78</v>
      </c>
      <c r="H77" s="17" t="s">
        <v>79</v>
      </c>
      <c r="I77" s="17" t="s">
        <v>80</v>
      </c>
      <c r="J77" s="17" t="s">
        <v>257</v>
      </c>
      <c r="K77" s="18" t="s">
        <v>2418</v>
      </c>
      <c r="L77" s="18" t="s">
        <v>139</v>
      </c>
      <c r="M77" s="18" t="s">
        <v>259</v>
      </c>
      <c r="N77" s="18" t="s">
        <v>260</v>
      </c>
      <c r="O77" s="17">
        <v>1</v>
      </c>
      <c r="P77" s="59">
        <v>299</v>
      </c>
      <c r="Q77" s="60">
        <v>20</v>
      </c>
      <c r="R77" s="17">
        <v>18</v>
      </c>
      <c r="S77" s="19">
        <v>282</v>
      </c>
      <c r="T77" s="18" t="s">
        <v>115</v>
      </c>
      <c r="U77" s="18" t="s">
        <v>211</v>
      </c>
      <c r="V77" s="18" t="s">
        <v>212</v>
      </c>
    </row>
    <row r="78" spans="1:22" ht="15.75" customHeight="1">
      <c r="A78" s="13" t="s">
        <v>603</v>
      </c>
      <c r="B78" s="14" t="s">
        <v>2464</v>
      </c>
      <c r="C78" s="14" t="s">
        <v>2465</v>
      </c>
      <c r="D78" s="13" t="s">
        <v>606</v>
      </c>
      <c r="E78" s="14" t="s">
        <v>607</v>
      </c>
      <c r="F78" s="14" t="s">
        <v>608</v>
      </c>
      <c r="G78" s="14" t="s">
        <v>181</v>
      </c>
      <c r="H78" s="13" t="s">
        <v>182</v>
      </c>
      <c r="I78" s="13" t="s">
        <v>123</v>
      </c>
      <c r="J78" s="13" t="s">
        <v>81</v>
      </c>
      <c r="K78" s="14" t="s">
        <v>82</v>
      </c>
      <c r="L78" s="14" t="s">
        <v>83</v>
      </c>
      <c r="M78" s="14" t="s">
        <v>84</v>
      </c>
      <c r="N78" s="14" t="s">
        <v>85</v>
      </c>
      <c r="O78" s="13">
        <v>1</v>
      </c>
      <c r="P78" s="61">
        <v>25000</v>
      </c>
      <c r="Q78" s="62">
        <v>0</v>
      </c>
      <c r="R78" s="13">
        <v>3</v>
      </c>
      <c r="S78" s="16">
        <v>25750</v>
      </c>
      <c r="T78" s="14" t="s">
        <v>127</v>
      </c>
      <c r="U78" s="14" t="s">
        <v>211</v>
      </c>
      <c r="V78" s="14" t="s">
        <v>155</v>
      </c>
    </row>
    <row r="79" spans="1:22" ht="15.75" customHeight="1">
      <c r="A79" s="17" t="s">
        <v>609</v>
      </c>
      <c r="B79" s="18" t="s">
        <v>727</v>
      </c>
      <c r="C79" s="18" t="s">
        <v>2430</v>
      </c>
      <c r="D79" s="17" t="s">
        <v>611</v>
      </c>
      <c r="E79" s="18" t="s">
        <v>612</v>
      </c>
      <c r="F79" s="18" t="s">
        <v>613</v>
      </c>
      <c r="G79" s="18" t="s">
        <v>228</v>
      </c>
      <c r="H79" s="17" t="s">
        <v>152</v>
      </c>
      <c r="I79" s="17" t="s">
        <v>80</v>
      </c>
      <c r="J79" s="17" t="s">
        <v>389</v>
      </c>
      <c r="K79" s="18" t="s">
        <v>390</v>
      </c>
      <c r="L79" s="18" t="s">
        <v>99</v>
      </c>
      <c r="M79" s="18" t="s">
        <v>164</v>
      </c>
      <c r="N79" s="18" t="s">
        <v>391</v>
      </c>
      <c r="O79" s="17">
        <v>3</v>
      </c>
      <c r="P79" s="59">
        <v>1500</v>
      </c>
      <c r="Q79" s="60">
        <v>15</v>
      </c>
      <c r="R79" s="17">
        <v>18</v>
      </c>
      <c r="S79" s="19">
        <v>4514</v>
      </c>
      <c r="T79" s="18" t="s">
        <v>115</v>
      </c>
      <c r="U79" s="18" t="s">
        <v>184</v>
      </c>
      <c r="V79" s="18" t="s">
        <v>212</v>
      </c>
    </row>
    <row r="80" spans="1:22" ht="15.75" customHeight="1">
      <c r="A80" s="13" t="s">
        <v>615</v>
      </c>
      <c r="B80" s="14" t="s">
        <v>2466</v>
      </c>
      <c r="C80" s="14" t="s">
        <v>372</v>
      </c>
      <c r="D80" s="13" t="s">
        <v>617</v>
      </c>
      <c r="E80" s="14" t="s">
        <v>618</v>
      </c>
      <c r="F80" s="14" t="s">
        <v>619</v>
      </c>
      <c r="G80" s="14" t="s">
        <v>61</v>
      </c>
      <c r="H80" s="13" t="s">
        <v>62</v>
      </c>
      <c r="I80" s="13" t="s">
        <v>63</v>
      </c>
      <c r="J80" s="13" t="s">
        <v>64</v>
      </c>
      <c r="K80" s="14" t="s">
        <v>2389</v>
      </c>
      <c r="L80" s="14" t="s">
        <v>66</v>
      </c>
      <c r="M80" s="14" t="s">
        <v>67</v>
      </c>
      <c r="N80" s="14" t="s">
        <v>68</v>
      </c>
      <c r="O80" s="13">
        <v>1</v>
      </c>
      <c r="P80" s="61">
        <v>450</v>
      </c>
      <c r="Q80" s="62">
        <v>12</v>
      </c>
      <c r="R80" s="13">
        <v>5</v>
      </c>
      <c r="S80" s="16">
        <v>416</v>
      </c>
      <c r="T80" s="14" t="s">
        <v>127</v>
      </c>
      <c r="U80" s="14" t="s">
        <v>143</v>
      </c>
      <c r="V80" s="14" t="s">
        <v>212</v>
      </c>
    </row>
    <row r="81" spans="1:22" ht="15.75" customHeight="1">
      <c r="A81" s="17" t="s">
        <v>620</v>
      </c>
      <c r="B81" s="18" t="s">
        <v>308</v>
      </c>
      <c r="C81" s="18" t="s">
        <v>2453</v>
      </c>
      <c r="D81" s="17" t="s">
        <v>622</v>
      </c>
      <c r="E81" s="18" t="s">
        <v>623</v>
      </c>
      <c r="F81" s="18" t="s">
        <v>624</v>
      </c>
      <c r="G81" s="18" t="s">
        <v>172</v>
      </c>
      <c r="H81" s="17" t="s">
        <v>96</v>
      </c>
      <c r="I81" s="17" t="s">
        <v>63</v>
      </c>
      <c r="J81" s="17" t="s">
        <v>595</v>
      </c>
      <c r="K81" s="18" t="s">
        <v>596</v>
      </c>
      <c r="L81" s="18" t="s">
        <v>112</v>
      </c>
      <c r="M81" s="18" t="s">
        <v>240</v>
      </c>
      <c r="N81" s="18" t="s">
        <v>597</v>
      </c>
      <c r="O81" s="17">
        <v>10</v>
      </c>
      <c r="P81" s="59">
        <v>1200</v>
      </c>
      <c r="Q81" s="60">
        <v>5</v>
      </c>
      <c r="R81" s="17">
        <v>5</v>
      </c>
      <c r="S81" s="19">
        <v>11970</v>
      </c>
      <c r="T81" s="18" t="s">
        <v>153</v>
      </c>
      <c r="U81" s="18" t="s">
        <v>70</v>
      </c>
      <c r="V81" s="18" t="s">
        <v>212</v>
      </c>
    </row>
    <row r="82" spans="1:22" ht="15.75" customHeight="1">
      <c r="A82" s="13" t="s">
        <v>625</v>
      </c>
      <c r="B82" s="14" t="s">
        <v>2397</v>
      </c>
      <c r="C82" s="14" t="s">
        <v>627</v>
      </c>
      <c r="D82" s="13" t="s">
        <v>628</v>
      </c>
      <c r="E82" s="14" t="s">
        <v>629</v>
      </c>
      <c r="F82" s="14" t="s">
        <v>630</v>
      </c>
      <c r="G82" s="14" t="s">
        <v>228</v>
      </c>
      <c r="H82" s="13" t="s">
        <v>152</v>
      </c>
      <c r="I82" s="13" t="s">
        <v>80</v>
      </c>
      <c r="J82" s="13" t="s">
        <v>312</v>
      </c>
      <c r="K82" s="14" t="s">
        <v>313</v>
      </c>
      <c r="L82" s="14" t="s">
        <v>66</v>
      </c>
      <c r="M82" s="14" t="s">
        <v>199</v>
      </c>
      <c r="N82" s="14" t="s">
        <v>314</v>
      </c>
      <c r="O82" s="13">
        <v>10</v>
      </c>
      <c r="P82" s="61">
        <v>40</v>
      </c>
      <c r="Q82" s="62">
        <v>20</v>
      </c>
      <c r="R82" s="13">
        <v>5</v>
      </c>
      <c r="S82" s="16">
        <v>336</v>
      </c>
      <c r="T82" s="14" t="s">
        <v>153</v>
      </c>
      <c r="U82" s="14" t="s">
        <v>211</v>
      </c>
      <c r="V82" s="14" t="s">
        <v>212</v>
      </c>
    </row>
    <row r="83" spans="1:22" ht="15.75" customHeight="1">
      <c r="A83" s="17" t="s">
        <v>632</v>
      </c>
      <c r="B83" s="18" t="s">
        <v>2390</v>
      </c>
      <c r="C83" s="18" t="s">
        <v>2278</v>
      </c>
      <c r="D83" s="17" t="s">
        <v>634</v>
      </c>
      <c r="E83" s="18" t="s">
        <v>635</v>
      </c>
      <c r="F83" s="18" t="s">
        <v>636</v>
      </c>
      <c r="G83" s="18" t="s">
        <v>181</v>
      </c>
      <c r="H83" s="17" t="s">
        <v>182</v>
      </c>
      <c r="I83" s="17" t="s">
        <v>123</v>
      </c>
      <c r="J83" s="17" t="s">
        <v>81</v>
      </c>
      <c r="K83" s="18" t="s">
        <v>82</v>
      </c>
      <c r="L83" s="18" t="s">
        <v>83</v>
      </c>
      <c r="M83" s="18" t="s">
        <v>84</v>
      </c>
      <c r="N83" s="18" t="s">
        <v>85</v>
      </c>
      <c r="O83" s="17">
        <v>6</v>
      </c>
      <c r="P83" s="59">
        <v>25000</v>
      </c>
      <c r="Q83" s="60">
        <v>20</v>
      </c>
      <c r="R83" s="17">
        <v>3</v>
      </c>
      <c r="S83" s="19">
        <v>123600</v>
      </c>
      <c r="T83" s="18" t="s">
        <v>115</v>
      </c>
      <c r="U83" s="18" t="s">
        <v>70</v>
      </c>
      <c r="V83" s="18" t="s">
        <v>155</v>
      </c>
    </row>
    <row r="84" spans="1:22" ht="15.75" customHeight="1">
      <c r="A84" s="13" t="s">
        <v>637</v>
      </c>
      <c r="B84" s="14" t="s">
        <v>2467</v>
      </c>
      <c r="C84" s="14" t="s">
        <v>639</v>
      </c>
      <c r="D84" s="13" t="s">
        <v>640</v>
      </c>
      <c r="E84" s="14" t="s">
        <v>641</v>
      </c>
      <c r="F84" s="14" t="s">
        <v>642</v>
      </c>
      <c r="G84" s="14" t="s">
        <v>61</v>
      </c>
      <c r="H84" s="13" t="s">
        <v>62</v>
      </c>
      <c r="I84" s="13" t="s">
        <v>63</v>
      </c>
      <c r="J84" s="13" t="s">
        <v>97</v>
      </c>
      <c r="K84" s="14" t="s">
        <v>2395</v>
      </c>
      <c r="L84" s="14" t="s">
        <v>99</v>
      </c>
      <c r="M84" s="14" t="s">
        <v>100</v>
      </c>
      <c r="N84" s="14" t="s">
        <v>2396</v>
      </c>
      <c r="O84" s="13">
        <v>4</v>
      </c>
      <c r="P84" s="61">
        <v>28000</v>
      </c>
      <c r="Q84" s="62">
        <v>5</v>
      </c>
      <c r="R84" s="13">
        <v>18</v>
      </c>
      <c r="S84" s="16">
        <v>125552</v>
      </c>
      <c r="T84" s="14" t="s">
        <v>465</v>
      </c>
      <c r="U84" s="14" t="s">
        <v>70</v>
      </c>
      <c r="V84" s="14" t="s">
        <v>155</v>
      </c>
    </row>
    <row r="85" spans="1:22" ht="15.75" customHeight="1">
      <c r="A85" s="17" t="s">
        <v>643</v>
      </c>
      <c r="B85" s="18" t="s">
        <v>2468</v>
      </c>
      <c r="C85" s="18" t="s">
        <v>372</v>
      </c>
      <c r="D85" s="17" t="s">
        <v>645</v>
      </c>
      <c r="E85" s="18" t="s">
        <v>2469</v>
      </c>
      <c r="F85" s="18" t="s">
        <v>647</v>
      </c>
      <c r="G85" s="18" t="s">
        <v>228</v>
      </c>
      <c r="H85" s="17" t="s">
        <v>152</v>
      </c>
      <c r="I85" s="17" t="s">
        <v>80</v>
      </c>
      <c r="J85" s="17" t="s">
        <v>64</v>
      </c>
      <c r="K85" s="18" t="s">
        <v>2389</v>
      </c>
      <c r="L85" s="18" t="s">
        <v>66</v>
      </c>
      <c r="M85" s="18" t="s">
        <v>67</v>
      </c>
      <c r="N85" s="18" t="s">
        <v>68</v>
      </c>
      <c r="O85" s="17">
        <v>5</v>
      </c>
      <c r="P85" s="59">
        <v>450</v>
      </c>
      <c r="Q85" s="60">
        <v>15</v>
      </c>
      <c r="R85" s="17">
        <v>5</v>
      </c>
      <c r="S85" s="19">
        <v>2008</v>
      </c>
      <c r="T85" s="18" t="s">
        <v>153</v>
      </c>
      <c r="U85" s="18" t="s">
        <v>70</v>
      </c>
      <c r="V85" s="18" t="s">
        <v>212</v>
      </c>
    </row>
    <row r="86" spans="1:22" ht="15.75" customHeight="1">
      <c r="A86" s="13" t="s">
        <v>648</v>
      </c>
      <c r="B86" s="14" t="s">
        <v>2397</v>
      </c>
      <c r="C86" s="14" t="s">
        <v>2400</v>
      </c>
      <c r="D86" s="13" t="s">
        <v>650</v>
      </c>
      <c r="E86" s="14" t="s">
        <v>651</v>
      </c>
      <c r="F86" s="14" t="s">
        <v>652</v>
      </c>
      <c r="G86" s="14" t="s">
        <v>439</v>
      </c>
      <c r="H86" s="13" t="s">
        <v>364</v>
      </c>
      <c r="I86" s="13" t="s">
        <v>63</v>
      </c>
      <c r="J86" s="13" t="s">
        <v>197</v>
      </c>
      <c r="K86" s="14" t="s">
        <v>198</v>
      </c>
      <c r="L86" s="14" t="s">
        <v>66</v>
      </c>
      <c r="M86" s="14" t="s">
        <v>199</v>
      </c>
      <c r="N86" s="14" t="s">
        <v>200</v>
      </c>
      <c r="O86" s="13">
        <v>7</v>
      </c>
      <c r="P86" s="61">
        <v>50</v>
      </c>
      <c r="Q86" s="62">
        <v>10</v>
      </c>
      <c r="R86" s="13">
        <v>5</v>
      </c>
      <c r="S86" s="16">
        <v>331</v>
      </c>
      <c r="T86" s="14" t="s">
        <v>115</v>
      </c>
      <c r="U86" s="14" t="s">
        <v>211</v>
      </c>
      <c r="V86" s="14" t="s">
        <v>212</v>
      </c>
    </row>
    <row r="87" spans="1:22" ht="15.75" customHeight="1">
      <c r="A87" s="17" t="s">
        <v>653</v>
      </c>
      <c r="B87" s="18" t="s">
        <v>2470</v>
      </c>
      <c r="C87" s="18" t="s">
        <v>461</v>
      </c>
      <c r="D87" s="17" t="s">
        <v>655</v>
      </c>
      <c r="E87" s="18" t="s">
        <v>656</v>
      </c>
      <c r="F87" s="18" t="s">
        <v>657</v>
      </c>
      <c r="G87" s="18" t="s">
        <v>341</v>
      </c>
      <c r="H87" s="17" t="s">
        <v>62</v>
      </c>
      <c r="I87" s="17" t="s">
        <v>63</v>
      </c>
      <c r="J87" s="17" t="s">
        <v>491</v>
      </c>
      <c r="K87" s="18" t="s">
        <v>492</v>
      </c>
      <c r="L87" s="18" t="s">
        <v>112</v>
      </c>
      <c r="M87" s="18" t="s">
        <v>493</v>
      </c>
      <c r="N87" s="18" t="s">
        <v>494</v>
      </c>
      <c r="O87" s="17">
        <v>10</v>
      </c>
      <c r="P87" s="59">
        <v>4500</v>
      </c>
      <c r="Q87" s="60">
        <v>10</v>
      </c>
      <c r="R87" s="17">
        <v>5</v>
      </c>
      <c r="S87" s="19">
        <v>42525</v>
      </c>
      <c r="T87" s="18" t="s">
        <v>465</v>
      </c>
      <c r="U87" s="18" t="s">
        <v>70</v>
      </c>
      <c r="V87" s="18" t="s">
        <v>155</v>
      </c>
    </row>
    <row r="88" spans="1:22" ht="15.75" customHeight="1">
      <c r="A88" s="13" t="s">
        <v>658</v>
      </c>
      <c r="B88" s="14" t="s">
        <v>2015</v>
      </c>
      <c r="C88" s="14" t="s">
        <v>2450</v>
      </c>
      <c r="D88" s="13" t="s">
        <v>660</v>
      </c>
      <c r="E88" s="14" t="s">
        <v>449</v>
      </c>
      <c r="F88" s="14" t="s">
        <v>661</v>
      </c>
      <c r="G88" s="14" t="s">
        <v>248</v>
      </c>
      <c r="H88" s="13" t="s">
        <v>249</v>
      </c>
      <c r="I88" s="13" t="s">
        <v>123</v>
      </c>
      <c r="J88" s="13" t="s">
        <v>376</v>
      </c>
      <c r="K88" s="14" t="s">
        <v>377</v>
      </c>
      <c r="L88" s="14" t="s">
        <v>112</v>
      </c>
      <c r="M88" s="14" t="s">
        <v>113</v>
      </c>
      <c r="N88" s="14" t="s">
        <v>378</v>
      </c>
      <c r="O88" s="13">
        <v>8</v>
      </c>
      <c r="P88" s="61">
        <v>8500</v>
      </c>
      <c r="Q88" s="62">
        <v>15</v>
      </c>
      <c r="R88" s="13">
        <v>18</v>
      </c>
      <c r="S88" s="16">
        <v>68204</v>
      </c>
      <c r="T88" s="14" t="s">
        <v>465</v>
      </c>
      <c r="U88" s="14" t="s">
        <v>70</v>
      </c>
      <c r="V88" s="14" t="s">
        <v>155</v>
      </c>
    </row>
    <row r="89" spans="1:22" ht="15.75" customHeight="1">
      <c r="A89" s="17" t="s">
        <v>662</v>
      </c>
      <c r="B89" s="18" t="s">
        <v>2471</v>
      </c>
      <c r="C89" s="18" t="s">
        <v>291</v>
      </c>
      <c r="D89" s="17" t="s">
        <v>663</v>
      </c>
      <c r="E89" s="18" t="s">
        <v>664</v>
      </c>
      <c r="F89" s="18" t="s">
        <v>665</v>
      </c>
      <c r="G89" s="18" t="s">
        <v>248</v>
      </c>
      <c r="H89" s="17" t="s">
        <v>249</v>
      </c>
      <c r="I89" s="17" t="s">
        <v>123</v>
      </c>
      <c r="J89" s="17" t="s">
        <v>110</v>
      </c>
      <c r="K89" s="18" t="s">
        <v>111</v>
      </c>
      <c r="L89" s="18" t="s">
        <v>112</v>
      </c>
      <c r="M89" s="18" t="s">
        <v>113</v>
      </c>
      <c r="N89" s="18" t="s">
        <v>114</v>
      </c>
      <c r="O89" s="17">
        <v>5</v>
      </c>
      <c r="P89" s="59">
        <v>3500</v>
      </c>
      <c r="Q89" s="60">
        <v>25</v>
      </c>
      <c r="R89" s="17">
        <v>18</v>
      </c>
      <c r="S89" s="19">
        <v>15488</v>
      </c>
      <c r="T89" s="18" t="s">
        <v>153</v>
      </c>
      <c r="U89" s="18" t="s">
        <v>211</v>
      </c>
      <c r="V89" s="18" t="s">
        <v>155</v>
      </c>
    </row>
    <row r="90" spans="1:22" ht="15.75" customHeight="1">
      <c r="A90" s="13" t="s">
        <v>666</v>
      </c>
      <c r="B90" s="14" t="s">
        <v>2419</v>
      </c>
      <c r="C90" s="14" t="s">
        <v>2432</v>
      </c>
      <c r="D90" s="13" t="s">
        <v>668</v>
      </c>
      <c r="E90" s="14" t="s">
        <v>345</v>
      </c>
      <c r="F90" s="14" t="s">
        <v>669</v>
      </c>
      <c r="G90" s="14" t="s">
        <v>172</v>
      </c>
      <c r="H90" s="13" t="s">
        <v>96</v>
      </c>
      <c r="I90" s="13" t="s">
        <v>63</v>
      </c>
      <c r="J90" s="13" t="s">
        <v>295</v>
      </c>
      <c r="K90" s="14" t="s">
        <v>2425</v>
      </c>
      <c r="L90" s="14" t="s">
        <v>66</v>
      </c>
      <c r="M90" s="14" t="s">
        <v>297</v>
      </c>
      <c r="N90" s="14" t="s">
        <v>298</v>
      </c>
      <c r="O90" s="13">
        <v>6</v>
      </c>
      <c r="P90" s="61">
        <v>280</v>
      </c>
      <c r="Q90" s="62">
        <v>80</v>
      </c>
      <c r="R90" s="13">
        <v>5</v>
      </c>
      <c r="S90" s="16">
        <v>353</v>
      </c>
      <c r="T90" s="14" t="s">
        <v>153</v>
      </c>
      <c r="U90" s="14" t="s">
        <v>288</v>
      </c>
      <c r="V90" s="14" t="s">
        <v>212</v>
      </c>
    </row>
    <row r="91" spans="1:22" ht="15.75" customHeight="1">
      <c r="A91" s="17" t="s">
        <v>670</v>
      </c>
      <c r="B91" s="18" t="s">
        <v>352</v>
      </c>
      <c r="C91" s="18" t="s">
        <v>2417</v>
      </c>
      <c r="D91" s="17" t="s">
        <v>672</v>
      </c>
      <c r="E91" s="18" t="s">
        <v>255</v>
      </c>
      <c r="F91" s="18" t="s">
        <v>2394</v>
      </c>
      <c r="G91" s="18" t="s">
        <v>122</v>
      </c>
      <c r="H91" s="17" t="s">
        <v>122</v>
      </c>
      <c r="I91" s="17" t="s">
        <v>123</v>
      </c>
      <c r="J91" s="17" t="s">
        <v>238</v>
      </c>
      <c r="K91" s="18" t="s">
        <v>2412</v>
      </c>
      <c r="L91" s="18" t="s">
        <v>112</v>
      </c>
      <c r="M91" s="18" t="s">
        <v>240</v>
      </c>
      <c r="N91" s="18" t="s">
        <v>2413</v>
      </c>
      <c r="O91" s="17">
        <v>2</v>
      </c>
      <c r="P91" s="59">
        <v>2500</v>
      </c>
      <c r="Q91" s="60">
        <v>10</v>
      </c>
      <c r="R91" s="17">
        <v>5</v>
      </c>
      <c r="S91" s="19">
        <v>4725</v>
      </c>
      <c r="T91" s="18" t="s">
        <v>102</v>
      </c>
      <c r="U91" s="18" t="s">
        <v>211</v>
      </c>
      <c r="V91" s="18" t="s">
        <v>212</v>
      </c>
    </row>
    <row r="92" spans="1:22" ht="15.75" customHeight="1">
      <c r="A92" s="13" t="s">
        <v>674</v>
      </c>
      <c r="B92" s="14" t="s">
        <v>2457</v>
      </c>
      <c r="C92" s="14" t="s">
        <v>461</v>
      </c>
      <c r="D92" s="13" t="s">
        <v>676</v>
      </c>
      <c r="E92" s="14" t="s">
        <v>2472</v>
      </c>
      <c r="F92" s="14" t="s">
        <v>677</v>
      </c>
      <c r="G92" s="14" t="s">
        <v>228</v>
      </c>
      <c r="H92" s="13" t="s">
        <v>152</v>
      </c>
      <c r="I92" s="13" t="s">
        <v>80</v>
      </c>
      <c r="J92" s="13" t="s">
        <v>295</v>
      </c>
      <c r="K92" s="14" t="s">
        <v>2425</v>
      </c>
      <c r="L92" s="14" t="s">
        <v>66</v>
      </c>
      <c r="M92" s="14" t="s">
        <v>297</v>
      </c>
      <c r="N92" s="14" t="s">
        <v>298</v>
      </c>
      <c r="O92" s="13">
        <v>9</v>
      </c>
      <c r="P92" s="61">
        <v>280</v>
      </c>
      <c r="Q92" s="62">
        <v>25</v>
      </c>
      <c r="R92" s="13">
        <v>5</v>
      </c>
      <c r="S92" s="16">
        <v>1984</v>
      </c>
      <c r="T92" s="14" t="s">
        <v>127</v>
      </c>
      <c r="U92" s="14" t="s">
        <v>143</v>
      </c>
      <c r="V92" s="14" t="s">
        <v>155</v>
      </c>
    </row>
    <row r="93" spans="1:22" ht="15.75" customHeight="1">
      <c r="A93" s="17" t="s">
        <v>678</v>
      </c>
      <c r="B93" s="18" t="s">
        <v>1395</v>
      </c>
      <c r="C93" s="18" t="s">
        <v>106</v>
      </c>
      <c r="D93" s="17" t="s">
        <v>680</v>
      </c>
      <c r="E93" s="18" t="s">
        <v>281</v>
      </c>
      <c r="F93" s="18" t="s">
        <v>2394</v>
      </c>
      <c r="G93" s="18" t="s">
        <v>122</v>
      </c>
      <c r="H93" s="17" t="s">
        <v>122</v>
      </c>
      <c r="I93" s="17" t="s">
        <v>123</v>
      </c>
      <c r="J93" s="17" t="s">
        <v>110</v>
      </c>
      <c r="K93" s="18" t="s">
        <v>111</v>
      </c>
      <c r="L93" s="18" t="s">
        <v>112</v>
      </c>
      <c r="M93" s="18" t="s">
        <v>113</v>
      </c>
      <c r="N93" s="18" t="s">
        <v>114</v>
      </c>
      <c r="O93" s="17">
        <v>6</v>
      </c>
      <c r="P93" s="59">
        <v>3500</v>
      </c>
      <c r="Q93" s="60">
        <v>5</v>
      </c>
      <c r="R93" s="17">
        <v>18</v>
      </c>
      <c r="S93" s="19">
        <v>23541</v>
      </c>
      <c r="T93" s="18" t="s">
        <v>413</v>
      </c>
      <c r="U93" s="18" t="s">
        <v>70</v>
      </c>
      <c r="V93" s="18" t="s">
        <v>212</v>
      </c>
    </row>
    <row r="94" spans="1:22" ht="15.75" customHeight="1">
      <c r="A94" s="13" t="s">
        <v>681</v>
      </c>
      <c r="B94" s="14" t="s">
        <v>2397</v>
      </c>
      <c r="C94" s="14" t="s">
        <v>264</v>
      </c>
      <c r="D94" s="13" t="s">
        <v>683</v>
      </c>
      <c r="E94" s="14" t="s">
        <v>302</v>
      </c>
      <c r="F94" s="14" t="s">
        <v>684</v>
      </c>
      <c r="G94" s="14" t="s">
        <v>341</v>
      </c>
      <c r="H94" s="13" t="s">
        <v>62</v>
      </c>
      <c r="I94" s="13" t="s">
        <v>63</v>
      </c>
      <c r="J94" s="13" t="s">
        <v>197</v>
      </c>
      <c r="K94" s="14" t="s">
        <v>198</v>
      </c>
      <c r="L94" s="14" t="s">
        <v>66</v>
      </c>
      <c r="M94" s="14" t="s">
        <v>199</v>
      </c>
      <c r="N94" s="14" t="s">
        <v>200</v>
      </c>
      <c r="O94" s="13">
        <v>7</v>
      </c>
      <c r="P94" s="61">
        <v>50</v>
      </c>
      <c r="Q94" s="62">
        <v>5</v>
      </c>
      <c r="R94" s="13">
        <v>5</v>
      </c>
      <c r="S94" s="16">
        <v>349</v>
      </c>
      <c r="T94" s="14" t="s">
        <v>115</v>
      </c>
      <c r="U94" s="14" t="s">
        <v>211</v>
      </c>
      <c r="V94" s="14" t="s">
        <v>155</v>
      </c>
    </row>
    <row r="95" spans="1:22" ht="15.75" customHeight="1">
      <c r="A95" s="17" t="s">
        <v>685</v>
      </c>
      <c r="B95" s="18" t="s">
        <v>2473</v>
      </c>
      <c r="C95" s="18" t="s">
        <v>168</v>
      </c>
      <c r="D95" s="17" t="s">
        <v>687</v>
      </c>
      <c r="E95" s="18" t="s">
        <v>688</v>
      </c>
      <c r="F95" s="18" t="s">
        <v>689</v>
      </c>
      <c r="G95" s="18" t="s">
        <v>122</v>
      </c>
      <c r="H95" s="17" t="s">
        <v>122</v>
      </c>
      <c r="I95" s="17" t="s">
        <v>123</v>
      </c>
      <c r="J95" s="17" t="s">
        <v>97</v>
      </c>
      <c r="K95" s="18" t="s">
        <v>2395</v>
      </c>
      <c r="L95" s="18" t="s">
        <v>99</v>
      </c>
      <c r="M95" s="18" t="s">
        <v>100</v>
      </c>
      <c r="N95" s="18" t="s">
        <v>2396</v>
      </c>
      <c r="O95" s="17">
        <v>9</v>
      </c>
      <c r="P95" s="59">
        <v>28000</v>
      </c>
      <c r="Q95" s="60">
        <v>12</v>
      </c>
      <c r="R95" s="17">
        <v>18</v>
      </c>
      <c r="S95" s="19">
        <v>261677</v>
      </c>
      <c r="T95" s="18" t="s">
        <v>153</v>
      </c>
      <c r="U95" s="18" t="s">
        <v>70</v>
      </c>
      <c r="V95" s="18" t="s">
        <v>212</v>
      </c>
    </row>
    <row r="96" spans="1:22" ht="15.75" customHeight="1">
      <c r="A96" s="13" t="s">
        <v>690</v>
      </c>
      <c r="B96" s="14" t="s">
        <v>1981</v>
      </c>
      <c r="C96" s="14" t="s">
        <v>2459</v>
      </c>
      <c r="D96" s="13" t="s">
        <v>692</v>
      </c>
      <c r="E96" s="14" t="s">
        <v>693</v>
      </c>
      <c r="F96" s="14" t="s">
        <v>694</v>
      </c>
      <c r="G96" s="14" t="s">
        <v>172</v>
      </c>
      <c r="H96" s="13" t="s">
        <v>96</v>
      </c>
      <c r="I96" s="13" t="s">
        <v>63</v>
      </c>
      <c r="J96" s="13" t="s">
        <v>365</v>
      </c>
      <c r="K96" s="14" t="s">
        <v>366</v>
      </c>
      <c r="L96" s="14" t="s">
        <v>112</v>
      </c>
      <c r="M96" s="14" t="s">
        <v>367</v>
      </c>
      <c r="N96" s="14" t="s">
        <v>368</v>
      </c>
      <c r="O96" s="13">
        <v>8</v>
      </c>
      <c r="P96" s="61">
        <v>3500</v>
      </c>
      <c r="Q96" s="62">
        <v>20</v>
      </c>
      <c r="R96" s="13">
        <v>5</v>
      </c>
      <c r="S96" s="16">
        <v>23520</v>
      </c>
      <c r="T96" s="14" t="s">
        <v>465</v>
      </c>
      <c r="U96" s="14" t="s">
        <v>211</v>
      </c>
      <c r="V96" s="14" t="s">
        <v>155</v>
      </c>
    </row>
    <row r="97" spans="1:22" ht="15.75" customHeight="1">
      <c r="A97" s="17" t="s">
        <v>695</v>
      </c>
      <c r="B97" s="18" t="s">
        <v>2474</v>
      </c>
      <c r="C97" s="18" t="s">
        <v>2442</v>
      </c>
      <c r="D97" s="17" t="s">
        <v>697</v>
      </c>
      <c r="E97" s="18" t="s">
        <v>698</v>
      </c>
      <c r="F97" s="18" t="s">
        <v>699</v>
      </c>
      <c r="G97" s="18" t="s">
        <v>333</v>
      </c>
      <c r="H97" s="17" t="s">
        <v>334</v>
      </c>
      <c r="I97" s="17" t="s">
        <v>63</v>
      </c>
      <c r="J97" s="17" t="s">
        <v>365</v>
      </c>
      <c r="K97" s="18" t="s">
        <v>366</v>
      </c>
      <c r="L97" s="18" t="s">
        <v>112</v>
      </c>
      <c r="M97" s="18" t="s">
        <v>367</v>
      </c>
      <c r="N97" s="18" t="s">
        <v>368</v>
      </c>
      <c r="O97" s="17">
        <v>6</v>
      </c>
      <c r="P97" s="59">
        <v>3500</v>
      </c>
      <c r="Q97" s="60">
        <v>10</v>
      </c>
      <c r="R97" s="17">
        <v>5</v>
      </c>
      <c r="S97" s="19">
        <v>19845</v>
      </c>
      <c r="T97" s="18" t="s">
        <v>153</v>
      </c>
      <c r="U97" s="18" t="s">
        <v>211</v>
      </c>
      <c r="V97" s="18" t="s">
        <v>155</v>
      </c>
    </row>
    <row r="98" spans="1:22" ht="15.75" customHeight="1">
      <c r="A98" s="13" t="s">
        <v>700</v>
      </c>
      <c r="B98" s="14" t="s">
        <v>2475</v>
      </c>
      <c r="C98" s="14" t="s">
        <v>2402</v>
      </c>
      <c r="D98" s="13" t="s">
        <v>702</v>
      </c>
      <c r="E98" s="14" t="s">
        <v>703</v>
      </c>
      <c r="F98" s="14" t="s">
        <v>704</v>
      </c>
      <c r="G98" s="14" t="s">
        <v>439</v>
      </c>
      <c r="H98" s="13" t="s">
        <v>364</v>
      </c>
      <c r="I98" s="13" t="s">
        <v>63</v>
      </c>
      <c r="J98" s="13" t="s">
        <v>64</v>
      </c>
      <c r="K98" s="14" t="s">
        <v>2389</v>
      </c>
      <c r="L98" s="14" t="s">
        <v>66</v>
      </c>
      <c r="M98" s="14" t="s">
        <v>67</v>
      </c>
      <c r="N98" s="14" t="s">
        <v>68</v>
      </c>
      <c r="O98" s="13">
        <v>8</v>
      </c>
      <c r="P98" s="61">
        <v>450</v>
      </c>
      <c r="Q98" s="62">
        <v>20</v>
      </c>
      <c r="R98" s="13">
        <v>5</v>
      </c>
      <c r="S98" s="16">
        <v>3024</v>
      </c>
      <c r="T98" s="14" t="s">
        <v>153</v>
      </c>
      <c r="U98" s="14" t="s">
        <v>184</v>
      </c>
      <c r="V98" s="14" t="s">
        <v>212</v>
      </c>
    </row>
    <row r="99" spans="1:22" ht="15.75" customHeight="1">
      <c r="A99" s="17" t="s">
        <v>705</v>
      </c>
      <c r="B99" s="18" t="s">
        <v>2476</v>
      </c>
      <c r="C99" s="18" t="s">
        <v>106</v>
      </c>
      <c r="D99" s="17" t="s">
        <v>707</v>
      </c>
      <c r="E99" s="18" t="s">
        <v>708</v>
      </c>
      <c r="F99" s="18" t="s">
        <v>709</v>
      </c>
      <c r="G99" s="18" t="s">
        <v>248</v>
      </c>
      <c r="H99" s="17" t="s">
        <v>249</v>
      </c>
      <c r="I99" s="17" t="s">
        <v>123</v>
      </c>
      <c r="J99" s="17" t="s">
        <v>347</v>
      </c>
      <c r="K99" s="18" t="s">
        <v>348</v>
      </c>
      <c r="L99" s="18" t="s">
        <v>139</v>
      </c>
      <c r="M99" s="18" t="s">
        <v>349</v>
      </c>
      <c r="N99" s="18" t="s">
        <v>350</v>
      </c>
      <c r="O99" s="17">
        <v>9</v>
      </c>
      <c r="P99" s="59">
        <v>3200</v>
      </c>
      <c r="Q99" s="60">
        <v>8</v>
      </c>
      <c r="R99" s="17">
        <v>18</v>
      </c>
      <c r="S99" s="19">
        <v>31265</v>
      </c>
      <c r="T99" s="18" t="s">
        <v>413</v>
      </c>
      <c r="U99" s="18" t="s">
        <v>143</v>
      </c>
      <c r="V99" s="18" t="s">
        <v>212</v>
      </c>
    </row>
    <row r="100" spans="1:22" ht="15.75" customHeight="1">
      <c r="A100" s="13" t="s">
        <v>710</v>
      </c>
      <c r="B100" s="14" t="s">
        <v>2454</v>
      </c>
      <c r="C100" s="14" t="s">
        <v>712</v>
      </c>
      <c r="D100" s="13" t="s">
        <v>713</v>
      </c>
      <c r="E100" s="14" t="s">
        <v>714</v>
      </c>
      <c r="F100" s="14" t="s">
        <v>715</v>
      </c>
      <c r="G100" s="14" t="s">
        <v>95</v>
      </c>
      <c r="H100" s="13" t="s">
        <v>96</v>
      </c>
      <c r="I100" s="13" t="s">
        <v>63</v>
      </c>
      <c r="J100" s="13" t="s">
        <v>257</v>
      </c>
      <c r="K100" s="14" t="s">
        <v>2418</v>
      </c>
      <c r="L100" s="14" t="s">
        <v>139</v>
      </c>
      <c r="M100" s="14" t="s">
        <v>259</v>
      </c>
      <c r="N100" s="14" t="s">
        <v>260</v>
      </c>
      <c r="O100" s="13">
        <v>1</v>
      </c>
      <c r="P100" s="61">
        <v>299</v>
      </c>
      <c r="Q100" s="62">
        <v>10</v>
      </c>
      <c r="R100" s="13">
        <v>18</v>
      </c>
      <c r="S100" s="16">
        <v>318</v>
      </c>
      <c r="T100" s="14" t="s">
        <v>413</v>
      </c>
      <c r="U100" s="14" t="s">
        <v>211</v>
      </c>
      <c r="V100" s="14" t="s">
        <v>155</v>
      </c>
    </row>
    <row r="101" spans="1:22" ht="15.75" customHeight="1">
      <c r="A101" s="17" t="s">
        <v>716</v>
      </c>
      <c r="B101" s="18" t="s">
        <v>2470</v>
      </c>
      <c r="C101" s="18" t="s">
        <v>291</v>
      </c>
      <c r="D101" s="17" t="s">
        <v>718</v>
      </c>
      <c r="E101" s="18" t="s">
        <v>719</v>
      </c>
      <c r="F101" s="18" t="s">
        <v>720</v>
      </c>
      <c r="G101" s="18" t="s">
        <v>341</v>
      </c>
      <c r="H101" s="17" t="s">
        <v>62</v>
      </c>
      <c r="I101" s="17" t="s">
        <v>63</v>
      </c>
      <c r="J101" s="17" t="s">
        <v>376</v>
      </c>
      <c r="K101" s="18" t="s">
        <v>377</v>
      </c>
      <c r="L101" s="18" t="s">
        <v>99</v>
      </c>
      <c r="M101" s="18" t="s">
        <v>113</v>
      </c>
      <c r="N101" s="18" t="s">
        <v>378</v>
      </c>
      <c r="O101" s="17">
        <v>2</v>
      </c>
      <c r="P101" s="59">
        <v>8500</v>
      </c>
      <c r="Q101" s="60">
        <v>10</v>
      </c>
      <c r="R101" s="17">
        <v>18</v>
      </c>
      <c r="S101" s="19">
        <v>18054</v>
      </c>
      <c r="T101" s="18" t="s">
        <v>153</v>
      </c>
      <c r="U101" s="18" t="s">
        <v>70</v>
      </c>
      <c r="V101" s="18" t="s">
        <v>155</v>
      </c>
    </row>
    <row r="102" spans="1:22" ht="15.75" customHeight="1">
      <c r="A102" s="13" t="s">
        <v>722</v>
      </c>
      <c r="B102" s="14" t="s">
        <v>403</v>
      </c>
      <c r="C102" s="14" t="s">
        <v>2415</v>
      </c>
      <c r="D102" s="13" t="s">
        <v>724</v>
      </c>
      <c r="E102" s="14" t="s">
        <v>498</v>
      </c>
      <c r="F102" s="14" t="s">
        <v>725</v>
      </c>
      <c r="G102" s="14" t="s">
        <v>485</v>
      </c>
      <c r="H102" s="13" t="s">
        <v>305</v>
      </c>
      <c r="I102" s="13" t="s">
        <v>306</v>
      </c>
      <c r="J102" s="13" t="s">
        <v>257</v>
      </c>
      <c r="K102" s="14" t="s">
        <v>2418</v>
      </c>
      <c r="L102" s="14" t="s">
        <v>139</v>
      </c>
      <c r="M102" s="14" t="s">
        <v>259</v>
      </c>
      <c r="N102" s="14" t="s">
        <v>260</v>
      </c>
      <c r="O102" s="13">
        <v>6</v>
      </c>
      <c r="P102" s="61">
        <v>299</v>
      </c>
      <c r="Q102" s="62">
        <v>20</v>
      </c>
      <c r="R102" s="13">
        <v>18</v>
      </c>
      <c r="S102" s="16">
        <v>1694</v>
      </c>
      <c r="T102" s="14" t="s">
        <v>115</v>
      </c>
      <c r="U102" s="14" t="s">
        <v>211</v>
      </c>
      <c r="V102" s="14" t="s">
        <v>212</v>
      </c>
    </row>
    <row r="103" spans="1:22" ht="15.75" customHeight="1">
      <c r="A103" s="17" t="s">
        <v>726</v>
      </c>
      <c r="B103" s="18" t="s">
        <v>2387</v>
      </c>
      <c r="C103" s="18" t="s">
        <v>728</v>
      </c>
      <c r="D103" s="17" t="s">
        <v>729</v>
      </c>
      <c r="E103" s="18" t="s">
        <v>730</v>
      </c>
      <c r="F103" s="18" t="s">
        <v>731</v>
      </c>
      <c r="G103" s="18" t="s">
        <v>485</v>
      </c>
      <c r="H103" s="17" t="s">
        <v>305</v>
      </c>
      <c r="I103" s="17" t="s">
        <v>306</v>
      </c>
      <c r="J103" s="17" t="s">
        <v>275</v>
      </c>
      <c r="K103" s="18" t="s">
        <v>2423</v>
      </c>
      <c r="L103" s="18" t="s">
        <v>99</v>
      </c>
      <c r="M103" s="18" t="s">
        <v>277</v>
      </c>
      <c r="N103" s="18" t="s">
        <v>126</v>
      </c>
      <c r="O103" s="17">
        <v>8</v>
      </c>
      <c r="P103" s="59">
        <v>35000</v>
      </c>
      <c r="Q103" s="60">
        <v>8</v>
      </c>
      <c r="R103" s="17">
        <v>18</v>
      </c>
      <c r="S103" s="19">
        <v>303968</v>
      </c>
      <c r="T103" s="18" t="s">
        <v>127</v>
      </c>
      <c r="U103" s="18" t="s">
        <v>211</v>
      </c>
      <c r="V103" s="18" t="s">
        <v>212</v>
      </c>
    </row>
    <row r="104" spans="1:22" ht="15.75" customHeight="1">
      <c r="A104" s="13" t="s">
        <v>733</v>
      </c>
      <c r="B104" s="14" t="s">
        <v>2101</v>
      </c>
      <c r="C104" s="14" t="s">
        <v>2450</v>
      </c>
      <c r="D104" s="13" t="s">
        <v>734</v>
      </c>
      <c r="E104" s="14" t="s">
        <v>449</v>
      </c>
      <c r="F104" s="14" t="s">
        <v>735</v>
      </c>
      <c r="G104" s="14" t="s">
        <v>122</v>
      </c>
      <c r="H104" s="13" t="s">
        <v>122</v>
      </c>
      <c r="I104" s="13" t="s">
        <v>123</v>
      </c>
      <c r="J104" s="13" t="s">
        <v>477</v>
      </c>
      <c r="K104" s="14" t="s">
        <v>478</v>
      </c>
      <c r="L104" s="14" t="s">
        <v>139</v>
      </c>
      <c r="M104" s="14" t="s">
        <v>349</v>
      </c>
      <c r="N104" s="14" t="s">
        <v>479</v>
      </c>
      <c r="O104" s="13">
        <v>1</v>
      </c>
      <c r="P104" s="61">
        <v>2200</v>
      </c>
      <c r="Q104" s="62">
        <v>10</v>
      </c>
      <c r="R104" s="13">
        <v>12</v>
      </c>
      <c r="S104" s="16">
        <v>2218</v>
      </c>
      <c r="T104" s="14" t="s">
        <v>465</v>
      </c>
      <c r="U104" s="14" t="s">
        <v>143</v>
      </c>
      <c r="V104" s="14" t="s">
        <v>155</v>
      </c>
    </row>
    <row r="105" spans="1:22" ht="15.75" customHeight="1">
      <c r="A105" s="17" t="s">
        <v>736</v>
      </c>
      <c r="B105" s="18" t="s">
        <v>737</v>
      </c>
      <c r="C105" s="18" t="s">
        <v>2400</v>
      </c>
      <c r="D105" s="17" t="s">
        <v>738</v>
      </c>
      <c r="E105" s="18" t="s">
        <v>651</v>
      </c>
      <c r="F105" s="18" t="s">
        <v>739</v>
      </c>
      <c r="G105" s="18" t="s">
        <v>485</v>
      </c>
      <c r="H105" s="17" t="s">
        <v>305</v>
      </c>
      <c r="I105" s="17" t="s">
        <v>306</v>
      </c>
      <c r="J105" s="17" t="s">
        <v>238</v>
      </c>
      <c r="K105" s="18" t="s">
        <v>2412</v>
      </c>
      <c r="L105" s="18" t="s">
        <v>112</v>
      </c>
      <c r="M105" s="18" t="s">
        <v>240</v>
      </c>
      <c r="N105" s="18" t="s">
        <v>2413</v>
      </c>
      <c r="O105" s="17">
        <v>10</v>
      </c>
      <c r="P105" s="59">
        <v>2500</v>
      </c>
      <c r="Q105" s="60">
        <v>12</v>
      </c>
      <c r="R105" s="17">
        <v>5</v>
      </c>
      <c r="S105" s="19">
        <v>23100</v>
      </c>
      <c r="T105" s="18" t="s">
        <v>153</v>
      </c>
      <c r="U105" s="18" t="s">
        <v>184</v>
      </c>
      <c r="V105" s="18" t="s">
        <v>212</v>
      </c>
    </row>
    <row r="106" spans="1:22" ht="15.75" customHeight="1">
      <c r="A106" s="13" t="s">
        <v>740</v>
      </c>
      <c r="B106" s="14" t="s">
        <v>2424</v>
      </c>
      <c r="C106" s="14" t="s">
        <v>2465</v>
      </c>
      <c r="D106" s="13" t="s">
        <v>742</v>
      </c>
      <c r="E106" s="14" t="s">
        <v>607</v>
      </c>
      <c r="F106" s="14" t="s">
        <v>743</v>
      </c>
      <c r="G106" s="14" t="s">
        <v>744</v>
      </c>
      <c r="H106" s="13" t="s">
        <v>79</v>
      </c>
      <c r="I106" s="13" t="s">
        <v>80</v>
      </c>
      <c r="J106" s="13" t="s">
        <v>420</v>
      </c>
      <c r="K106" s="14" t="s">
        <v>2445</v>
      </c>
      <c r="L106" s="14" t="s">
        <v>112</v>
      </c>
      <c r="M106" s="14" t="s">
        <v>422</v>
      </c>
      <c r="N106" s="14" t="s">
        <v>2446</v>
      </c>
      <c r="O106" s="13">
        <v>7</v>
      </c>
      <c r="P106" s="61">
        <v>4800</v>
      </c>
      <c r="Q106" s="62">
        <v>12</v>
      </c>
      <c r="R106" s="13">
        <v>18</v>
      </c>
      <c r="S106" s="16">
        <v>34890</v>
      </c>
      <c r="T106" s="14" t="s">
        <v>115</v>
      </c>
      <c r="U106" s="14" t="s">
        <v>211</v>
      </c>
      <c r="V106" s="14" t="s">
        <v>155</v>
      </c>
    </row>
    <row r="107" spans="1:22" ht="15.75" customHeight="1">
      <c r="A107" s="17" t="s">
        <v>745</v>
      </c>
      <c r="B107" s="18" t="s">
        <v>1948</v>
      </c>
      <c r="C107" s="18" t="s">
        <v>2477</v>
      </c>
      <c r="D107" s="17" t="s">
        <v>748</v>
      </c>
      <c r="E107" s="18" t="s">
        <v>749</v>
      </c>
      <c r="F107" s="18" t="s">
        <v>750</v>
      </c>
      <c r="G107" s="18" t="s">
        <v>172</v>
      </c>
      <c r="H107" s="17" t="s">
        <v>96</v>
      </c>
      <c r="I107" s="17" t="s">
        <v>63</v>
      </c>
      <c r="J107" s="17" t="s">
        <v>595</v>
      </c>
      <c r="K107" s="18" t="s">
        <v>596</v>
      </c>
      <c r="L107" s="18" t="s">
        <v>112</v>
      </c>
      <c r="M107" s="18" t="s">
        <v>240</v>
      </c>
      <c r="N107" s="18" t="s">
        <v>597</v>
      </c>
      <c r="O107" s="17">
        <v>10</v>
      </c>
      <c r="P107" s="59">
        <v>1200</v>
      </c>
      <c r="Q107" s="60">
        <v>0</v>
      </c>
      <c r="R107" s="17">
        <v>5</v>
      </c>
      <c r="S107" s="19">
        <v>12600</v>
      </c>
      <c r="T107" s="18" t="s">
        <v>153</v>
      </c>
      <c r="U107" s="18" t="s">
        <v>184</v>
      </c>
      <c r="V107" s="18" t="s">
        <v>155</v>
      </c>
    </row>
    <row r="108" spans="1:22" ht="15.75" customHeight="1">
      <c r="A108" s="13" t="s">
        <v>751</v>
      </c>
      <c r="B108" s="14" t="s">
        <v>2478</v>
      </c>
      <c r="C108" s="14" t="s">
        <v>2428</v>
      </c>
      <c r="D108" s="13" t="s">
        <v>753</v>
      </c>
      <c r="E108" s="14" t="s">
        <v>489</v>
      </c>
      <c r="F108" s="14" t="s">
        <v>754</v>
      </c>
      <c r="G108" s="14" t="s">
        <v>485</v>
      </c>
      <c r="H108" s="13" t="s">
        <v>305</v>
      </c>
      <c r="I108" s="13" t="s">
        <v>306</v>
      </c>
      <c r="J108" s="13" t="s">
        <v>207</v>
      </c>
      <c r="K108" s="14" t="s">
        <v>2406</v>
      </c>
      <c r="L108" s="14" t="s">
        <v>99</v>
      </c>
      <c r="M108" s="14" t="s">
        <v>209</v>
      </c>
      <c r="N108" s="14" t="s">
        <v>2407</v>
      </c>
      <c r="O108" s="13">
        <v>3</v>
      </c>
      <c r="P108" s="61">
        <v>55000</v>
      </c>
      <c r="Q108" s="62">
        <v>20</v>
      </c>
      <c r="R108" s="13">
        <v>18</v>
      </c>
      <c r="S108" s="16">
        <v>155760</v>
      </c>
      <c r="T108" s="14" t="s">
        <v>115</v>
      </c>
      <c r="U108" s="14" t="s">
        <v>184</v>
      </c>
      <c r="V108" s="14" t="s">
        <v>155</v>
      </c>
    </row>
    <row r="109" spans="1:22" ht="15.75" customHeight="1">
      <c r="A109" s="17" t="s">
        <v>755</v>
      </c>
      <c r="B109" s="18" t="s">
        <v>874</v>
      </c>
      <c r="C109" s="18" t="s">
        <v>2400</v>
      </c>
      <c r="D109" s="17" t="s">
        <v>756</v>
      </c>
      <c r="E109" s="18" t="s">
        <v>757</v>
      </c>
      <c r="F109" s="18" t="s">
        <v>758</v>
      </c>
      <c r="G109" s="18" t="s">
        <v>439</v>
      </c>
      <c r="H109" s="17" t="s">
        <v>364</v>
      </c>
      <c r="I109" s="17" t="s">
        <v>63</v>
      </c>
      <c r="J109" s="17" t="s">
        <v>64</v>
      </c>
      <c r="K109" s="18" t="s">
        <v>2389</v>
      </c>
      <c r="L109" s="18" t="s">
        <v>66</v>
      </c>
      <c r="M109" s="18" t="s">
        <v>67</v>
      </c>
      <c r="N109" s="18" t="s">
        <v>68</v>
      </c>
      <c r="O109" s="17">
        <v>5</v>
      </c>
      <c r="P109" s="59">
        <v>450</v>
      </c>
      <c r="Q109" s="60">
        <v>8</v>
      </c>
      <c r="R109" s="17">
        <v>5</v>
      </c>
      <c r="S109" s="19">
        <v>2174</v>
      </c>
      <c r="T109" s="18" t="s">
        <v>115</v>
      </c>
      <c r="U109" s="18" t="s">
        <v>211</v>
      </c>
      <c r="V109" s="18" t="s">
        <v>155</v>
      </c>
    </row>
    <row r="110" spans="1:22" ht="15.75" customHeight="1">
      <c r="A110" s="13" t="s">
        <v>759</v>
      </c>
      <c r="B110" s="14" t="s">
        <v>2476</v>
      </c>
      <c r="C110" s="14" t="s">
        <v>2417</v>
      </c>
      <c r="D110" s="13" t="s">
        <v>761</v>
      </c>
      <c r="E110" s="14" t="s">
        <v>395</v>
      </c>
      <c r="F110" s="14" t="s">
        <v>762</v>
      </c>
      <c r="G110" s="14" t="s">
        <v>439</v>
      </c>
      <c r="H110" s="13" t="s">
        <v>364</v>
      </c>
      <c r="I110" s="13" t="s">
        <v>63</v>
      </c>
      <c r="J110" s="13" t="s">
        <v>110</v>
      </c>
      <c r="K110" s="14" t="s">
        <v>111</v>
      </c>
      <c r="L110" s="14" t="s">
        <v>112</v>
      </c>
      <c r="M110" s="14" t="s">
        <v>113</v>
      </c>
      <c r="N110" s="14" t="s">
        <v>114</v>
      </c>
      <c r="O110" s="13">
        <v>4</v>
      </c>
      <c r="P110" s="61">
        <v>3500</v>
      </c>
      <c r="Q110" s="62">
        <v>12</v>
      </c>
      <c r="R110" s="13">
        <v>18</v>
      </c>
      <c r="S110" s="16">
        <v>14538</v>
      </c>
      <c r="T110" s="14" t="s">
        <v>102</v>
      </c>
      <c r="U110" s="14" t="s">
        <v>288</v>
      </c>
      <c r="V110" s="14" t="s">
        <v>155</v>
      </c>
    </row>
    <row r="111" spans="1:22" ht="15.75" customHeight="1">
      <c r="A111" s="17" t="s">
        <v>763</v>
      </c>
      <c r="B111" s="18" t="s">
        <v>2479</v>
      </c>
      <c r="C111" s="18" t="s">
        <v>372</v>
      </c>
      <c r="D111" s="17" t="s">
        <v>765</v>
      </c>
      <c r="E111" s="18" t="s">
        <v>427</v>
      </c>
      <c r="F111" s="18" t="s">
        <v>766</v>
      </c>
      <c r="G111" s="18" t="s">
        <v>228</v>
      </c>
      <c r="H111" s="17" t="s">
        <v>152</v>
      </c>
      <c r="I111" s="17" t="s">
        <v>80</v>
      </c>
      <c r="J111" s="17" t="s">
        <v>64</v>
      </c>
      <c r="K111" s="18" t="s">
        <v>2389</v>
      </c>
      <c r="L111" s="18" t="s">
        <v>66</v>
      </c>
      <c r="M111" s="18" t="s">
        <v>67</v>
      </c>
      <c r="N111" s="18" t="s">
        <v>68</v>
      </c>
      <c r="O111" s="17">
        <v>6</v>
      </c>
      <c r="P111" s="59">
        <v>450</v>
      </c>
      <c r="Q111" s="60">
        <v>15</v>
      </c>
      <c r="R111" s="17">
        <v>5</v>
      </c>
      <c r="S111" s="19">
        <v>2410</v>
      </c>
      <c r="T111" s="18" t="s">
        <v>153</v>
      </c>
      <c r="U111" s="18" t="s">
        <v>211</v>
      </c>
      <c r="V111" s="18" t="s">
        <v>212</v>
      </c>
    </row>
    <row r="112" spans="1:22" ht="15.75" customHeight="1">
      <c r="A112" s="13" t="s">
        <v>767</v>
      </c>
      <c r="B112" s="14" t="s">
        <v>1948</v>
      </c>
      <c r="C112" s="14" t="s">
        <v>2405</v>
      </c>
      <c r="D112" s="13" t="s">
        <v>769</v>
      </c>
      <c r="E112" s="14" t="s">
        <v>195</v>
      </c>
      <c r="F112" s="14" t="s">
        <v>770</v>
      </c>
      <c r="G112" s="14" t="s">
        <v>172</v>
      </c>
      <c r="H112" s="13" t="s">
        <v>96</v>
      </c>
      <c r="I112" s="13" t="s">
        <v>63</v>
      </c>
      <c r="J112" s="13" t="s">
        <v>376</v>
      </c>
      <c r="K112" s="14" t="s">
        <v>377</v>
      </c>
      <c r="L112" s="14" t="s">
        <v>112</v>
      </c>
      <c r="M112" s="14" t="s">
        <v>113</v>
      </c>
      <c r="N112" s="14" t="s">
        <v>378</v>
      </c>
      <c r="O112" s="13">
        <v>5</v>
      </c>
      <c r="P112" s="61">
        <v>8500</v>
      </c>
      <c r="Q112" s="62">
        <v>15</v>
      </c>
      <c r="R112" s="13">
        <v>18</v>
      </c>
      <c r="S112" s="16">
        <v>42628</v>
      </c>
      <c r="T112" s="14" t="s">
        <v>102</v>
      </c>
      <c r="U112" s="14" t="s">
        <v>70</v>
      </c>
      <c r="V112" s="14" t="s">
        <v>212</v>
      </c>
    </row>
    <row r="113" spans="1:22" ht="15.75" customHeight="1">
      <c r="A113" s="17" t="s">
        <v>771</v>
      </c>
      <c r="B113" s="18" t="s">
        <v>2027</v>
      </c>
      <c r="C113" s="18" t="s">
        <v>2388</v>
      </c>
      <c r="D113" s="17" t="s">
        <v>772</v>
      </c>
      <c r="E113" s="18" t="s">
        <v>59</v>
      </c>
      <c r="F113" s="18" t="s">
        <v>773</v>
      </c>
      <c r="G113" s="18" t="s">
        <v>341</v>
      </c>
      <c r="H113" s="17" t="s">
        <v>62</v>
      </c>
      <c r="I113" s="17" t="s">
        <v>63</v>
      </c>
      <c r="J113" s="17" t="s">
        <v>219</v>
      </c>
      <c r="K113" s="18" t="s">
        <v>2408</v>
      </c>
      <c r="L113" s="18" t="s">
        <v>99</v>
      </c>
      <c r="M113" s="18" t="s">
        <v>100</v>
      </c>
      <c r="N113" s="18" t="s">
        <v>221</v>
      </c>
      <c r="O113" s="17">
        <v>3</v>
      </c>
      <c r="P113" s="59">
        <v>89000</v>
      </c>
      <c r="Q113" s="60">
        <v>12</v>
      </c>
      <c r="R113" s="17">
        <v>18</v>
      </c>
      <c r="S113" s="19">
        <v>277253</v>
      </c>
      <c r="T113" s="18" t="s">
        <v>127</v>
      </c>
      <c r="U113" s="18" t="s">
        <v>143</v>
      </c>
      <c r="V113" s="18" t="s">
        <v>155</v>
      </c>
    </row>
    <row r="114" spans="1:22" ht="15.75" customHeight="1">
      <c r="A114" s="13" t="s">
        <v>774</v>
      </c>
      <c r="B114" s="14" t="s">
        <v>2480</v>
      </c>
      <c r="C114" s="14" t="s">
        <v>482</v>
      </c>
      <c r="D114" s="13" t="s">
        <v>775</v>
      </c>
      <c r="E114" s="14" t="s">
        <v>776</v>
      </c>
      <c r="F114" s="14" t="s">
        <v>777</v>
      </c>
      <c r="G114" s="14" t="s">
        <v>228</v>
      </c>
      <c r="H114" s="13" t="s">
        <v>152</v>
      </c>
      <c r="I114" s="13" t="s">
        <v>80</v>
      </c>
      <c r="J114" s="13" t="s">
        <v>197</v>
      </c>
      <c r="K114" s="14" t="s">
        <v>198</v>
      </c>
      <c r="L114" s="14" t="s">
        <v>66</v>
      </c>
      <c r="M114" s="14" t="s">
        <v>199</v>
      </c>
      <c r="N114" s="14" t="s">
        <v>200</v>
      </c>
      <c r="O114" s="13">
        <v>2</v>
      </c>
      <c r="P114" s="61">
        <v>50</v>
      </c>
      <c r="Q114" s="62">
        <v>0</v>
      </c>
      <c r="R114" s="13">
        <v>5</v>
      </c>
      <c r="S114" s="16">
        <v>105</v>
      </c>
      <c r="T114" s="14" t="s">
        <v>115</v>
      </c>
      <c r="U114" s="14" t="s">
        <v>211</v>
      </c>
      <c r="V114" s="14" t="s">
        <v>212</v>
      </c>
    </row>
    <row r="115" spans="1:22" ht="15.75" customHeight="1">
      <c r="A115" s="17" t="s">
        <v>778</v>
      </c>
      <c r="B115" s="18" t="s">
        <v>2481</v>
      </c>
      <c r="C115" s="18" t="s">
        <v>2456</v>
      </c>
      <c r="D115" s="17" t="s">
        <v>780</v>
      </c>
      <c r="E115" s="18" t="s">
        <v>2482</v>
      </c>
      <c r="F115" s="18" t="s">
        <v>781</v>
      </c>
      <c r="G115" s="18" t="s">
        <v>744</v>
      </c>
      <c r="H115" s="17" t="s">
        <v>79</v>
      </c>
      <c r="I115" s="17" t="s">
        <v>80</v>
      </c>
      <c r="J115" s="17" t="s">
        <v>347</v>
      </c>
      <c r="K115" s="18" t="s">
        <v>348</v>
      </c>
      <c r="L115" s="18" t="s">
        <v>139</v>
      </c>
      <c r="M115" s="18" t="s">
        <v>349</v>
      </c>
      <c r="N115" s="18" t="s">
        <v>350</v>
      </c>
      <c r="O115" s="17">
        <v>2</v>
      </c>
      <c r="P115" s="59">
        <v>3200</v>
      </c>
      <c r="Q115" s="60">
        <v>0</v>
      </c>
      <c r="R115" s="17">
        <v>18</v>
      </c>
      <c r="S115" s="19">
        <v>7552</v>
      </c>
      <c r="T115" s="18" t="s">
        <v>127</v>
      </c>
      <c r="U115" s="18" t="s">
        <v>288</v>
      </c>
      <c r="V115" s="18" t="s">
        <v>155</v>
      </c>
    </row>
    <row r="116" spans="1:22" ht="15.75" customHeight="1">
      <c r="A116" s="13" t="s">
        <v>782</v>
      </c>
      <c r="B116" s="14" t="s">
        <v>2027</v>
      </c>
      <c r="C116" s="14" t="s">
        <v>2415</v>
      </c>
      <c r="D116" s="13" t="s">
        <v>783</v>
      </c>
      <c r="E116" s="14" t="s">
        <v>784</v>
      </c>
      <c r="F116" s="14" t="s">
        <v>785</v>
      </c>
      <c r="G116" s="14" t="s">
        <v>744</v>
      </c>
      <c r="H116" s="13" t="s">
        <v>79</v>
      </c>
      <c r="I116" s="13" t="s">
        <v>80</v>
      </c>
      <c r="J116" s="13" t="s">
        <v>110</v>
      </c>
      <c r="K116" s="14" t="s">
        <v>111</v>
      </c>
      <c r="L116" s="14" t="s">
        <v>112</v>
      </c>
      <c r="M116" s="14" t="s">
        <v>113</v>
      </c>
      <c r="N116" s="14" t="s">
        <v>114</v>
      </c>
      <c r="O116" s="13">
        <v>9</v>
      </c>
      <c r="P116" s="13">
        <v>0</v>
      </c>
      <c r="Q116" s="62">
        <v>10</v>
      </c>
      <c r="R116" s="13">
        <v>18</v>
      </c>
      <c r="S116" s="16">
        <v>0</v>
      </c>
      <c r="T116" s="14" t="s">
        <v>465</v>
      </c>
      <c r="U116" s="14" t="s">
        <v>211</v>
      </c>
      <c r="V116" s="14" t="s">
        <v>155</v>
      </c>
    </row>
    <row r="117" spans="1:22" ht="15.75" customHeight="1">
      <c r="A117" s="17" t="s">
        <v>786</v>
      </c>
      <c r="B117" s="18" t="s">
        <v>1595</v>
      </c>
      <c r="C117" s="18" t="s">
        <v>2456</v>
      </c>
      <c r="D117" s="17" t="s">
        <v>788</v>
      </c>
      <c r="E117" s="18" t="s">
        <v>789</v>
      </c>
      <c r="F117" s="18" t="s">
        <v>790</v>
      </c>
      <c r="G117" s="18" t="s">
        <v>228</v>
      </c>
      <c r="H117" s="17" t="s">
        <v>152</v>
      </c>
      <c r="I117" s="17" t="s">
        <v>80</v>
      </c>
      <c r="J117" s="17" t="s">
        <v>389</v>
      </c>
      <c r="K117" s="18" t="s">
        <v>390</v>
      </c>
      <c r="L117" s="18" t="s">
        <v>99</v>
      </c>
      <c r="M117" s="18" t="s">
        <v>164</v>
      </c>
      <c r="N117" s="18" t="s">
        <v>391</v>
      </c>
      <c r="O117" s="17">
        <v>9</v>
      </c>
      <c r="P117" s="59">
        <v>1500</v>
      </c>
      <c r="Q117" s="60">
        <v>5</v>
      </c>
      <c r="R117" s="17">
        <v>18</v>
      </c>
      <c r="S117" s="19">
        <v>15134</v>
      </c>
      <c r="T117" s="18" t="s">
        <v>465</v>
      </c>
      <c r="U117" s="18" t="s">
        <v>184</v>
      </c>
      <c r="V117" s="18" t="s">
        <v>155</v>
      </c>
    </row>
    <row r="118" spans="1:22" ht="15.75" customHeight="1">
      <c r="A118" s="13" t="s">
        <v>791</v>
      </c>
      <c r="B118" s="14" t="s">
        <v>2483</v>
      </c>
      <c r="C118" s="14" t="s">
        <v>2465</v>
      </c>
      <c r="D118" s="13" t="s">
        <v>793</v>
      </c>
      <c r="E118" s="14" t="s">
        <v>794</v>
      </c>
      <c r="F118" s="14" t="s">
        <v>2394</v>
      </c>
      <c r="G118" s="14" t="s">
        <v>248</v>
      </c>
      <c r="H118" s="13" t="s">
        <v>249</v>
      </c>
      <c r="I118" s="13" t="s">
        <v>123</v>
      </c>
      <c r="J118" s="13" t="s">
        <v>64</v>
      </c>
      <c r="K118" s="14" t="s">
        <v>2389</v>
      </c>
      <c r="L118" s="14" t="s">
        <v>66</v>
      </c>
      <c r="M118" s="14" t="s">
        <v>67</v>
      </c>
      <c r="N118" s="14" t="s">
        <v>68</v>
      </c>
      <c r="O118" s="13">
        <v>3</v>
      </c>
      <c r="P118" s="61">
        <v>450</v>
      </c>
      <c r="Q118" s="62">
        <v>15</v>
      </c>
      <c r="R118" s="13">
        <v>5</v>
      </c>
      <c r="S118" s="16">
        <v>1205</v>
      </c>
      <c r="T118" s="14" t="s">
        <v>127</v>
      </c>
      <c r="U118" s="14" t="s">
        <v>143</v>
      </c>
      <c r="V118" s="14" t="s">
        <v>212</v>
      </c>
    </row>
    <row r="119" spans="1:22" ht="15.75" customHeight="1">
      <c r="A119" s="17" t="s">
        <v>795</v>
      </c>
      <c r="B119" s="18" t="s">
        <v>1721</v>
      </c>
      <c r="C119" s="18" t="s">
        <v>2465</v>
      </c>
      <c r="D119" s="17" t="s">
        <v>797</v>
      </c>
      <c r="E119" s="18" t="s">
        <v>798</v>
      </c>
      <c r="F119" s="18" t="s">
        <v>799</v>
      </c>
      <c r="G119" s="18" t="s">
        <v>439</v>
      </c>
      <c r="H119" s="17" t="s">
        <v>364</v>
      </c>
      <c r="I119" s="17" t="s">
        <v>63</v>
      </c>
      <c r="J119" s="17" t="s">
        <v>64</v>
      </c>
      <c r="K119" s="18" t="s">
        <v>2389</v>
      </c>
      <c r="L119" s="18" t="s">
        <v>66</v>
      </c>
      <c r="M119" s="18" t="s">
        <v>67</v>
      </c>
      <c r="N119" s="18" t="s">
        <v>68</v>
      </c>
      <c r="O119" s="17">
        <v>3</v>
      </c>
      <c r="P119" s="59">
        <v>450</v>
      </c>
      <c r="Q119" s="60">
        <v>10</v>
      </c>
      <c r="R119" s="17">
        <v>5</v>
      </c>
      <c r="S119" s="19">
        <v>1276</v>
      </c>
      <c r="T119" s="18" t="s">
        <v>153</v>
      </c>
      <c r="U119" s="18" t="s">
        <v>211</v>
      </c>
      <c r="V119" s="18" t="s">
        <v>155</v>
      </c>
    </row>
    <row r="120" spans="1:22" ht="15.75" customHeight="1">
      <c r="A120" s="13" t="s">
        <v>800</v>
      </c>
      <c r="B120" s="14" t="s">
        <v>2484</v>
      </c>
      <c r="C120" s="14" t="s">
        <v>461</v>
      </c>
      <c r="D120" s="13" t="s">
        <v>802</v>
      </c>
      <c r="E120" s="14" t="s">
        <v>803</v>
      </c>
      <c r="F120" s="14" t="s">
        <v>804</v>
      </c>
      <c r="G120" s="14" t="s">
        <v>2422</v>
      </c>
      <c r="H120" s="13" t="s">
        <v>96</v>
      </c>
      <c r="I120" s="13" t="s">
        <v>63</v>
      </c>
      <c r="J120" s="13" t="s">
        <v>491</v>
      </c>
      <c r="K120" s="14" t="s">
        <v>492</v>
      </c>
      <c r="L120" s="14" t="s">
        <v>99</v>
      </c>
      <c r="M120" s="14" t="s">
        <v>493</v>
      </c>
      <c r="N120" s="14" t="s">
        <v>494</v>
      </c>
      <c r="O120" s="13">
        <v>2</v>
      </c>
      <c r="P120" s="61">
        <v>4500</v>
      </c>
      <c r="Q120" s="62">
        <v>25</v>
      </c>
      <c r="R120" s="13">
        <v>5</v>
      </c>
      <c r="S120" s="16">
        <v>7088</v>
      </c>
      <c r="T120" s="14" t="s">
        <v>413</v>
      </c>
      <c r="U120" s="14" t="s">
        <v>211</v>
      </c>
      <c r="V120" s="14" t="s">
        <v>155</v>
      </c>
    </row>
    <row r="121" spans="1:22" ht="15.75" customHeight="1">
      <c r="A121" s="17" t="s">
        <v>806</v>
      </c>
      <c r="B121" s="18" t="s">
        <v>2392</v>
      </c>
      <c r="C121" s="18" t="s">
        <v>131</v>
      </c>
      <c r="D121" s="17" t="s">
        <v>808</v>
      </c>
      <c r="E121" s="18" t="s">
        <v>133</v>
      </c>
      <c r="F121" s="18" t="s">
        <v>809</v>
      </c>
      <c r="G121" s="18" t="s">
        <v>228</v>
      </c>
      <c r="H121" s="17" t="s">
        <v>152</v>
      </c>
      <c r="I121" s="17" t="s">
        <v>80</v>
      </c>
      <c r="J121" s="17" t="s">
        <v>124</v>
      </c>
      <c r="K121" s="18" t="s">
        <v>125</v>
      </c>
      <c r="L121" s="18" t="s">
        <v>99</v>
      </c>
      <c r="M121" s="18" t="s">
        <v>100</v>
      </c>
      <c r="N121" s="18" t="s">
        <v>126</v>
      </c>
      <c r="O121" s="17">
        <v>1</v>
      </c>
      <c r="P121" s="59">
        <v>14000</v>
      </c>
      <c r="Q121" s="60">
        <v>10</v>
      </c>
      <c r="R121" s="17">
        <v>18</v>
      </c>
      <c r="S121" s="19">
        <v>14868</v>
      </c>
      <c r="T121" s="18" t="s">
        <v>413</v>
      </c>
      <c r="U121" s="18" t="s">
        <v>211</v>
      </c>
      <c r="V121" s="18" t="s">
        <v>155</v>
      </c>
    </row>
    <row r="122" spans="1:22" ht="15.75" customHeight="1">
      <c r="A122" s="13" t="s">
        <v>810</v>
      </c>
      <c r="B122" s="14" t="s">
        <v>308</v>
      </c>
      <c r="C122" s="14" t="s">
        <v>2421</v>
      </c>
      <c r="D122" s="13" t="s">
        <v>812</v>
      </c>
      <c r="E122" s="14" t="s">
        <v>273</v>
      </c>
      <c r="F122" s="14" t="s">
        <v>813</v>
      </c>
      <c r="G122" s="14" t="s">
        <v>248</v>
      </c>
      <c r="H122" s="13" t="s">
        <v>249</v>
      </c>
      <c r="I122" s="13" t="s">
        <v>123</v>
      </c>
      <c r="J122" s="13" t="s">
        <v>275</v>
      </c>
      <c r="K122" s="14" t="s">
        <v>2423</v>
      </c>
      <c r="L122" s="14" t="s">
        <v>99</v>
      </c>
      <c r="M122" s="14" t="s">
        <v>277</v>
      </c>
      <c r="N122" s="14" t="s">
        <v>126</v>
      </c>
      <c r="O122" s="13">
        <v>9</v>
      </c>
      <c r="P122" s="61">
        <v>35000</v>
      </c>
      <c r="Q122" s="62">
        <v>10</v>
      </c>
      <c r="R122" s="13">
        <v>18</v>
      </c>
      <c r="S122" s="16">
        <v>334530</v>
      </c>
      <c r="T122" s="14" t="s">
        <v>465</v>
      </c>
      <c r="U122" s="14" t="s">
        <v>70</v>
      </c>
      <c r="V122" s="14" t="s">
        <v>212</v>
      </c>
    </row>
    <row r="123" spans="1:22" ht="15.75" customHeight="1">
      <c r="A123" s="17" t="s">
        <v>814</v>
      </c>
      <c r="B123" s="18" t="s">
        <v>2485</v>
      </c>
      <c r="C123" s="18" t="s">
        <v>627</v>
      </c>
      <c r="D123" s="17" t="s">
        <v>815</v>
      </c>
      <c r="E123" s="18" t="s">
        <v>2486</v>
      </c>
      <c r="F123" s="18" t="s">
        <v>816</v>
      </c>
      <c r="G123" s="18" t="s">
        <v>61</v>
      </c>
      <c r="H123" s="17" t="s">
        <v>62</v>
      </c>
      <c r="I123" s="17" t="s">
        <v>63</v>
      </c>
      <c r="J123" s="17" t="s">
        <v>197</v>
      </c>
      <c r="K123" s="18" t="s">
        <v>198</v>
      </c>
      <c r="L123" s="18" t="s">
        <v>66</v>
      </c>
      <c r="M123" s="18" t="s">
        <v>199</v>
      </c>
      <c r="N123" s="18" t="s">
        <v>200</v>
      </c>
      <c r="O123" s="17">
        <v>8</v>
      </c>
      <c r="P123" s="17">
        <v>0</v>
      </c>
      <c r="Q123" s="60">
        <v>80</v>
      </c>
      <c r="R123" s="17">
        <v>5</v>
      </c>
      <c r="S123" s="19">
        <v>0</v>
      </c>
      <c r="T123" s="18" t="s">
        <v>413</v>
      </c>
      <c r="U123" s="18" t="s">
        <v>184</v>
      </c>
      <c r="V123" s="18" t="s">
        <v>155</v>
      </c>
    </row>
    <row r="124" spans="1:22" ht="15.75" customHeight="1">
      <c r="A124" s="13" t="s">
        <v>818</v>
      </c>
      <c r="B124" s="14" t="s">
        <v>2457</v>
      </c>
      <c r="C124" s="14" t="s">
        <v>2388</v>
      </c>
      <c r="D124" s="13" t="s">
        <v>820</v>
      </c>
      <c r="E124" s="14" t="s">
        <v>821</v>
      </c>
      <c r="F124" s="14" t="s">
        <v>822</v>
      </c>
      <c r="G124" s="14" t="s">
        <v>122</v>
      </c>
      <c r="H124" s="13" t="s">
        <v>122</v>
      </c>
      <c r="I124" s="13" t="s">
        <v>123</v>
      </c>
      <c r="J124" s="13" t="s">
        <v>491</v>
      </c>
      <c r="K124" s="14" t="s">
        <v>492</v>
      </c>
      <c r="L124" s="14" t="s">
        <v>112</v>
      </c>
      <c r="M124" s="14" t="s">
        <v>493</v>
      </c>
      <c r="N124" s="14" t="s">
        <v>494</v>
      </c>
      <c r="O124" s="13">
        <v>5</v>
      </c>
      <c r="P124" s="61">
        <v>4500</v>
      </c>
      <c r="Q124" s="62">
        <v>25</v>
      </c>
      <c r="R124" s="13">
        <v>5</v>
      </c>
      <c r="S124" s="16">
        <v>17719</v>
      </c>
      <c r="T124" s="14" t="s">
        <v>465</v>
      </c>
      <c r="U124" s="14" t="s">
        <v>211</v>
      </c>
      <c r="V124" s="14" t="s">
        <v>155</v>
      </c>
    </row>
    <row r="125" spans="1:22" ht="15.75" customHeight="1">
      <c r="A125" s="17" t="s">
        <v>823</v>
      </c>
      <c r="B125" s="18" t="s">
        <v>2480</v>
      </c>
      <c r="C125" s="18" t="s">
        <v>2487</v>
      </c>
      <c r="D125" s="17" t="s">
        <v>826</v>
      </c>
      <c r="E125" s="18" t="s">
        <v>827</v>
      </c>
      <c r="F125" s="18" t="s">
        <v>828</v>
      </c>
      <c r="G125" s="18" t="s">
        <v>333</v>
      </c>
      <c r="H125" s="17" t="s">
        <v>334</v>
      </c>
      <c r="I125" s="17" t="s">
        <v>63</v>
      </c>
      <c r="J125" s="17" t="s">
        <v>81</v>
      </c>
      <c r="K125" s="18" t="s">
        <v>82</v>
      </c>
      <c r="L125" s="18" t="s">
        <v>83</v>
      </c>
      <c r="M125" s="18" t="s">
        <v>84</v>
      </c>
      <c r="N125" s="18" t="s">
        <v>85</v>
      </c>
      <c r="O125" s="17">
        <v>10</v>
      </c>
      <c r="P125" s="59">
        <v>25000</v>
      </c>
      <c r="Q125" s="60">
        <v>5</v>
      </c>
      <c r="R125" s="17">
        <v>3</v>
      </c>
      <c r="S125" s="19">
        <v>244625</v>
      </c>
      <c r="T125" s="18" t="s">
        <v>153</v>
      </c>
      <c r="U125" s="18" t="s">
        <v>70</v>
      </c>
      <c r="V125" s="18" t="s">
        <v>155</v>
      </c>
    </row>
    <row r="126" spans="1:22" ht="15.75" customHeight="1">
      <c r="A126" s="13" t="s">
        <v>829</v>
      </c>
      <c r="B126" s="14" t="s">
        <v>2437</v>
      </c>
      <c r="C126" s="14" t="s">
        <v>2417</v>
      </c>
      <c r="D126" s="13" t="s">
        <v>831</v>
      </c>
      <c r="E126" s="14" t="s">
        <v>832</v>
      </c>
      <c r="F126" s="14" t="s">
        <v>833</v>
      </c>
      <c r="G126" s="14" t="s">
        <v>61</v>
      </c>
      <c r="H126" s="13" t="s">
        <v>62</v>
      </c>
      <c r="I126" s="13" t="s">
        <v>80</v>
      </c>
      <c r="J126" s="13" t="s">
        <v>162</v>
      </c>
      <c r="K126" s="14" t="s">
        <v>163</v>
      </c>
      <c r="L126" s="14" t="s">
        <v>99</v>
      </c>
      <c r="M126" s="14" t="s">
        <v>164</v>
      </c>
      <c r="N126" s="14" t="s">
        <v>165</v>
      </c>
      <c r="O126" s="13">
        <v>6</v>
      </c>
      <c r="P126" s="61">
        <v>2800</v>
      </c>
      <c r="Q126" s="62">
        <v>10</v>
      </c>
      <c r="R126" s="13">
        <v>18</v>
      </c>
      <c r="S126" s="16">
        <v>17842</v>
      </c>
      <c r="T126" s="14" t="s">
        <v>127</v>
      </c>
      <c r="U126" s="14" t="s">
        <v>211</v>
      </c>
      <c r="V126" s="14" t="s">
        <v>155</v>
      </c>
    </row>
    <row r="127" spans="1:22" ht="15.75" customHeight="1">
      <c r="A127" s="17" t="s">
        <v>835</v>
      </c>
      <c r="B127" s="18" t="s">
        <v>2454</v>
      </c>
      <c r="C127" s="18" t="s">
        <v>2450</v>
      </c>
      <c r="D127" s="17" t="s">
        <v>837</v>
      </c>
      <c r="E127" s="18" t="s">
        <v>838</v>
      </c>
      <c r="F127" s="18" t="s">
        <v>839</v>
      </c>
      <c r="G127" s="18" t="s">
        <v>122</v>
      </c>
      <c r="H127" s="17" t="s">
        <v>122</v>
      </c>
      <c r="I127" s="17" t="s">
        <v>123</v>
      </c>
      <c r="J127" s="17" t="s">
        <v>124</v>
      </c>
      <c r="K127" s="18" t="s">
        <v>125</v>
      </c>
      <c r="L127" s="18" t="s">
        <v>99</v>
      </c>
      <c r="M127" s="18" t="s">
        <v>100</v>
      </c>
      <c r="N127" s="18" t="s">
        <v>126</v>
      </c>
      <c r="O127" s="17">
        <v>10</v>
      </c>
      <c r="P127" s="59">
        <v>14000</v>
      </c>
      <c r="Q127" s="60">
        <v>10</v>
      </c>
      <c r="R127" s="17">
        <v>18</v>
      </c>
      <c r="S127" s="19">
        <v>148680</v>
      </c>
      <c r="T127" s="18" t="s">
        <v>153</v>
      </c>
      <c r="U127" s="18" t="s">
        <v>288</v>
      </c>
      <c r="V127" s="18" t="s">
        <v>212</v>
      </c>
    </row>
    <row r="128" spans="1:22" ht="15.75" customHeight="1">
      <c r="A128" s="13" t="s">
        <v>840</v>
      </c>
      <c r="B128" s="14" t="s">
        <v>2468</v>
      </c>
      <c r="C128" s="14" t="s">
        <v>2268</v>
      </c>
      <c r="D128" s="13" t="s">
        <v>843</v>
      </c>
      <c r="E128" s="14" t="s">
        <v>844</v>
      </c>
      <c r="F128" s="14" t="s">
        <v>845</v>
      </c>
      <c r="G128" s="14" t="s">
        <v>135</v>
      </c>
      <c r="H128" s="13" t="s">
        <v>136</v>
      </c>
      <c r="I128" s="13" t="s">
        <v>63</v>
      </c>
      <c r="J128" s="13" t="s">
        <v>365</v>
      </c>
      <c r="K128" s="14" t="s">
        <v>366</v>
      </c>
      <c r="L128" s="14" t="s">
        <v>112</v>
      </c>
      <c r="M128" s="14" t="s">
        <v>367</v>
      </c>
      <c r="N128" s="14" t="s">
        <v>368</v>
      </c>
      <c r="O128" s="13">
        <v>4</v>
      </c>
      <c r="P128" s="61">
        <v>3500</v>
      </c>
      <c r="Q128" s="62">
        <v>12</v>
      </c>
      <c r="R128" s="13">
        <v>5</v>
      </c>
      <c r="S128" s="16">
        <v>12936</v>
      </c>
      <c r="T128" s="14" t="s">
        <v>127</v>
      </c>
      <c r="U128" s="14" t="s">
        <v>143</v>
      </c>
      <c r="V128" s="14" t="s">
        <v>212</v>
      </c>
    </row>
    <row r="129" spans="1:22" ht="15.75" customHeight="1">
      <c r="A129" s="17" t="s">
        <v>846</v>
      </c>
      <c r="B129" s="18" t="s">
        <v>644</v>
      </c>
      <c r="C129" s="18" t="s">
        <v>728</v>
      </c>
      <c r="D129" s="17" t="s">
        <v>848</v>
      </c>
      <c r="E129" s="18" t="s">
        <v>849</v>
      </c>
      <c r="F129" s="18" t="s">
        <v>850</v>
      </c>
      <c r="G129" s="18" t="s">
        <v>341</v>
      </c>
      <c r="H129" s="17" t="s">
        <v>62</v>
      </c>
      <c r="I129" s="17" t="s">
        <v>63</v>
      </c>
      <c r="J129" s="17" t="s">
        <v>207</v>
      </c>
      <c r="K129" s="18" t="s">
        <v>2406</v>
      </c>
      <c r="L129" s="18" t="s">
        <v>99</v>
      </c>
      <c r="M129" s="18" t="s">
        <v>209</v>
      </c>
      <c r="N129" s="18" t="s">
        <v>2407</v>
      </c>
      <c r="O129" s="17">
        <v>6</v>
      </c>
      <c r="P129" s="59">
        <v>55000</v>
      </c>
      <c r="Q129" s="60">
        <v>0</v>
      </c>
      <c r="R129" s="17">
        <v>18</v>
      </c>
      <c r="S129" s="19">
        <v>389400</v>
      </c>
      <c r="T129" s="18" t="s">
        <v>153</v>
      </c>
      <c r="U129" s="18" t="s">
        <v>70</v>
      </c>
      <c r="V129" s="18" t="s">
        <v>155</v>
      </c>
    </row>
    <row r="130" spans="1:22" ht="15.75" customHeight="1">
      <c r="A130" s="13" t="s">
        <v>851</v>
      </c>
      <c r="B130" s="14" t="s">
        <v>1948</v>
      </c>
      <c r="C130" s="14" t="s">
        <v>2405</v>
      </c>
      <c r="D130" s="13" t="s">
        <v>853</v>
      </c>
      <c r="E130" s="14" t="s">
        <v>854</v>
      </c>
      <c r="F130" s="14" t="s">
        <v>855</v>
      </c>
      <c r="G130" s="14" t="s">
        <v>2422</v>
      </c>
      <c r="H130" s="13" t="s">
        <v>96</v>
      </c>
      <c r="I130" s="13" t="s">
        <v>63</v>
      </c>
      <c r="J130" s="13" t="s">
        <v>110</v>
      </c>
      <c r="K130" s="14" t="s">
        <v>111</v>
      </c>
      <c r="L130" s="14" t="s">
        <v>112</v>
      </c>
      <c r="M130" s="14" t="s">
        <v>113</v>
      </c>
      <c r="N130" s="14" t="s">
        <v>114</v>
      </c>
      <c r="O130" s="13">
        <v>3</v>
      </c>
      <c r="P130" s="61">
        <v>3500</v>
      </c>
      <c r="Q130" s="62">
        <v>0</v>
      </c>
      <c r="R130" s="13">
        <v>18</v>
      </c>
      <c r="S130" s="16">
        <v>12390</v>
      </c>
      <c r="T130" s="14" t="s">
        <v>102</v>
      </c>
      <c r="U130" s="14" t="s">
        <v>184</v>
      </c>
      <c r="V130" s="14" t="s">
        <v>212</v>
      </c>
    </row>
    <row r="131" spans="1:22" ht="15.75" customHeight="1">
      <c r="A131" s="17" t="s">
        <v>856</v>
      </c>
      <c r="B131" s="18" t="s">
        <v>2437</v>
      </c>
      <c r="C131" s="18" t="s">
        <v>2430</v>
      </c>
      <c r="D131" s="17" t="s">
        <v>858</v>
      </c>
      <c r="E131" s="18" t="s">
        <v>537</v>
      </c>
      <c r="F131" s="18" t="s">
        <v>859</v>
      </c>
      <c r="G131" s="18" t="s">
        <v>341</v>
      </c>
      <c r="H131" s="17" t="s">
        <v>62</v>
      </c>
      <c r="I131" s="17" t="s">
        <v>63</v>
      </c>
      <c r="J131" s="17" t="s">
        <v>275</v>
      </c>
      <c r="K131" s="18" t="s">
        <v>2423</v>
      </c>
      <c r="L131" s="18" t="s">
        <v>99</v>
      </c>
      <c r="M131" s="18" t="s">
        <v>277</v>
      </c>
      <c r="N131" s="18" t="s">
        <v>126</v>
      </c>
      <c r="O131" s="17">
        <v>7</v>
      </c>
      <c r="P131" s="59">
        <v>35000</v>
      </c>
      <c r="Q131" s="60">
        <v>5</v>
      </c>
      <c r="R131" s="17">
        <v>18</v>
      </c>
      <c r="S131" s="19">
        <v>274645</v>
      </c>
      <c r="T131" s="18" t="s">
        <v>127</v>
      </c>
      <c r="U131" s="18" t="s">
        <v>143</v>
      </c>
      <c r="V131" s="18" t="s">
        <v>155</v>
      </c>
    </row>
    <row r="132" spans="1:22" ht="15.75" customHeight="1">
      <c r="A132" s="13" t="s">
        <v>860</v>
      </c>
      <c r="B132" s="14" t="s">
        <v>2485</v>
      </c>
      <c r="C132" s="14" t="s">
        <v>264</v>
      </c>
      <c r="D132" s="13" t="s">
        <v>862</v>
      </c>
      <c r="E132" s="14" t="s">
        <v>266</v>
      </c>
      <c r="F132" s="14" t="s">
        <v>863</v>
      </c>
      <c r="G132" s="14" t="s">
        <v>333</v>
      </c>
      <c r="H132" s="13" t="s">
        <v>334</v>
      </c>
      <c r="I132" s="13" t="s">
        <v>63</v>
      </c>
      <c r="J132" s="13" t="s">
        <v>124</v>
      </c>
      <c r="K132" s="14" t="s">
        <v>125</v>
      </c>
      <c r="L132" s="14" t="s">
        <v>99</v>
      </c>
      <c r="M132" s="14" t="s">
        <v>100</v>
      </c>
      <c r="N132" s="14" t="s">
        <v>126</v>
      </c>
      <c r="O132" s="13">
        <v>4</v>
      </c>
      <c r="P132" s="61">
        <v>14000</v>
      </c>
      <c r="Q132" s="62">
        <v>15</v>
      </c>
      <c r="R132" s="13">
        <v>18</v>
      </c>
      <c r="S132" s="16">
        <v>56168</v>
      </c>
      <c r="T132" s="14" t="s">
        <v>115</v>
      </c>
      <c r="U132" s="14" t="s">
        <v>70</v>
      </c>
      <c r="V132" s="14" t="s">
        <v>212</v>
      </c>
    </row>
    <row r="133" spans="1:22" ht="15.75" customHeight="1">
      <c r="A133" s="17" t="s">
        <v>864</v>
      </c>
      <c r="B133" s="18" t="s">
        <v>90</v>
      </c>
      <c r="C133" s="18" t="s">
        <v>2456</v>
      </c>
      <c r="D133" s="17" t="s">
        <v>866</v>
      </c>
      <c r="E133" s="18" t="s">
        <v>867</v>
      </c>
      <c r="F133" s="18" t="s">
        <v>868</v>
      </c>
      <c r="G133" s="18" t="s">
        <v>485</v>
      </c>
      <c r="H133" s="17" t="s">
        <v>305</v>
      </c>
      <c r="I133" s="17" t="s">
        <v>306</v>
      </c>
      <c r="J133" s="17" t="s">
        <v>238</v>
      </c>
      <c r="K133" s="18" t="s">
        <v>2412</v>
      </c>
      <c r="L133" s="18" t="s">
        <v>112</v>
      </c>
      <c r="M133" s="18" t="s">
        <v>240</v>
      </c>
      <c r="N133" s="18" t="s">
        <v>2413</v>
      </c>
      <c r="O133" s="17">
        <v>9</v>
      </c>
      <c r="P133" s="59">
        <v>2500</v>
      </c>
      <c r="Q133" s="60">
        <v>12</v>
      </c>
      <c r="R133" s="17">
        <v>5</v>
      </c>
      <c r="S133" s="19">
        <v>20790</v>
      </c>
      <c r="T133" s="18" t="s">
        <v>153</v>
      </c>
      <c r="U133" s="18" t="s">
        <v>184</v>
      </c>
      <c r="V133" s="18" t="s">
        <v>155</v>
      </c>
    </row>
    <row r="134" spans="1:22" ht="15.75" customHeight="1">
      <c r="A134" s="13" t="s">
        <v>869</v>
      </c>
      <c r="B134" s="14" t="s">
        <v>2420</v>
      </c>
      <c r="C134" s="14" t="s">
        <v>2268</v>
      </c>
      <c r="D134" s="13" t="s">
        <v>871</v>
      </c>
      <c r="E134" s="14" t="s">
        <v>2488</v>
      </c>
      <c r="F134" s="14" t="s">
        <v>872</v>
      </c>
      <c r="G134" s="14" t="s">
        <v>135</v>
      </c>
      <c r="H134" s="13" t="s">
        <v>136</v>
      </c>
      <c r="I134" s="13" t="s">
        <v>63</v>
      </c>
      <c r="J134" s="13" t="s">
        <v>207</v>
      </c>
      <c r="K134" s="14" t="s">
        <v>2406</v>
      </c>
      <c r="L134" s="14" t="s">
        <v>99</v>
      </c>
      <c r="M134" s="14" t="s">
        <v>209</v>
      </c>
      <c r="N134" s="14" t="s">
        <v>2407</v>
      </c>
      <c r="O134" s="13">
        <v>1</v>
      </c>
      <c r="P134" s="61">
        <v>55000</v>
      </c>
      <c r="Q134" s="62">
        <v>25</v>
      </c>
      <c r="R134" s="13">
        <v>18</v>
      </c>
      <c r="S134" s="16">
        <v>48675</v>
      </c>
      <c r="T134" s="14" t="s">
        <v>127</v>
      </c>
      <c r="U134" s="14" t="s">
        <v>143</v>
      </c>
      <c r="V134" s="14" t="s">
        <v>212</v>
      </c>
    </row>
    <row r="135" spans="1:22" ht="15.75" customHeight="1">
      <c r="A135" s="17" t="s">
        <v>873</v>
      </c>
      <c r="B135" s="18" t="s">
        <v>2419</v>
      </c>
      <c r="C135" s="18" t="s">
        <v>2393</v>
      </c>
      <c r="D135" s="17" t="s">
        <v>875</v>
      </c>
      <c r="E135" s="18" t="s">
        <v>876</v>
      </c>
      <c r="F135" s="18" t="s">
        <v>877</v>
      </c>
      <c r="G135" s="18" t="s">
        <v>151</v>
      </c>
      <c r="H135" s="17" t="s">
        <v>152</v>
      </c>
      <c r="I135" s="17" t="s">
        <v>80</v>
      </c>
      <c r="J135" s="17" t="s">
        <v>347</v>
      </c>
      <c r="K135" s="18" t="s">
        <v>348</v>
      </c>
      <c r="L135" s="18" t="s">
        <v>139</v>
      </c>
      <c r="M135" s="18" t="s">
        <v>349</v>
      </c>
      <c r="N135" s="18" t="s">
        <v>350</v>
      </c>
      <c r="O135" s="17">
        <v>8</v>
      </c>
      <c r="P135" s="59">
        <v>3200</v>
      </c>
      <c r="Q135" s="60">
        <v>12</v>
      </c>
      <c r="R135" s="17">
        <v>18</v>
      </c>
      <c r="S135" s="19">
        <v>26583</v>
      </c>
      <c r="T135" s="18" t="s">
        <v>102</v>
      </c>
      <c r="U135" s="18" t="s">
        <v>288</v>
      </c>
      <c r="V135" s="18" t="s">
        <v>212</v>
      </c>
    </row>
    <row r="136" spans="1:22" ht="15.75" customHeight="1">
      <c r="A136" s="13" t="s">
        <v>879</v>
      </c>
      <c r="B136" s="14" t="s">
        <v>2489</v>
      </c>
      <c r="C136" s="14" t="s">
        <v>2415</v>
      </c>
      <c r="D136" s="13" t="s">
        <v>880</v>
      </c>
      <c r="E136" s="14" t="s">
        <v>881</v>
      </c>
      <c r="F136" s="14" t="s">
        <v>882</v>
      </c>
      <c r="G136" s="14" t="s">
        <v>333</v>
      </c>
      <c r="H136" s="13" t="s">
        <v>334</v>
      </c>
      <c r="I136" s="13" t="s">
        <v>63</v>
      </c>
      <c r="J136" s="13" t="s">
        <v>275</v>
      </c>
      <c r="K136" s="14" t="s">
        <v>2423</v>
      </c>
      <c r="L136" s="14" t="s">
        <v>99</v>
      </c>
      <c r="M136" s="14" t="s">
        <v>277</v>
      </c>
      <c r="N136" s="14" t="s">
        <v>126</v>
      </c>
      <c r="O136" s="13">
        <v>10</v>
      </c>
      <c r="P136" s="61">
        <v>35000</v>
      </c>
      <c r="Q136" s="62">
        <v>12</v>
      </c>
      <c r="R136" s="13">
        <v>18</v>
      </c>
      <c r="S136" s="16">
        <v>363440</v>
      </c>
      <c r="T136" s="14" t="s">
        <v>102</v>
      </c>
      <c r="U136" s="14" t="s">
        <v>288</v>
      </c>
      <c r="V136" s="14" t="s">
        <v>155</v>
      </c>
    </row>
    <row r="137" spans="1:22" ht="15.75" customHeight="1">
      <c r="A137" s="17" t="s">
        <v>883</v>
      </c>
      <c r="B137" s="18" t="s">
        <v>1046</v>
      </c>
      <c r="C137" s="18" t="s">
        <v>2421</v>
      </c>
      <c r="D137" s="17" t="s">
        <v>885</v>
      </c>
      <c r="E137" s="18" t="s">
        <v>886</v>
      </c>
      <c r="F137" s="18" t="s">
        <v>887</v>
      </c>
      <c r="G137" s="18" t="s">
        <v>228</v>
      </c>
      <c r="H137" s="17" t="s">
        <v>152</v>
      </c>
      <c r="I137" s="17" t="s">
        <v>80</v>
      </c>
      <c r="J137" s="17" t="s">
        <v>207</v>
      </c>
      <c r="K137" s="18" t="s">
        <v>2406</v>
      </c>
      <c r="L137" s="18" t="s">
        <v>99</v>
      </c>
      <c r="M137" s="18" t="s">
        <v>209</v>
      </c>
      <c r="N137" s="18" t="s">
        <v>2407</v>
      </c>
      <c r="O137" s="17">
        <v>10</v>
      </c>
      <c r="P137" s="59">
        <v>55000</v>
      </c>
      <c r="Q137" s="60">
        <v>25</v>
      </c>
      <c r="R137" s="17">
        <v>18</v>
      </c>
      <c r="S137" s="19">
        <v>486750</v>
      </c>
      <c r="T137" s="18" t="s">
        <v>115</v>
      </c>
      <c r="U137" s="18" t="s">
        <v>70</v>
      </c>
      <c r="V137" s="18" t="s">
        <v>212</v>
      </c>
    </row>
    <row r="138" spans="1:22" ht="15.75" customHeight="1">
      <c r="A138" s="13" t="s">
        <v>888</v>
      </c>
      <c r="B138" s="14" t="s">
        <v>2490</v>
      </c>
      <c r="C138" s="14" t="s">
        <v>2442</v>
      </c>
      <c r="D138" s="13" t="s">
        <v>890</v>
      </c>
      <c r="E138" s="14" t="s">
        <v>412</v>
      </c>
      <c r="F138" s="14" t="s">
        <v>891</v>
      </c>
      <c r="G138" s="14" t="s">
        <v>248</v>
      </c>
      <c r="H138" s="13" t="s">
        <v>249</v>
      </c>
      <c r="I138" s="13" t="s">
        <v>123</v>
      </c>
      <c r="J138" s="13" t="s">
        <v>64</v>
      </c>
      <c r="K138" s="14" t="s">
        <v>2389</v>
      </c>
      <c r="L138" s="14" t="s">
        <v>66</v>
      </c>
      <c r="M138" s="14" t="s">
        <v>67</v>
      </c>
      <c r="N138" s="14" t="s">
        <v>68</v>
      </c>
      <c r="O138" s="13">
        <v>6</v>
      </c>
      <c r="P138" s="61">
        <v>450</v>
      </c>
      <c r="Q138" s="62">
        <v>0</v>
      </c>
      <c r="R138" s="13">
        <v>5</v>
      </c>
      <c r="S138" s="16">
        <v>2835</v>
      </c>
      <c r="T138" s="14" t="s">
        <v>153</v>
      </c>
      <c r="U138" s="14" t="s">
        <v>211</v>
      </c>
      <c r="V138" s="14" t="s">
        <v>155</v>
      </c>
    </row>
    <row r="139" spans="1:22" ht="15.75" customHeight="1">
      <c r="A139" s="17" t="s">
        <v>892</v>
      </c>
      <c r="B139" s="18" t="s">
        <v>352</v>
      </c>
      <c r="C139" s="18" t="s">
        <v>131</v>
      </c>
      <c r="D139" s="17" t="s">
        <v>894</v>
      </c>
      <c r="E139" s="18" t="s">
        <v>895</v>
      </c>
      <c r="F139" s="18" t="s">
        <v>896</v>
      </c>
      <c r="G139" s="18" t="s">
        <v>439</v>
      </c>
      <c r="H139" s="17" t="s">
        <v>364</v>
      </c>
      <c r="I139" s="17" t="s">
        <v>63</v>
      </c>
      <c r="J139" s="17" t="s">
        <v>897</v>
      </c>
      <c r="K139" s="18" t="s">
        <v>2491</v>
      </c>
      <c r="L139" s="18" t="s">
        <v>139</v>
      </c>
      <c r="M139" s="18" t="s">
        <v>140</v>
      </c>
      <c r="N139" s="18" t="s">
        <v>899</v>
      </c>
      <c r="O139" s="17">
        <v>6</v>
      </c>
      <c r="P139" s="59">
        <v>38000</v>
      </c>
      <c r="Q139" s="60">
        <v>8</v>
      </c>
      <c r="R139" s="17">
        <v>18</v>
      </c>
      <c r="S139" s="19">
        <v>247517</v>
      </c>
      <c r="T139" s="18" t="s">
        <v>413</v>
      </c>
      <c r="U139" s="18" t="s">
        <v>184</v>
      </c>
      <c r="V139" s="18" t="s">
        <v>155</v>
      </c>
    </row>
    <row r="140" spans="1:22" ht="15.75" customHeight="1">
      <c r="A140" s="13" t="s">
        <v>900</v>
      </c>
      <c r="B140" s="14" t="s">
        <v>2392</v>
      </c>
      <c r="C140" s="14" t="s">
        <v>2410</v>
      </c>
      <c r="D140" s="13" t="s">
        <v>902</v>
      </c>
      <c r="E140" s="14" t="s">
        <v>528</v>
      </c>
      <c r="F140" s="14" t="s">
        <v>903</v>
      </c>
      <c r="G140" s="14" t="s">
        <v>61</v>
      </c>
      <c r="H140" s="13" t="s">
        <v>62</v>
      </c>
      <c r="I140" s="13" t="s">
        <v>63</v>
      </c>
      <c r="J140" s="13" t="s">
        <v>162</v>
      </c>
      <c r="K140" s="14" t="s">
        <v>2441</v>
      </c>
      <c r="L140" s="14" t="s">
        <v>99</v>
      </c>
      <c r="M140" s="14" t="s">
        <v>164</v>
      </c>
      <c r="N140" s="14" t="s">
        <v>165</v>
      </c>
      <c r="O140" s="13">
        <v>1</v>
      </c>
      <c r="P140" s="61">
        <v>2800</v>
      </c>
      <c r="Q140" s="62">
        <v>15</v>
      </c>
      <c r="R140" s="13">
        <v>18</v>
      </c>
      <c r="S140" s="16">
        <v>2808</v>
      </c>
      <c r="T140" s="14" t="s">
        <v>127</v>
      </c>
      <c r="U140" s="14" t="s">
        <v>184</v>
      </c>
      <c r="V140" s="14" t="s">
        <v>212</v>
      </c>
    </row>
    <row r="141" spans="1:22" ht="15.75" customHeight="1">
      <c r="A141" s="17" t="s">
        <v>905</v>
      </c>
      <c r="B141" s="18" t="s">
        <v>1595</v>
      </c>
      <c r="C141" s="18" t="s">
        <v>2400</v>
      </c>
      <c r="D141" s="17" t="s">
        <v>907</v>
      </c>
      <c r="E141" s="18" t="s">
        <v>908</v>
      </c>
      <c r="F141" s="18" t="s">
        <v>909</v>
      </c>
      <c r="G141" s="18" t="s">
        <v>439</v>
      </c>
      <c r="H141" s="17" t="s">
        <v>364</v>
      </c>
      <c r="I141" s="17" t="s">
        <v>63</v>
      </c>
      <c r="J141" s="17" t="s">
        <v>595</v>
      </c>
      <c r="K141" s="18" t="s">
        <v>596</v>
      </c>
      <c r="L141" s="18" t="s">
        <v>112</v>
      </c>
      <c r="M141" s="18" t="s">
        <v>240</v>
      </c>
      <c r="N141" s="18" t="s">
        <v>597</v>
      </c>
      <c r="O141" s="17">
        <v>1</v>
      </c>
      <c r="P141" s="59">
        <v>1200</v>
      </c>
      <c r="Q141" s="60">
        <v>8</v>
      </c>
      <c r="R141" s="17">
        <v>5</v>
      </c>
      <c r="S141" s="19">
        <v>1159</v>
      </c>
      <c r="T141" s="18" t="s">
        <v>413</v>
      </c>
      <c r="U141" s="18" t="s">
        <v>70</v>
      </c>
      <c r="V141" s="18" t="s">
        <v>212</v>
      </c>
    </row>
    <row r="142" spans="1:22" ht="15.75" customHeight="1">
      <c r="A142" s="13" t="s">
        <v>910</v>
      </c>
      <c r="B142" s="14" t="s">
        <v>2463</v>
      </c>
      <c r="C142" s="14" t="s">
        <v>2268</v>
      </c>
      <c r="D142" s="13" t="s">
        <v>911</v>
      </c>
      <c r="E142" s="14" t="s">
        <v>912</v>
      </c>
      <c r="F142" s="14" t="s">
        <v>913</v>
      </c>
      <c r="G142" s="14" t="s">
        <v>95</v>
      </c>
      <c r="H142" s="13" t="s">
        <v>96</v>
      </c>
      <c r="I142" s="13" t="s">
        <v>63</v>
      </c>
      <c r="J142" s="13" t="s">
        <v>376</v>
      </c>
      <c r="K142" s="14" t="s">
        <v>377</v>
      </c>
      <c r="L142" s="14" t="s">
        <v>112</v>
      </c>
      <c r="M142" s="14" t="s">
        <v>113</v>
      </c>
      <c r="N142" s="14" t="s">
        <v>378</v>
      </c>
      <c r="O142" s="13">
        <v>1</v>
      </c>
      <c r="P142" s="61">
        <v>8500</v>
      </c>
      <c r="Q142" s="62">
        <v>8</v>
      </c>
      <c r="R142" s="13">
        <v>18</v>
      </c>
      <c r="S142" s="16">
        <v>9228</v>
      </c>
      <c r="T142" s="14" t="s">
        <v>465</v>
      </c>
      <c r="U142" s="14" t="s">
        <v>143</v>
      </c>
      <c r="V142" s="14" t="s">
        <v>212</v>
      </c>
    </row>
    <row r="143" spans="1:22" ht="15.75" customHeight="1">
      <c r="A143" s="17" t="s">
        <v>914</v>
      </c>
      <c r="B143" s="18" t="s">
        <v>2436</v>
      </c>
      <c r="C143" s="18" t="s">
        <v>291</v>
      </c>
      <c r="D143" s="17" t="s">
        <v>916</v>
      </c>
      <c r="E143" s="18" t="s">
        <v>664</v>
      </c>
      <c r="F143" s="18" t="s">
        <v>917</v>
      </c>
      <c r="G143" s="18" t="s">
        <v>135</v>
      </c>
      <c r="H143" s="17" t="s">
        <v>136</v>
      </c>
      <c r="I143" s="17" t="s">
        <v>63</v>
      </c>
      <c r="J143" s="17" t="s">
        <v>365</v>
      </c>
      <c r="K143" s="18" t="s">
        <v>366</v>
      </c>
      <c r="L143" s="18" t="s">
        <v>112</v>
      </c>
      <c r="M143" s="18" t="s">
        <v>367</v>
      </c>
      <c r="N143" s="18" t="s">
        <v>368</v>
      </c>
      <c r="O143" s="17">
        <v>1</v>
      </c>
      <c r="P143" s="59">
        <v>3500</v>
      </c>
      <c r="Q143" s="60">
        <v>25</v>
      </c>
      <c r="R143" s="17">
        <v>5</v>
      </c>
      <c r="S143" s="19">
        <v>2756</v>
      </c>
      <c r="T143" s="18" t="s">
        <v>153</v>
      </c>
      <c r="U143" s="18" t="s">
        <v>288</v>
      </c>
      <c r="V143" s="18" t="s">
        <v>155</v>
      </c>
    </row>
    <row r="144" spans="1:22" ht="15.75" customHeight="1">
      <c r="A144" s="13" t="s">
        <v>918</v>
      </c>
      <c r="B144" s="14" t="s">
        <v>2492</v>
      </c>
      <c r="C144" s="14" t="s">
        <v>337</v>
      </c>
      <c r="D144" s="13" t="s">
        <v>920</v>
      </c>
      <c r="E144" s="14" t="s">
        <v>339</v>
      </c>
      <c r="F144" s="14" t="s">
        <v>921</v>
      </c>
      <c r="G144" s="14" t="s">
        <v>135</v>
      </c>
      <c r="H144" s="13" t="s">
        <v>136</v>
      </c>
      <c r="I144" s="13" t="s">
        <v>63</v>
      </c>
      <c r="J144" s="13" t="s">
        <v>897</v>
      </c>
      <c r="K144" s="14" t="s">
        <v>2491</v>
      </c>
      <c r="L144" s="14" t="s">
        <v>139</v>
      </c>
      <c r="M144" s="14" t="s">
        <v>140</v>
      </c>
      <c r="N144" s="14" t="s">
        <v>899</v>
      </c>
      <c r="O144" s="13">
        <v>1</v>
      </c>
      <c r="P144" s="61">
        <v>38000</v>
      </c>
      <c r="Q144" s="62">
        <v>25</v>
      </c>
      <c r="R144" s="13">
        <v>18</v>
      </c>
      <c r="S144" s="16">
        <v>33630</v>
      </c>
      <c r="T144" s="14" t="s">
        <v>465</v>
      </c>
      <c r="U144" s="14" t="s">
        <v>211</v>
      </c>
      <c r="V144" s="14" t="s">
        <v>155</v>
      </c>
    </row>
    <row r="145" spans="1:22" ht="15.75" customHeight="1">
      <c r="A145" s="17" t="s">
        <v>922</v>
      </c>
      <c r="B145" s="18" t="s">
        <v>2493</v>
      </c>
      <c r="C145" s="18" t="s">
        <v>712</v>
      </c>
      <c r="D145" s="17" t="s">
        <v>924</v>
      </c>
      <c r="E145" s="18" t="s">
        <v>714</v>
      </c>
      <c r="F145" s="18" t="s">
        <v>925</v>
      </c>
      <c r="G145" s="18" t="s">
        <v>172</v>
      </c>
      <c r="H145" s="17" t="s">
        <v>96</v>
      </c>
      <c r="I145" s="17" t="s">
        <v>63</v>
      </c>
      <c r="J145" s="17" t="s">
        <v>356</v>
      </c>
      <c r="K145" s="18" t="s">
        <v>2434</v>
      </c>
      <c r="L145" s="18" t="s">
        <v>139</v>
      </c>
      <c r="M145" s="18" t="s">
        <v>140</v>
      </c>
      <c r="N145" s="18" t="s">
        <v>2435</v>
      </c>
      <c r="O145" s="17">
        <v>3</v>
      </c>
      <c r="P145" s="59">
        <v>42000</v>
      </c>
      <c r="Q145" s="60">
        <v>25</v>
      </c>
      <c r="R145" s="17">
        <v>18</v>
      </c>
      <c r="S145" s="19">
        <v>111510</v>
      </c>
      <c r="T145" s="18" t="s">
        <v>465</v>
      </c>
      <c r="U145" s="18" t="s">
        <v>70</v>
      </c>
      <c r="V145" s="18" t="s">
        <v>155</v>
      </c>
    </row>
    <row r="146" spans="1:22" ht="15.75" customHeight="1">
      <c r="A146" s="13" t="s">
        <v>926</v>
      </c>
      <c r="B146" s="14" t="s">
        <v>2494</v>
      </c>
      <c r="C146" s="14" t="s">
        <v>2465</v>
      </c>
      <c r="D146" s="13" t="s">
        <v>928</v>
      </c>
      <c r="E146" s="14" t="s">
        <v>798</v>
      </c>
      <c r="F146" s="14" t="s">
        <v>929</v>
      </c>
      <c r="G146" s="14" t="s">
        <v>61</v>
      </c>
      <c r="H146" s="13" t="s">
        <v>62</v>
      </c>
      <c r="I146" s="13" t="s">
        <v>63</v>
      </c>
      <c r="J146" s="13" t="s">
        <v>420</v>
      </c>
      <c r="K146" s="14" t="s">
        <v>2445</v>
      </c>
      <c r="L146" s="14" t="s">
        <v>112</v>
      </c>
      <c r="M146" s="14" t="s">
        <v>422</v>
      </c>
      <c r="N146" s="14" t="s">
        <v>2446</v>
      </c>
      <c r="O146" s="13">
        <v>6</v>
      </c>
      <c r="P146" s="61">
        <v>4800</v>
      </c>
      <c r="Q146" s="62">
        <v>10</v>
      </c>
      <c r="R146" s="13">
        <v>18</v>
      </c>
      <c r="S146" s="16">
        <v>30586</v>
      </c>
      <c r="T146" s="14" t="s">
        <v>115</v>
      </c>
      <c r="U146" s="14" t="s">
        <v>143</v>
      </c>
      <c r="V146" s="14" t="s">
        <v>155</v>
      </c>
    </row>
    <row r="147" spans="1:22" ht="15.75" customHeight="1">
      <c r="A147" s="17" t="s">
        <v>930</v>
      </c>
      <c r="B147" s="18" t="s">
        <v>2392</v>
      </c>
      <c r="C147" s="18" t="s">
        <v>2402</v>
      </c>
      <c r="D147" s="17" t="s">
        <v>931</v>
      </c>
      <c r="E147" s="18" t="s">
        <v>2495</v>
      </c>
      <c r="F147" s="18" t="s">
        <v>2394</v>
      </c>
      <c r="G147" s="18" t="s">
        <v>248</v>
      </c>
      <c r="H147" s="17" t="s">
        <v>249</v>
      </c>
      <c r="I147" s="17" t="s">
        <v>123</v>
      </c>
      <c r="J147" s="17" t="s">
        <v>207</v>
      </c>
      <c r="K147" s="18" t="s">
        <v>2406</v>
      </c>
      <c r="L147" s="18" t="s">
        <v>99</v>
      </c>
      <c r="M147" s="18" t="s">
        <v>209</v>
      </c>
      <c r="N147" s="18" t="s">
        <v>2407</v>
      </c>
      <c r="O147" s="17">
        <v>4</v>
      </c>
      <c r="P147" s="59">
        <v>55000</v>
      </c>
      <c r="Q147" s="60">
        <v>25</v>
      </c>
      <c r="R147" s="17">
        <v>18</v>
      </c>
      <c r="S147" s="19">
        <v>194700</v>
      </c>
      <c r="T147" s="18" t="s">
        <v>102</v>
      </c>
      <c r="U147" s="18" t="s">
        <v>211</v>
      </c>
      <c r="V147" s="18" t="s">
        <v>212</v>
      </c>
    </row>
    <row r="148" spans="1:22" ht="15.75" customHeight="1">
      <c r="A148" s="13" t="s">
        <v>932</v>
      </c>
      <c r="B148" s="14" t="s">
        <v>1391</v>
      </c>
      <c r="C148" s="14" t="s">
        <v>461</v>
      </c>
      <c r="D148" s="13" t="s">
        <v>934</v>
      </c>
      <c r="E148" s="14" t="s">
        <v>463</v>
      </c>
      <c r="F148" s="14" t="s">
        <v>935</v>
      </c>
      <c r="G148" s="14" t="s">
        <v>485</v>
      </c>
      <c r="H148" s="13" t="s">
        <v>305</v>
      </c>
      <c r="I148" s="13" t="s">
        <v>306</v>
      </c>
      <c r="J148" s="13" t="s">
        <v>295</v>
      </c>
      <c r="K148" s="14" t="s">
        <v>2425</v>
      </c>
      <c r="L148" s="14" t="s">
        <v>66</v>
      </c>
      <c r="M148" s="14" t="s">
        <v>297</v>
      </c>
      <c r="N148" s="14" t="s">
        <v>298</v>
      </c>
      <c r="O148" s="13">
        <v>6</v>
      </c>
      <c r="P148" s="61">
        <v>280</v>
      </c>
      <c r="Q148" s="62">
        <v>25</v>
      </c>
      <c r="R148" s="13">
        <v>5</v>
      </c>
      <c r="S148" s="16">
        <v>1323</v>
      </c>
      <c r="T148" s="14" t="s">
        <v>153</v>
      </c>
      <c r="U148" s="14" t="s">
        <v>70</v>
      </c>
      <c r="V148" s="14" t="s">
        <v>155</v>
      </c>
    </row>
    <row r="149" spans="1:22" ht="15.75" customHeight="1">
      <c r="A149" s="17" t="s">
        <v>936</v>
      </c>
      <c r="B149" s="18" t="s">
        <v>2496</v>
      </c>
      <c r="C149" s="18" t="s">
        <v>2278</v>
      </c>
      <c r="D149" s="17" t="s">
        <v>938</v>
      </c>
      <c r="E149" s="18" t="s">
        <v>286</v>
      </c>
      <c r="F149" s="18" t="s">
        <v>939</v>
      </c>
      <c r="G149" s="18" t="s">
        <v>485</v>
      </c>
      <c r="H149" s="17" t="s">
        <v>305</v>
      </c>
      <c r="I149" s="17" t="s">
        <v>306</v>
      </c>
      <c r="J149" s="17" t="s">
        <v>257</v>
      </c>
      <c r="K149" s="18" t="s">
        <v>2418</v>
      </c>
      <c r="L149" s="18" t="s">
        <v>139</v>
      </c>
      <c r="M149" s="18" t="s">
        <v>259</v>
      </c>
      <c r="N149" s="18" t="s">
        <v>260</v>
      </c>
      <c r="O149" s="17">
        <v>2</v>
      </c>
      <c r="P149" s="59">
        <v>299</v>
      </c>
      <c r="Q149" s="60">
        <v>15</v>
      </c>
      <c r="R149" s="17">
        <v>18</v>
      </c>
      <c r="S149" s="19">
        <v>600</v>
      </c>
      <c r="T149" s="18" t="s">
        <v>102</v>
      </c>
      <c r="U149" s="18" t="s">
        <v>184</v>
      </c>
      <c r="V149" s="18" t="s">
        <v>212</v>
      </c>
    </row>
    <row r="150" spans="1:22" ht="15.75" customHeight="1">
      <c r="A150" s="13" t="s">
        <v>940</v>
      </c>
      <c r="B150" s="14" t="s">
        <v>2454</v>
      </c>
      <c r="C150" s="14" t="s">
        <v>2268</v>
      </c>
      <c r="D150" s="13" t="s">
        <v>942</v>
      </c>
      <c r="E150" s="14" t="s">
        <v>943</v>
      </c>
      <c r="F150" s="14" t="s">
        <v>944</v>
      </c>
      <c r="G150" s="14" t="s">
        <v>439</v>
      </c>
      <c r="H150" s="13" t="s">
        <v>364</v>
      </c>
      <c r="I150" s="13" t="s">
        <v>63</v>
      </c>
      <c r="J150" s="13" t="s">
        <v>110</v>
      </c>
      <c r="K150" s="14" t="s">
        <v>111</v>
      </c>
      <c r="L150" s="14" t="s">
        <v>112</v>
      </c>
      <c r="M150" s="14" t="s">
        <v>113</v>
      </c>
      <c r="N150" s="14" t="s">
        <v>114</v>
      </c>
      <c r="O150" s="13">
        <v>10</v>
      </c>
      <c r="P150" s="61">
        <v>3500</v>
      </c>
      <c r="Q150" s="62">
        <v>15</v>
      </c>
      <c r="R150" s="13">
        <v>18</v>
      </c>
      <c r="S150" s="16">
        <v>35105</v>
      </c>
      <c r="T150" s="14" t="s">
        <v>413</v>
      </c>
      <c r="U150" s="14" t="s">
        <v>288</v>
      </c>
      <c r="V150" s="14" t="s">
        <v>212</v>
      </c>
    </row>
    <row r="151" spans="1:22" ht="15.75" customHeight="1">
      <c r="A151" s="17" t="s">
        <v>945</v>
      </c>
      <c r="B151" s="18" t="s">
        <v>1263</v>
      </c>
      <c r="C151" s="18" t="s">
        <v>2405</v>
      </c>
      <c r="D151" s="17" t="s">
        <v>947</v>
      </c>
      <c r="E151" s="18" t="s">
        <v>854</v>
      </c>
      <c r="F151" s="18" t="s">
        <v>948</v>
      </c>
      <c r="G151" s="18" t="s">
        <v>181</v>
      </c>
      <c r="H151" s="17" t="s">
        <v>182</v>
      </c>
      <c r="I151" s="17" t="s">
        <v>123</v>
      </c>
      <c r="J151" s="17" t="s">
        <v>137</v>
      </c>
      <c r="K151" s="18" t="s">
        <v>138</v>
      </c>
      <c r="L151" s="18" t="s">
        <v>139</v>
      </c>
      <c r="M151" s="18" t="s">
        <v>140</v>
      </c>
      <c r="N151" s="18" t="s">
        <v>141</v>
      </c>
      <c r="O151" s="17">
        <v>4</v>
      </c>
      <c r="P151" s="59">
        <v>12000</v>
      </c>
      <c r="Q151" s="60">
        <v>8</v>
      </c>
      <c r="R151" s="17">
        <v>18</v>
      </c>
      <c r="S151" s="19">
        <v>52109</v>
      </c>
      <c r="T151" s="18" t="s">
        <v>153</v>
      </c>
      <c r="U151" s="18" t="s">
        <v>143</v>
      </c>
      <c r="V151" s="18" t="s">
        <v>155</v>
      </c>
    </row>
    <row r="152" spans="1:22" ht="15.75" customHeight="1">
      <c r="A152" s="13" t="s">
        <v>949</v>
      </c>
      <c r="B152" s="14" t="s">
        <v>2478</v>
      </c>
      <c r="C152" s="14" t="s">
        <v>2432</v>
      </c>
      <c r="D152" s="13" t="s">
        <v>951</v>
      </c>
      <c r="E152" s="14" t="s">
        <v>952</v>
      </c>
      <c r="F152" s="14" t="s">
        <v>953</v>
      </c>
      <c r="G152" s="14" t="s">
        <v>181</v>
      </c>
      <c r="H152" s="13" t="s">
        <v>182</v>
      </c>
      <c r="I152" s="13" t="s">
        <v>123</v>
      </c>
      <c r="J152" s="13" t="s">
        <v>347</v>
      </c>
      <c r="K152" s="14" t="s">
        <v>348</v>
      </c>
      <c r="L152" s="14" t="s">
        <v>139</v>
      </c>
      <c r="M152" s="14" t="s">
        <v>349</v>
      </c>
      <c r="N152" s="14" t="s">
        <v>350</v>
      </c>
      <c r="O152" s="13">
        <v>1</v>
      </c>
      <c r="P152" s="61">
        <v>3200</v>
      </c>
      <c r="Q152" s="62">
        <v>12</v>
      </c>
      <c r="R152" s="13">
        <v>18</v>
      </c>
      <c r="S152" s="16">
        <v>3323</v>
      </c>
      <c r="T152" s="14" t="s">
        <v>413</v>
      </c>
      <c r="U152" s="14" t="s">
        <v>143</v>
      </c>
      <c r="V152" s="14" t="s">
        <v>155</v>
      </c>
    </row>
    <row r="153" spans="1:22" ht="15.75" customHeight="1">
      <c r="A153" s="17" t="s">
        <v>954</v>
      </c>
      <c r="B153" s="18" t="s">
        <v>2411</v>
      </c>
      <c r="C153" s="18" t="s">
        <v>2410</v>
      </c>
      <c r="D153" s="17" t="s">
        <v>956</v>
      </c>
      <c r="E153" s="18" t="s">
        <v>957</v>
      </c>
      <c r="F153" s="18" t="s">
        <v>958</v>
      </c>
      <c r="G153" s="18" t="s">
        <v>744</v>
      </c>
      <c r="H153" s="17" t="s">
        <v>79</v>
      </c>
      <c r="I153" s="17" t="s">
        <v>80</v>
      </c>
      <c r="J153" s="17" t="s">
        <v>257</v>
      </c>
      <c r="K153" s="18" t="s">
        <v>2418</v>
      </c>
      <c r="L153" s="18" t="s">
        <v>139</v>
      </c>
      <c r="M153" s="18" t="s">
        <v>259</v>
      </c>
      <c r="N153" s="18" t="s">
        <v>260</v>
      </c>
      <c r="O153" s="17">
        <v>6</v>
      </c>
      <c r="P153" s="59">
        <v>299</v>
      </c>
      <c r="Q153" s="60">
        <v>25</v>
      </c>
      <c r="R153" s="17">
        <v>18</v>
      </c>
      <c r="S153" s="19">
        <v>1588</v>
      </c>
      <c r="T153" s="18" t="s">
        <v>102</v>
      </c>
      <c r="U153" s="18" t="s">
        <v>211</v>
      </c>
      <c r="V153" s="18" t="s">
        <v>212</v>
      </c>
    </row>
    <row r="154" spans="1:22" ht="15.75" customHeight="1">
      <c r="A154" s="13" t="s">
        <v>959</v>
      </c>
      <c r="B154" s="14" t="s">
        <v>2399</v>
      </c>
      <c r="C154" s="14" t="s">
        <v>482</v>
      </c>
      <c r="D154" s="13" t="s">
        <v>961</v>
      </c>
      <c r="E154" s="14" t="s">
        <v>962</v>
      </c>
      <c r="F154" s="14" t="s">
        <v>963</v>
      </c>
      <c r="G154" s="14" t="s">
        <v>485</v>
      </c>
      <c r="H154" s="13" t="s">
        <v>305</v>
      </c>
      <c r="I154" s="13" t="s">
        <v>306</v>
      </c>
      <c r="J154" s="13" t="s">
        <v>162</v>
      </c>
      <c r="K154" s="14" t="s">
        <v>163</v>
      </c>
      <c r="L154" s="14" t="s">
        <v>99</v>
      </c>
      <c r="M154" s="14" t="s">
        <v>164</v>
      </c>
      <c r="N154" s="14" t="s">
        <v>165</v>
      </c>
      <c r="O154" s="13">
        <v>3</v>
      </c>
      <c r="P154" s="13">
        <v>0</v>
      </c>
      <c r="Q154" s="62">
        <v>8</v>
      </c>
      <c r="R154" s="13">
        <v>18</v>
      </c>
      <c r="S154" s="16">
        <v>0</v>
      </c>
      <c r="T154" s="14" t="s">
        <v>102</v>
      </c>
      <c r="U154" s="14" t="s">
        <v>184</v>
      </c>
      <c r="V154" s="14" t="s">
        <v>212</v>
      </c>
    </row>
    <row r="155" spans="1:22" ht="15.75" customHeight="1">
      <c r="A155" s="17" t="s">
        <v>964</v>
      </c>
      <c r="B155" s="18" t="s">
        <v>1721</v>
      </c>
      <c r="C155" s="18" t="s">
        <v>482</v>
      </c>
      <c r="D155" s="17" t="s">
        <v>965</v>
      </c>
      <c r="E155" s="18" t="s">
        <v>966</v>
      </c>
      <c r="F155" s="18" t="s">
        <v>967</v>
      </c>
      <c r="G155" s="18" t="s">
        <v>122</v>
      </c>
      <c r="H155" s="17" t="s">
        <v>122</v>
      </c>
      <c r="I155" s="17" t="s">
        <v>123</v>
      </c>
      <c r="J155" s="17" t="s">
        <v>137</v>
      </c>
      <c r="K155" s="18" t="s">
        <v>138</v>
      </c>
      <c r="L155" s="18" t="s">
        <v>139</v>
      </c>
      <c r="M155" s="18" t="s">
        <v>140</v>
      </c>
      <c r="N155" s="18" t="s">
        <v>141</v>
      </c>
      <c r="O155" s="17">
        <v>6</v>
      </c>
      <c r="P155" s="59">
        <v>12000</v>
      </c>
      <c r="Q155" s="60">
        <v>25</v>
      </c>
      <c r="R155" s="17">
        <v>18</v>
      </c>
      <c r="S155" s="19">
        <v>63720</v>
      </c>
      <c r="T155" s="18" t="s">
        <v>465</v>
      </c>
      <c r="U155" s="18" t="s">
        <v>143</v>
      </c>
      <c r="V155" s="18" t="s">
        <v>155</v>
      </c>
    </row>
    <row r="156" spans="1:22" ht="15.75" customHeight="1">
      <c r="A156" s="13" t="s">
        <v>968</v>
      </c>
      <c r="B156" s="14" t="s">
        <v>1547</v>
      </c>
      <c r="C156" s="14" t="s">
        <v>2465</v>
      </c>
      <c r="D156" s="13" t="s">
        <v>970</v>
      </c>
      <c r="E156" s="14" t="s">
        <v>971</v>
      </c>
      <c r="F156" s="14" t="s">
        <v>972</v>
      </c>
      <c r="G156" s="14" t="s">
        <v>333</v>
      </c>
      <c r="H156" s="13" t="s">
        <v>334</v>
      </c>
      <c r="I156" s="13" t="s">
        <v>63</v>
      </c>
      <c r="J156" s="13" t="s">
        <v>477</v>
      </c>
      <c r="K156" s="14" t="s">
        <v>478</v>
      </c>
      <c r="L156" s="14" t="s">
        <v>139</v>
      </c>
      <c r="M156" s="14" t="s">
        <v>349</v>
      </c>
      <c r="N156" s="14" t="s">
        <v>479</v>
      </c>
      <c r="O156" s="13">
        <v>6</v>
      </c>
      <c r="P156" s="61">
        <v>2200</v>
      </c>
      <c r="Q156" s="62">
        <v>10</v>
      </c>
      <c r="R156" s="13">
        <v>12</v>
      </c>
      <c r="S156" s="16">
        <v>13306</v>
      </c>
      <c r="T156" s="14" t="s">
        <v>153</v>
      </c>
      <c r="U156" s="14" t="s">
        <v>143</v>
      </c>
      <c r="V156" s="14" t="s">
        <v>155</v>
      </c>
    </row>
    <row r="157" spans="1:22" ht="15.75" customHeight="1">
      <c r="A157" s="17" t="s">
        <v>973</v>
      </c>
      <c r="B157" s="18" t="s">
        <v>2436</v>
      </c>
      <c r="C157" s="18" t="s">
        <v>2477</v>
      </c>
      <c r="D157" s="17" t="s">
        <v>974</v>
      </c>
      <c r="E157" s="18" t="s">
        <v>975</v>
      </c>
      <c r="F157" s="18" t="s">
        <v>976</v>
      </c>
      <c r="G157" s="18" t="s">
        <v>439</v>
      </c>
      <c r="H157" s="17" t="s">
        <v>364</v>
      </c>
      <c r="I157" s="17" t="s">
        <v>63</v>
      </c>
      <c r="J157" s="17" t="s">
        <v>162</v>
      </c>
      <c r="K157" s="18" t="s">
        <v>163</v>
      </c>
      <c r="L157" s="18" t="s">
        <v>99</v>
      </c>
      <c r="M157" s="18" t="s">
        <v>164</v>
      </c>
      <c r="N157" s="18" t="s">
        <v>165</v>
      </c>
      <c r="O157" s="17">
        <v>1</v>
      </c>
      <c r="P157" s="59">
        <v>2800</v>
      </c>
      <c r="Q157" s="60">
        <v>12</v>
      </c>
      <c r="R157" s="17">
        <v>18</v>
      </c>
      <c r="S157" s="19">
        <v>2908</v>
      </c>
      <c r="T157" s="18" t="s">
        <v>127</v>
      </c>
      <c r="U157" s="18" t="s">
        <v>211</v>
      </c>
      <c r="V157" s="18" t="s">
        <v>212</v>
      </c>
    </row>
    <row r="158" spans="1:22" ht="15.75" customHeight="1">
      <c r="A158" s="13" t="s">
        <v>977</v>
      </c>
      <c r="B158" s="14" t="s">
        <v>933</v>
      </c>
      <c r="C158" s="14" t="s">
        <v>2415</v>
      </c>
      <c r="D158" s="13" t="s">
        <v>979</v>
      </c>
      <c r="E158" s="14" t="s">
        <v>881</v>
      </c>
      <c r="F158" s="14" t="s">
        <v>980</v>
      </c>
      <c r="G158" s="14" t="s">
        <v>122</v>
      </c>
      <c r="H158" s="13" t="s">
        <v>122</v>
      </c>
      <c r="I158" s="13" t="s">
        <v>123</v>
      </c>
      <c r="J158" s="13" t="s">
        <v>110</v>
      </c>
      <c r="K158" s="14" t="s">
        <v>111</v>
      </c>
      <c r="L158" s="14" t="s">
        <v>112</v>
      </c>
      <c r="M158" s="14" t="s">
        <v>113</v>
      </c>
      <c r="N158" s="14" t="s">
        <v>114</v>
      </c>
      <c r="O158" s="13">
        <v>5</v>
      </c>
      <c r="P158" s="61">
        <v>3500</v>
      </c>
      <c r="Q158" s="62">
        <v>25</v>
      </c>
      <c r="R158" s="13">
        <v>18</v>
      </c>
      <c r="S158" s="16">
        <v>15488</v>
      </c>
      <c r="T158" s="14" t="s">
        <v>115</v>
      </c>
      <c r="U158" s="14" t="s">
        <v>143</v>
      </c>
      <c r="V158" s="14" t="s">
        <v>155</v>
      </c>
    </row>
    <row r="159" spans="1:22" ht="15.75" customHeight="1">
      <c r="A159" s="17" t="s">
        <v>981</v>
      </c>
      <c r="B159" s="18" t="s">
        <v>2455</v>
      </c>
      <c r="C159" s="18" t="s">
        <v>2453</v>
      </c>
      <c r="D159" s="17" t="s">
        <v>983</v>
      </c>
      <c r="E159" s="18" t="s">
        <v>475</v>
      </c>
      <c r="F159" s="18" t="s">
        <v>984</v>
      </c>
      <c r="G159" s="18" t="s">
        <v>61</v>
      </c>
      <c r="H159" s="17" t="s">
        <v>62</v>
      </c>
      <c r="I159" s="17" t="s">
        <v>63</v>
      </c>
      <c r="J159" s="17" t="s">
        <v>137</v>
      </c>
      <c r="K159" s="18" t="s">
        <v>138</v>
      </c>
      <c r="L159" s="18" t="s">
        <v>139</v>
      </c>
      <c r="M159" s="18" t="s">
        <v>140</v>
      </c>
      <c r="N159" s="18" t="s">
        <v>141</v>
      </c>
      <c r="O159" s="17">
        <v>9</v>
      </c>
      <c r="P159" s="59">
        <v>12000</v>
      </c>
      <c r="Q159" s="60">
        <v>15</v>
      </c>
      <c r="R159" s="17">
        <v>18</v>
      </c>
      <c r="S159" s="19">
        <v>108324</v>
      </c>
      <c r="T159" s="18" t="s">
        <v>115</v>
      </c>
      <c r="U159" s="18" t="s">
        <v>184</v>
      </c>
      <c r="V159" s="18" t="s">
        <v>155</v>
      </c>
    </row>
    <row r="160" spans="1:22" ht="15.75" customHeight="1">
      <c r="A160" s="13" t="s">
        <v>985</v>
      </c>
      <c r="B160" s="14" t="s">
        <v>610</v>
      </c>
      <c r="C160" s="14" t="s">
        <v>2450</v>
      </c>
      <c r="D160" s="13" t="s">
        <v>986</v>
      </c>
      <c r="E160" s="14" t="s">
        <v>987</v>
      </c>
      <c r="F160" s="14" t="s">
        <v>988</v>
      </c>
      <c r="G160" s="14" t="s">
        <v>341</v>
      </c>
      <c r="H160" s="13" t="s">
        <v>62</v>
      </c>
      <c r="I160" s="13" t="s">
        <v>63</v>
      </c>
      <c r="J160" s="13" t="s">
        <v>491</v>
      </c>
      <c r="K160" s="14" t="s">
        <v>492</v>
      </c>
      <c r="L160" s="14" t="s">
        <v>112</v>
      </c>
      <c r="M160" s="14" t="s">
        <v>493</v>
      </c>
      <c r="N160" s="14" t="s">
        <v>494</v>
      </c>
      <c r="O160" s="13">
        <v>8</v>
      </c>
      <c r="P160" s="61">
        <v>4500</v>
      </c>
      <c r="Q160" s="62">
        <v>12</v>
      </c>
      <c r="R160" s="13">
        <v>5</v>
      </c>
      <c r="S160" s="16">
        <v>33264</v>
      </c>
      <c r="T160" s="14" t="s">
        <v>115</v>
      </c>
      <c r="U160" s="14" t="s">
        <v>211</v>
      </c>
      <c r="V160" s="14" t="s">
        <v>212</v>
      </c>
    </row>
    <row r="161" spans="1:22" ht="15.75" customHeight="1">
      <c r="A161" s="17" t="s">
        <v>989</v>
      </c>
      <c r="B161" s="18" t="s">
        <v>2473</v>
      </c>
      <c r="C161" s="18" t="s">
        <v>639</v>
      </c>
      <c r="D161" s="17" t="s">
        <v>991</v>
      </c>
      <c r="E161" s="18" t="s">
        <v>992</v>
      </c>
      <c r="F161" s="18" t="s">
        <v>993</v>
      </c>
      <c r="G161" s="18" t="s">
        <v>248</v>
      </c>
      <c r="H161" s="17" t="s">
        <v>249</v>
      </c>
      <c r="I161" s="17" t="s">
        <v>123</v>
      </c>
      <c r="J161" s="17" t="s">
        <v>64</v>
      </c>
      <c r="K161" s="18" t="s">
        <v>2389</v>
      </c>
      <c r="L161" s="18" t="s">
        <v>66</v>
      </c>
      <c r="M161" s="18" t="s">
        <v>67</v>
      </c>
      <c r="N161" s="18" t="s">
        <v>68</v>
      </c>
      <c r="O161" s="17">
        <v>6</v>
      </c>
      <c r="P161" s="59">
        <v>450</v>
      </c>
      <c r="Q161" s="60">
        <v>5</v>
      </c>
      <c r="R161" s="17">
        <v>5</v>
      </c>
      <c r="S161" s="19">
        <v>2693</v>
      </c>
      <c r="T161" s="18" t="s">
        <v>115</v>
      </c>
      <c r="U161" s="18" t="s">
        <v>143</v>
      </c>
      <c r="V161" s="18" t="s">
        <v>155</v>
      </c>
    </row>
    <row r="162" spans="1:22" ht="15.75" customHeight="1">
      <c r="A162" s="13" t="s">
        <v>994</v>
      </c>
      <c r="B162" s="14" t="s">
        <v>1883</v>
      </c>
      <c r="C162" s="14" t="s">
        <v>627</v>
      </c>
      <c r="D162" s="13" t="s">
        <v>996</v>
      </c>
      <c r="E162" s="14" t="s">
        <v>997</v>
      </c>
      <c r="F162" s="14" t="s">
        <v>998</v>
      </c>
      <c r="G162" s="14" t="s">
        <v>2422</v>
      </c>
      <c r="H162" s="13" t="s">
        <v>96</v>
      </c>
      <c r="I162" s="13" t="s">
        <v>63</v>
      </c>
      <c r="J162" s="13" t="s">
        <v>110</v>
      </c>
      <c r="K162" s="14" t="s">
        <v>111</v>
      </c>
      <c r="L162" s="14" t="s">
        <v>112</v>
      </c>
      <c r="M162" s="14" t="s">
        <v>113</v>
      </c>
      <c r="N162" s="14" t="s">
        <v>114</v>
      </c>
      <c r="O162" s="13">
        <v>9</v>
      </c>
      <c r="P162" s="61">
        <v>3500</v>
      </c>
      <c r="Q162" s="62">
        <v>12</v>
      </c>
      <c r="R162" s="13">
        <v>18</v>
      </c>
      <c r="S162" s="16">
        <v>32710</v>
      </c>
      <c r="T162" s="14" t="s">
        <v>465</v>
      </c>
      <c r="U162" s="14" t="s">
        <v>143</v>
      </c>
      <c r="V162" s="14" t="s">
        <v>155</v>
      </c>
    </row>
    <row r="163" spans="1:22" ht="15.75" customHeight="1">
      <c r="A163" s="17" t="s">
        <v>999</v>
      </c>
      <c r="B163" s="18" t="s">
        <v>1324</v>
      </c>
      <c r="C163" s="18" t="s">
        <v>728</v>
      </c>
      <c r="D163" s="17" t="s">
        <v>1000</v>
      </c>
      <c r="E163" s="18" t="s">
        <v>489</v>
      </c>
      <c r="F163" s="18" t="s">
        <v>1001</v>
      </c>
      <c r="G163" s="18" t="s">
        <v>485</v>
      </c>
      <c r="H163" s="17" t="s">
        <v>305</v>
      </c>
      <c r="I163" s="17" t="s">
        <v>306</v>
      </c>
      <c r="J163" s="17" t="s">
        <v>110</v>
      </c>
      <c r="K163" s="18" t="s">
        <v>111</v>
      </c>
      <c r="L163" s="18" t="s">
        <v>112</v>
      </c>
      <c r="M163" s="18" t="s">
        <v>113</v>
      </c>
      <c r="N163" s="18" t="s">
        <v>114</v>
      </c>
      <c r="O163" s="17">
        <v>6</v>
      </c>
      <c r="P163" s="59">
        <v>3500</v>
      </c>
      <c r="Q163" s="60">
        <v>10</v>
      </c>
      <c r="R163" s="17">
        <v>18</v>
      </c>
      <c r="S163" s="19">
        <v>22302</v>
      </c>
      <c r="T163" s="18" t="s">
        <v>465</v>
      </c>
      <c r="U163" s="18" t="s">
        <v>211</v>
      </c>
      <c r="V163" s="18" t="s">
        <v>155</v>
      </c>
    </row>
    <row r="164" spans="1:22" ht="15.75" customHeight="1">
      <c r="A164" s="13" t="s">
        <v>1002</v>
      </c>
      <c r="B164" s="14" t="s">
        <v>2447</v>
      </c>
      <c r="C164" s="14" t="s">
        <v>264</v>
      </c>
      <c r="D164" s="13" t="s">
        <v>1004</v>
      </c>
      <c r="E164" s="14" t="s">
        <v>1005</v>
      </c>
      <c r="F164" s="14" t="s">
        <v>1006</v>
      </c>
      <c r="G164" s="14" t="s">
        <v>78</v>
      </c>
      <c r="H164" s="13" t="s">
        <v>79</v>
      </c>
      <c r="I164" s="13" t="s">
        <v>80</v>
      </c>
      <c r="J164" s="13" t="s">
        <v>110</v>
      </c>
      <c r="K164" s="14" t="s">
        <v>111</v>
      </c>
      <c r="L164" s="14" t="s">
        <v>112</v>
      </c>
      <c r="M164" s="14" t="s">
        <v>113</v>
      </c>
      <c r="N164" s="14" t="s">
        <v>114</v>
      </c>
      <c r="O164" s="13">
        <v>2</v>
      </c>
      <c r="P164" s="61">
        <v>3500</v>
      </c>
      <c r="Q164" s="62">
        <v>15</v>
      </c>
      <c r="R164" s="13">
        <v>18</v>
      </c>
      <c r="S164" s="16">
        <v>7021</v>
      </c>
      <c r="T164" s="14" t="s">
        <v>465</v>
      </c>
      <c r="U164" s="14" t="s">
        <v>211</v>
      </c>
      <c r="V164" s="14" t="s">
        <v>212</v>
      </c>
    </row>
    <row r="165" spans="1:22" ht="15.75" customHeight="1">
      <c r="A165" s="17" t="s">
        <v>1007</v>
      </c>
      <c r="B165" s="18" t="s">
        <v>2497</v>
      </c>
      <c r="C165" s="18" t="s">
        <v>2442</v>
      </c>
      <c r="D165" s="17" t="s">
        <v>1009</v>
      </c>
      <c r="E165" s="18" t="s">
        <v>2498</v>
      </c>
      <c r="F165" s="18" t="s">
        <v>1010</v>
      </c>
      <c r="G165" s="18" t="s">
        <v>485</v>
      </c>
      <c r="H165" s="17" t="s">
        <v>305</v>
      </c>
      <c r="I165" s="17" t="s">
        <v>306</v>
      </c>
      <c r="J165" s="17" t="s">
        <v>257</v>
      </c>
      <c r="K165" s="18" t="s">
        <v>2418</v>
      </c>
      <c r="L165" s="18" t="s">
        <v>139</v>
      </c>
      <c r="M165" s="18" t="s">
        <v>259</v>
      </c>
      <c r="N165" s="18" t="s">
        <v>260</v>
      </c>
      <c r="O165" s="17">
        <v>2</v>
      </c>
      <c r="P165" s="59">
        <v>299</v>
      </c>
      <c r="Q165" s="60">
        <v>80</v>
      </c>
      <c r="R165" s="17">
        <v>18</v>
      </c>
      <c r="S165" s="19">
        <v>141</v>
      </c>
      <c r="T165" s="18" t="s">
        <v>115</v>
      </c>
      <c r="U165" s="18" t="s">
        <v>70</v>
      </c>
      <c r="V165" s="18" t="s">
        <v>212</v>
      </c>
    </row>
    <row r="166" spans="1:22" ht="15.75" customHeight="1">
      <c r="A166" s="13" t="s">
        <v>1011</v>
      </c>
      <c r="B166" s="14" t="s">
        <v>2027</v>
      </c>
      <c r="C166" s="14" t="s">
        <v>2398</v>
      </c>
      <c r="D166" s="13" t="s">
        <v>1013</v>
      </c>
      <c r="E166" s="14" t="s">
        <v>310</v>
      </c>
      <c r="F166" s="14" t="s">
        <v>1014</v>
      </c>
      <c r="G166" s="14" t="s">
        <v>2422</v>
      </c>
      <c r="H166" s="13" t="s">
        <v>96</v>
      </c>
      <c r="I166" s="13" t="s">
        <v>63</v>
      </c>
      <c r="J166" s="13" t="s">
        <v>162</v>
      </c>
      <c r="K166" s="14" t="s">
        <v>163</v>
      </c>
      <c r="L166" s="14" t="s">
        <v>99</v>
      </c>
      <c r="M166" s="14" t="s">
        <v>164</v>
      </c>
      <c r="N166" s="14" t="s">
        <v>165</v>
      </c>
      <c r="O166" s="13">
        <v>10</v>
      </c>
      <c r="P166" s="61">
        <v>2800</v>
      </c>
      <c r="Q166" s="62">
        <v>8</v>
      </c>
      <c r="R166" s="13">
        <v>18</v>
      </c>
      <c r="S166" s="16">
        <v>30397</v>
      </c>
      <c r="T166" s="14" t="s">
        <v>102</v>
      </c>
      <c r="U166" s="14" t="s">
        <v>143</v>
      </c>
      <c r="V166" s="14" t="s">
        <v>212</v>
      </c>
    </row>
    <row r="167" spans="1:22" ht="15.75" customHeight="1">
      <c r="A167" s="17" t="s">
        <v>1015</v>
      </c>
      <c r="B167" s="18" t="s">
        <v>1822</v>
      </c>
      <c r="C167" s="18" t="s">
        <v>168</v>
      </c>
      <c r="D167" s="17" t="s">
        <v>1017</v>
      </c>
      <c r="E167" s="18" t="s">
        <v>1018</v>
      </c>
      <c r="F167" s="18" t="s">
        <v>1019</v>
      </c>
      <c r="G167" s="18" t="s">
        <v>95</v>
      </c>
      <c r="H167" s="17" t="s">
        <v>96</v>
      </c>
      <c r="I167" s="17" t="s">
        <v>80</v>
      </c>
      <c r="J167" s="17" t="s">
        <v>389</v>
      </c>
      <c r="K167" s="18" t="s">
        <v>390</v>
      </c>
      <c r="L167" s="18" t="s">
        <v>99</v>
      </c>
      <c r="M167" s="18" t="s">
        <v>164</v>
      </c>
      <c r="N167" s="18" t="s">
        <v>391</v>
      </c>
      <c r="O167" s="17">
        <v>9</v>
      </c>
      <c r="P167" s="59">
        <v>1500</v>
      </c>
      <c r="Q167" s="60">
        <v>0</v>
      </c>
      <c r="R167" s="17">
        <v>18</v>
      </c>
      <c r="S167" s="19">
        <v>15930</v>
      </c>
      <c r="T167" s="18" t="s">
        <v>153</v>
      </c>
      <c r="U167" s="18" t="s">
        <v>211</v>
      </c>
      <c r="V167" s="18" t="s">
        <v>155</v>
      </c>
    </row>
    <row r="168" spans="1:22" ht="15.75" customHeight="1">
      <c r="A168" s="13" t="s">
        <v>1021</v>
      </c>
      <c r="B168" s="14" t="s">
        <v>2499</v>
      </c>
      <c r="C168" s="14" t="s">
        <v>2487</v>
      </c>
      <c r="D168" s="13" t="s">
        <v>1022</v>
      </c>
      <c r="E168" s="14" t="s">
        <v>1023</v>
      </c>
      <c r="F168" s="14" t="s">
        <v>1024</v>
      </c>
      <c r="G168" s="14" t="s">
        <v>95</v>
      </c>
      <c r="H168" s="13" t="s">
        <v>96</v>
      </c>
      <c r="I168" s="13" t="s">
        <v>63</v>
      </c>
      <c r="J168" s="13" t="s">
        <v>207</v>
      </c>
      <c r="K168" s="14" t="s">
        <v>2406</v>
      </c>
      <c r="L168" s="14" t="s">
        <v>99</v>
      </c>
      <c r="M168" s="14" t="s">
        <v>209</v>
      </c>
      <c r="N168" s="14" t="s">
        <v>2407</v>
      </c>
      <c r="O168" s="13">
        <v>9</v>
      </c>
      <c r="P168" s="61">
        <v>55000</v>
      </c>
      <c r="Q168" s="62">
        <v>5</v>
      </c>
      <c r="R168" s="13">
        <v>18</v>
      </c>
      <c r="S168" s="16">
        <v>554895</v>
      </c>
      <c r="T168" s="14" t="s">
        <v>465</v>
      </c>
      <c r="U168" s="14" t="s">
        <v>211</v>
      </c>
      <c r="V168" s="14" t="s">
        <v>155</v>
      </c>
    </row>
    <row r="169" spans="1:22" ht="15.75" customHeight="1">
      <c r="A169" s="17" t="s">
        <v>1025</v>
      </c>
      <c r="B169" s="18" t="s">
        <v>2468</v>
      </c>
      <c r="C169" s="18" t="s">
        <v>2487</v>
      </c>
      <c r="D169" s="17" t="s">
        <v>1026</v>
      </c>
      <c r="E169" s="18" t="s">
        <v>1023</v>
      </c>
      <c r="F169" s="18" t="s">
        <v>1027</v>
      </c>
      <c r="G169" s="18" t="s">
        <v>135</v>
      </c>
      <c r="H169" s="17" t="s">
        <v>136</v>
      </c>
      <c r="I169" s="17" t="s">
        <v>63</v>
      </c>
      <c r="J169" s="17" t="s">
        <v>420</v>
      </c>
      <c r="K169" s="18" t="s">
        <v>2445</v>
      </c>
      <c r="L169" s="18" t="s">
        <v>112</v>
      </c>
      <c r="M169" s="18" t="s">
        <v>422</v>
      </c>
      <c r="N169" s="18" t="s">
        <v>2446</v>
      </c>
      <c r="O169" s="17">
        <v>3</v>
      </c>
      <c r="P169" s="59">
        <v>4800</v>
      </c>
      <c r="Q169" s="60">
        <v>15</v>
      </c>
      <c r="R169" s="17">
        <v>18</v>
      </c>
      <c r="S169" s="19">
        <v>14443</v>
      </c>
      <c r="T169" s="18" t="s">
        <v>102</v>
      </c>
      <c r="U169" s="18" t="s">
        <v>143</v>
      </c>
      <c r="V169" s="18" t="s">
        <v>155</v>
      </c>
    </row>
    <row r="170" spans="1:22" ht="15.75" customHeight="1">
      <c r="A170" s="13" t="s">
        <v>1028</v>
      </c>
      <c r="B170" s="14" t="s">
        <v>2500</v>
      </c>
      <c r="C170" s="14" t="s">
        <v>2415</v>
      </c>
      <c r="D170" s="13" t="s">
        <v>1030</v>
      </c>
      <c r="E170" s="14" t="s">
        <v>589</v>
      </c>
      <c r="F170" s="14" t="s">
        <v>1031</v>
      </c>
      <c r="G170" s="14" t="s">
        <v>228</v>
      </c>
      <c r="H170" s="13" t="s">
        <v>152</v>
      </c>
      <c r="I170" s="13" t="s">
        <v>80</v>
      </c>
      <c r="J170" s="13" t="s">
        <v>295</v>
      </c>
      <c r="K170" s="14" t="s">
        <v>2425</v>
      </c>
      <c r="L170" s="14" t="s">
        <v>99</v>
      </c>
      <c r="M170" s="14" t="s">
        <v>297</v>
      </c>
      <c r="N170" s="14" t="s">
        <v>298</v>
      </c>
      <c r="O170" s="13">
        <v>2</v>
      </c>
      <c r="P170" s="61">
        <v>280</v>
      </c>
      <c r="Q170" s="62">
        <v>20</v>
      </c>
      <c r="R170" s="13">
        <v>5</v>
      </c>
      <c r="S170" s="16">
        <v>470</v>
      </c>
      <c r="T170" s="14" t="s">
        <v>127</v>
      </c>
      <c r="U170" s="14" t="s">
        <v>184</v>
      </c>
      <c r="V170" s="14" t="s">
        <v>155</v>
      </c>
    </row>
    <row r="171" spans="1:22" ht="15.75" customHeight="1">
      <c r="A171" s="17" t="s">
        <v>1032</v>
      </c>
      <c r="B171" s="18" t="s">
        <v>2501</v>
      </c>
      <c r="C171" s="18" t="s">
        <v>337</v>
      </c>
      <c r="D171" s="17" t="s">
        <v>2502</v>
      </c>
      <c r="E171" s="18" t="s">
        <v>574</v>
      </c>
      <c r="F171" s="18" t="s">
        <v>1034</v>
      </c>
      <c r="G171" s="18" t="s">
        <v>151</v>
      </c>
      <c r="H171" s="17" t="s">
        <v>152</v>
      </c>
      <c r="I171" s="17" t="s">
        <v>80</v>
      </c>
      <c r="J171" s="17" t="s">
        <v>124</v>
      </c>
      <c r="K171" s="18" t="s">
        <v>125</v>
      </c>
      <c r="L171" s="18" t="s">
        <v>99</v>
      </c>
      <c r="M171" s="18" t="s">
        <v>100</v>
      </c>
      <c r="N171" s="18" t="s">
        <v>126</v>
      </c>
      <c r="O171" s="17">
        <v>3</v>
      </c>
      <c r="P171" s="59">
        <v>14000</v>
      </c>
      <c r="Q171" s="60">
        <v>20</v>
      </c>
      <c r="R171" s="17">
        <v>18</v>
      </c>
      <c r="S171" s="19">
        <v>39648</v>
      </c>
      <c r="T171" s="18" t="s">
        <v>153</v>
      </c>
      <c r="U171" s="18" t="s">
        <v>143</v>
      </c>
      <c r="V171" s="18" t="s">
        <v>212</v>
      </c>
    </row>
    <row r="172" spans="1:22" ht="15.75" customHeight="1">
      <c r="A172" s="13" t="s">
        <v>1035</v>
      </c>
      <c r="B172" s="14" t="s">
        <v>792</v>
      </c>
      <c r="C172" s="14" t="s">
        <v>106</v>
      </c>
      <c r="D172" s="13" t="s">
        <v>1037</v>
      </c>
      <c r="E172" s="14" t="s">
        <v>1038</v>
      </c>
      <c r="F172" s="14" t="s">
        <v>1039</v>
      </c>
      <c r="G172" s="14" t="s">
        <v>2422</v>
      </c>
      <c r="H172" s="13" t="s">
        <v>96</v>
      </c>
      <c r="I172" s="13" t="s">
        <v>63</v>
      </c>
      <c r="J172" s="13" t="s">
        <v>347</v>
      </c>
      <c r="K172" s="14" t="s">
        <v>348</v>
      </c>
      <c r="L172" s="14" t="s">
        <v>139</v>
      </c>
      <c r="M172" s="14" t="s">
        <v>349</v>
      </c>
      <c r="N172" s="14" t="s">
        <v>350</v>
      </c>
      <c r="O172" s="13">
        <v>2</v>
      </c>
      <c r="P172" s="61">
        <v>3200</v>
      </c>
      <c r="Q172" s="62">
        <v>12</v>
      </c>
      <c r="R172" s="13">
        <v>18</v>
      </c>
      <c r="S172" s="16">
        <v>6646</v>
      </c>
      <c r="T172" s="14" t="s">
        <v>413</v>
      </c>
      <c r="U172" s="14" t="s">
        <v>211</v>
      </c>
      <c r="V172" s="14" t="s">
        <v>155</v>
      </c>
    </row>
    <row r="173" spans="1:22" ht="15.75" customHeight="1">
      <c r="A173" s="17" t="s">
        <v>1041</v>
      </c>
      <c r="B173" s="18" t="s">
        <v>90</v>
      </c>
      <c r="C173" s="18" t="s">
        <v>2432</v>
      </c>
      <c r="D173" s="17" t="s">
        <v>1042</v>
      </c>
      <c r="E173" s="18" t="s">
        <v>1043</v>
      </c>
      <c r="F173" s="18" t="s">
        <v>1044</v>
      </c>
      <c r="G173" s="18" t="s">
        <v>744</v>
      </c>
      <c r="H173" s="17" t="s">
        <v>79</v>
      </c>
      <c r="I173" s="17" t="s">
        <v>80</v>
      </c>
      <c r="J173" s="17" t="s">
        <v>347</v>
      </c>
      <c r="K173" s="18" t="s">
        <v>348</v>
      </c>
      <c r="L173" s="18" t="s">
        <v>139</v>
      </c>
      <c r="M173" s="18" t="s">
        <v>349</v>
      </c>
      <c r="N173" s="18" t="s">
        <v>350</v>
      </c>
      <c r="O173" s="17">
        <v>4</v>
      </c>
      <c r="P173" s="59">
        <v>3200</v>
      </c>
      <c r="Q173" s="60">
        <v>8</v>
      </c>
      <c r="R173" s="17">
        <v>18</v>
      </c>
      <c r="S173" s="19">
        <v>13896</v>
      </c>
      <c r="T173" s="18" t="s">
        <v>127</v>
      </c>
      <c r="U173" s="18" t="s">
        <v>184</v>
      </c>
      <c r="V173" s="18" t="s">
        <v>155</v>
      </c>
    </row>
    <row r="174" spans="1:22" ht="15.75" customHeight="1">
      <c r="A174" s="13" t="s">
        <v>1045</v>
      </c>
      <c r="B174" s="14" t="s">
        <v>2503</v>
      </c>
      <c r="C174" s="14" t="s">
        <v>372</v>
      </c>
      <c r="D174" s="13" t="s">
        <v>1047</v>
      </c>
      <c r="E174" s="14" t="s">
        <v>1048</v>
      </c>
      <c r="F174" s="14" t="s">
        <v>1049</v>
      </c>
      <c r="G174" s="14" t="s">
        <v>485</v>
      </c>
      <c r="H174" s="13" t="s">
        <v>305</v>
      </c>
      <c r="I174" s="13" t="s">
        <v>306</v>
      </c>
      <c r="J174" s="13" t="s">
        <v>81</v>
      </c>
      <c r="K174" s="14" t="s">
        <v>82</v>
      </c>
      <c r="L174" s="14" t="s">
        <v>83</v>
      </c>
      <c r="M174" s="14" t="s">
        <v>84</v>
      </c>
      <c r="N174" s="14" t="s">
        <v>85</v>
      </c>
      <c r="O174" s="13">
        <v>1</v>
      </c>
      <c r="P174" s="61">
        <v>25000</v>
      </c>
      <c r="Q174" s="62">
        <v>15</v>
      </c>
      <c r="R174" s="13">
        <v>3</v>
      </c>
      <c r="S174" s="16">
        <v>21888</v>
      </c>
      <c r="T174" s="14" t="s">
        <v>127</v>
      </c>
      <c r="U174" s="14" t="s">
        <v>211</v>
      </c>
      <c r="V174" s="14" t="s">
        <v>155</v>
      </c>
    </row>
    <row r="175" spans="1:22" ht="15.75" customHeight="1">
      <c r="A175" s="17" t="s">
        <v>1050</v>
      </c>
      <c r="B175" s="18" t="s">
        <v>2457</v>
      </c>
      <c r="C175" s="18" t="s">
        <v>712</v>
      </c>
      <c r="D175" s="17" t="s">
        <v>1052</v>
      </c>
      <c r="E175" s="18" t="s">
        <v>1053</v>
      </c>
      <c r="F175" s="18" t="s">
        <v>1054</v>
      </c>
      <c r="G175" s="18" t="s">
        <v>439</v>
      </c>
      <c r="H175" s="17" t="s">
        <v>364</v>
      </c>
      <c r="I175" s="17" t="s">
        <v>306</v>
      </c>
      <c r="J175" s="17" t="s">
        <v>376</v>
      </c>
      <c r="K175" s="18" t="s">
        <v>377</v>
      </c>
      <c r="L175" s="18" t="s">
        <v>112</v>
      </c>
      <c r="M175" s="18" t="s">
        <v>113</v>
      </c>
      <c r="N175" s="18" t="s">
        <v>378</v>
      </c>
      <c r="O175" s="17">
        <v>9</v>
      </c>
      <c r="P175" s="17">
        <v>0</v>
      </c>
      <c r="Q175" s="60">
        <v>5</v>
      </c>
      <c r="R175" s="17">
        <v>18</v>
      </c>
      <c r="S175" s="19">
        <v>0</v>
      </c>
      <c r="T175" s="18" t="s">
        <v>153</v>
      </c>
      <c r="U175" s="18" t="s">
        <v>288</v>
      </c>
      <c r="V175" s="18" t="s">
        <v>155</v>
      </c>
    </row>
    <row r="176" spans="1:22" ht="15.75" customHeight="1">
      <c r="A176" s="13" t="s">
        <v>1055</v>
      </c>
      <c r="B176" s="14" t="s">
        <v>2438</v>
      </c>
      <c r="C176" s="14" t="s">
        <v>2456</v>
      </c>
      <c r="D176" s="13" t="s">
        <v>1057</v>
      </c>
      <c r="E176" s="14" t="s">
        <v>1058</v>
      </c>
      <c r="F176" s="14" t="s">
        <v>1059</v>
      </c>
      <c r="G176" s="14" t="s">
        <v>135</v>
      </c>
      <c r="H176" s="13" t="s">
        <v>136</v>
      </c>
      <c r="I176" s="13" t="s">
        <v>63</v>
      </c>
      <c r="J176" s="13" t="s">
        <v>376</v>
      </c>
      <c r="K176" s="14" t="s">
        <v>377</v>
      </c>
      <c r="L176" s="14" t="s">
        <v>112</v>
      </c>
      <c r="M176" s="14" t="s">
        <v>113</v>
      </c>
      <c r="N176" s="14" t="s">
        <v>378</v>
      </c>
      <c r="O176" s="13">
        <v>4</v>
      </c>
      <c r="P176" s="61">
        <v>8500</v>
      </c>
      <c r="Q176" s="62">
        <v>20</v>
      </c>
      <c r="R176" s="13">
        <v>18</v>
      </c>
      <c r="S176" s="16">
        <v>32096</v>
      </c>
      <c r="T176" s="14" t="s">
        <v>115</v>
      </c>
      <c r="U176" s="14" t="s">
        <v>211</v>
      </c>
      <c r="V176" s="14" t="s">
        <v>155</v>
      </c>
    </row>
    <row r="177" spans="1:22" ht="15.75" customHeight="1">
      <c r="A177" s="17" t="s">
        <v>1060</v>
      </c>
      <c r="B177" s="18" t="s">
        <v>2463</v>
      </c>
      <c r="C177" s="18" t="s">
        <v>2428</v>
      </c>
      <c r="D177" s="17" t="s">
        <v>1062</v>
      </c>
      <c r="E177" s="18" t="s">
        <v>1063</v>
      </c>
      <c r="F177" s="18" t="s">
        <v>1064</v>
      </c>
      <c r="G177" s="18" t="s">
        <v>78</v>
      </c>
      <c r="H177" s="17" t="s">
        <v>79</v>
      </c>
      <c r="I177" s="17" t="s">
        <v>80</v>
      </c>
      <c r="J177" s="17" t="s">
        <v>110</v>
      </c>
      <c r="K177" s="18" t="s">
        <v>111</v>
      </c>
      <c r="L177" s="18" t="s">
        <v>112</v>
      </c>
      <c r="M177" s="18" t="s">
        <v>113</v>
      </c>
      <c r="N177" s="18" t="s">
        <v>114</v>
      </c>
      <c r="O177" s="17">
        <v>5</v>
      </c>
      <c r="P177" s="59">
        <v>3500</v>
      </c>
      <c r="Q177" s="60">
        <v>15</v>
      </c>
      <c r="R177" s="17">
        <v>18</v>
      </c>
      <c r="S177" s="19">
        <v>17552</v>
      </c>
      <c r="T177" s="18" t="s">
        <v>465</v>
      </c>
      <c r="U177" s="18" t="s">
        <v>211</v>
      </c>
      <c r="V177" s="18" t="s">
        <v>212</v>
      </c>
    </row>
    <row r="178" spans="1:22" ht="15.75" customHeight="1">
      <c r="A178" s="13" t="s">
        <v>1065</v>
      </c>
      <c r="B178" s="14" t="s">
        <v>2409</v>
      </c>
      <c r="C178" s="14" t="s">
        <v>416</v>
      </c>
      <c r="D178" s="13" t="s">
        <v>1066</v>
      </c>
      <c r="E178" s="14" t="s">
        <v>1067</v>
      </c>
      <c r="F178" s="14" t="s">
        <v>1068</v>
      </c>
      <c r="G178" s="14" t="s">
        <v>485</v>
      </c>
      <c r="H178" s="13" t="s">
        <v>305</v>
      </c>
      <c r="I178" s="13" t="s">
        <v>306</v>
      </c>
      <c r="J178" s="13" t="s">
        <v>365</v>
      </c>
      <c r="K178" s="14" t="s">
        <v>366</v>
      </c>
      <c r="L178" s="14" t="s">
        <v>112</v>
      </c>
      <c r="M178" s="14" t="s">
        <v>367</v>
      </c>
      <c r="N178" s="14" t="s">
        <v>368</v>
      </c>
      <c r="O178" s="13">
        <v>2</v>
      </c>
      <c r="P178" s="61">
        <v>3500</v>
      </c>
      <c r="Q178" s="62">
        <v>8</v>
      </c>
      <c r="R178" s="13">
        <v>5</v>
      </c>
      <c r="S178" s="16">
        <v>6762</v>
      </c>
      <c r="T178" s="14" t="s">
        <v>465</v>
      </c>
      <c r="U178" s="14" t="s">
        <v>184</v>
      </c>
      <c r="V178" s="14" t="s">
        <v>212</v>
      </c>
    </row>
    <row r="179" spans="1:22" ht="15.75" customHeight="1">
      <c r="A179" s="17" t="s">
        <v>1069</v>
      </c>
      <c r="B179" s="18" t="s">
        <v>2301</v>
      </c>
      <c r="C179" s="18" t="s">
        <v>264</v>
      </c>
      <c r="D179" s="17" t="s">
        <v>1071</v>
      </c>
      <c r="E179" s="18" t="s">
        <v>266</v>
      </c>
      <c r="F179" s="18" t="s">
        <v>2394</v>
      </c>
      <c r="G179" s="18" t="s">
        <v>485</v>
      </c>
      <c r="H179" s="17" t="s">
        <v>305</v>
      </c>
      <c r="I179" s="17" t="s">
        <v>306</v>
      </c>
      <c r="J179" s="17" t="s">
        <v>207</v>
      </c>
      <c r="K179" s="18" t="s">
        <v>2406</v>
      </c>
      <c r="L179" s="18" t="s">
        <v>99</v>
      </c>
      <c r="M179" s="18" t="s">
        <v>209</v>
      </c>
      <c r="N179" s="18" t="s">
        <v>2407</v>
      </c>
      <c r="O179" s="17">
        <v>9</v>
      </c>
      <c r="P179" s="59">
        <v>55000</v>
      </c>
      <c r="Q179" s="60">
        <v>10</v>
      </c>
      <c r="R179" s="17">
        <v>18</v>
      </c>
      <c r="S179" s="19">
        <v>525690</v>
      </c>
      <c r="T179" s="18" t="s">
        <v>153</v>
      </c>
      <c r="U179" s="18" t="s">
        <v>70</v>
      </c>
      <c r="V179" s="18" t="s">
        <v>155</v>
      </c>
    </row>
    <row r="180" spans="1:22" ht="15.75" customHeight="1">
      <c r="A180" s="13" t="s">
        <v>1073</v>
      </c>
      <c r="B180" s="14" t="s">
        <v>2462</v>
      </c>
      <c r="C180" s="14" t="s">
        <v>2430</v>
      </c>
      <c r="D180" s="13" t="s">
        <v>1075</v>
      </c>
      <c r="E180" s="14" t="s">
        <v>331</v>
      </c>
      <c r="F180" s="14" t="s">
        <v>1076</v>
      </c>
      <c r="G180" s="14" t="s">
        <v>122</v>
      </c>
      <c r="H180" s="13" t="s">
        <v>122</v>
      </c>
      <c r="I180" s="13" t="s">
        <v>123</v>
      </c>
      <c r="J180" s="13" t="s">
        <v>124</v>
      </c>
      <c r="K180" s="14" t="s">
        <v>125</v>
      </c>
      <c r="L180" s="14" t="s">
        <v>99</v>
      </c>
      <c r="M180" s="14" t="s">
        <v>100</v>
      </c>
      <c r="N180" s="14" t="s">
        <v>126</v>
      </c>
      <c r="O180" s="13">
        <v>4</v>
      </c>
      <c r="P180" s="61">
        <v>14000</v>
      </c>
      <c r="Q180" s="62">
        <v>80</v>
      </c>
      <c r="R180" s="13">
        <v>18</v>
      </c>
      <c r="S180" s="16">
        <v>13216</v>
      </c>
      <c r="T180" s="14" t="s">
        <v>115</v>
      </c>
      <c r="U180" s="14" t="s">
        <v>211</v>
      </c>
      <c r="V180" s="14" t="s">
        <v>212</v>
      </c>
    </row>
    <row r="181" spans="1:22" ht="15.75" customHeight="1">
      <c r="A181" s="17" t="s">
        <v>1077</v>
      </c>
      <c r="B181" s="18" t="s">
        <v>403</v>
      </c>
      <c r="C181" s="18" t="s">
        <v>2487</v>
      </c>
      <c r="D181" s="17" t="s">
        <v>1079</v>
      </c>
      <c r="E181" s="18" t="s">
        <v>1080</v>
      </c>
      <c r="F181" s="18" t="s">
        <v>1081</v>
      </c>
      <c r="G181" s="18" t="s">
        <v>172</v>
      </c>
      <c r="H181" s="17" t="s">
        <v>96</v>
      </c>
      <c r="I181" s="17" t="s">
        <v>63</v>
      </c>
      <c r="J181" s="17" t="s">
        <v>295</v>
      </c>
      <c r="K181" s="18" t="s">
        <v>2425</v>
      </c>
      <c r="L181" s="18" t="s">
        <v>66</v>
      </c>
      <c r="M181" s="18" t="s">
        <v>297</v>
      </c>
      <c r="N181" s="18" t="s">
        <v>298</v>
      </c>
      <c r="O181" s="17">
        <v>2</v>
      </c>
      <c r="P181" s="59">
        <v>280</v>
      </c>
      <c r="Q181" s="60">
        <v>0</v>
      </c>
      <c r="R181" s="17">
        <v>5</v>
      </c>
      <c r="S181" s="19">
        <v>588</v>
      </c>
      <c r="T181" s="18" t="s">
        <v>127</v>
      </c>
      <c r="U181" s="18" t="s">
        <v>211</v>
      </c>
      <c r="V181" s="18" t="s">
        <v>212</v>
      </c>
    </row>
    <row r="182" spans="1:22" ht="15.75" customHeight="1">
      <c r="A182" s="13" t="s">
        <v>1082</v>
      </c>
      <c r="B182" s="14" t="s">
        <v>2503</v>
      </c>
      <c r="C182" s="14" t="s">
        <v>337</v>
      </c>
      <c r="D182" s="13" t="s">
        <v>1083</v>
      </c>
      <c r="E182" s="14" t="s">
        <v>1084</v>
      </c>
      <c r="F182" s="14" t="s">
        <v>1085</v>
      </c>
      <c r="G182" s="14" t="s">
        <v>485</v>
      </c>
      <c r="H182" s="13" t="s">
        <v>305</v>
      </c>
      <c r="I182" s="13" t="s">
        <v>306</v>
      </c>
      <c r="J182" s="13" t="s">
        <v>275</v>
      </c>
      <c r="K182" s="14" t="s">
        <v>2423</v>
      </c>
      <c r="L182" s="14" t="s">
        <v>99</v>
      </c>
      <c r="M182" s="14" t="s">
        <v>277</v>
      </c>
      <c r="N182" s="14" t="s">
        <v>126</v>
      </c>
      <c r="O182" s="13">
        <v>4</v>
      </c>
      <c r="P182" s="61">
        <v>35000</v>
      </c>
      <c r="Q182" s="62">
        <v>12</v>
      </c>
      <c r="R182" s="13">
        <v>18</v>
      </c>
      <c r="S182" s="16">
        <v>145376</v>
      </c>
      <c r="T182" s="14" t="s">
        <v>465</v>
      </c>
      <c r="U182" s="14" t="s">
        <v>70</v>
      </c>
      <c r="V182" s="14" t="s">
        <v>212</v>
      </c>
    </row>
    <row r="183" spans="1:22" ht="15.75" customHeight="1">
      <c r="A183" s="17" t="s">
        <v>1086</v>
      </c>
      <c r="B183" s="18" t="s">
        <v>727</v>
      </c>
      <c r="C183" s="18" t="s">
        <v>2432</v>
      </c>
      <c r="D183" s="17" t="s">
        <v>1087</v>
      </c>
      <c r="E183" s="18" t="s">
        <v>1088</v>
      </c>
      <c r="F183" s="18" t="s">
        <v>1089</v>
      </c>
      <c r="G183" s="18" t="s">
        <v>485</v>
      </c>
      <c r="H183" s="17" t="s">
        <v>305</v>
      </c>
      <c r="I183" s="17" t="s">
        <v>306</v>
      </c>
      <c r="J183" s="17" t="s">
        <v>257</v>
      </c>
      <c r="K183" s="18" t="s">
        <v>2418</v>
      </c>
      <c r="L183" s="18" t="s">
        <v>139</v>
      </c>
      <c r="M183" s="18" t="s">
        <v>259</v>
      </c>
      <c r="N183" s="18" t="s">
        <v>260</v>
      </c>
      <c r="O183" s="17">
        <v>1</v>
      </c>
      <c r="P183" s="59">
        <v>299</v>
      </c>
      <c r="Q183" s="60">
        <v>0</v>
      </c>
      <c r="R183" s="17">
        <v>18</v>
      </c>
      <c r="S183" s="19">
        <v>353</v>
      </c>
      <c r="T183" s="18" t="s">
        <v>465</v>
      </c>
      <c r="U183" s="18" t="s">
        <v>211</v>
      </c>
      <c r="V183" s="18" t="s">
        <v>212</v>
      </c>
    </row>
    <row r="184" spans="1:22" ht="15.75" customHeight="1">
      <c r="A184" s="13" t="s">
        <v>1090</v>
      </c>
      <c r="B184" s="14" t="s">
        <v>1609</v>
      </c>
      <c r="C184" s="14" t="s">
        <v>2268</v>
      </c>
      <c r="D184" s="13" t="s">
        <v>1092</v>
      </c>
      <c r="E184" s="14" t="s">
        <v>1093</v>
      </c>
      <c r="F184" s="14" t="s">
        <v>1094</v>
      </c>
      <c r="G184" s="14" t="s">
        <v>78</v>
      </c>
      <c r="H184" s="13" t="s">
        <v>79</v>
      </c>
      <c r="I184" s="13" t="s">
        <v>80</v>
      </c>
      <c r="J184" s="13" t="s">
        <v>491</v>
      </c>
      <c r="K184" s="14" t="s">
        <v>492</v>
      </c>
      <c r="L184" s="14" t="s">
        <v>112</v>
      </c>
      <c r="M184" s="14" t="s">
        <v>493</v>
      </c>
      <c r="N184" s="14" t="s">
        <v>494</v>
      </c>
      <c r="O184" s="13">
        <v>7</v>
      </c>
      <c r="P184" s="61">
        <v>4500</v>
      </c>
      <c r="Q184" s="62">
        <v>25</v>
      </c>
      <c r="R184" s="13">
        <v>5</v>
      </c>
      <c r="S184" s="16">
        <v>24806</v>
      </c>
      <c r="T184" s="14" t="s">
        <v>153</v>
      </c>
      <c r="U184" s="14" t="s">
        <v>143</v>
      </c>
      <c r="V184" s="14" t="s">
        <v>155</v>
      </c>
    </row>
    <row r="185" spans="1:22" ht="15.75" customHeight="1">
      <c r="A185" s="17" t="s">
        <v>1095</v>
      </c>
      <c r="B185" s="18" t="s">
        <v>2503</v>
      </c>
      <c r="C185" s="18" t="s">
        <v>2278</v>
      </c>
      <c r="D185" s="17" t="s">
        <v>1097</v>
      </c>
      <c r="E185" s="18" t="s">
        <v>1098</v>
      </c>
      <c r="F185" s="18" t="s">
        <v>1099</v>
      </c>
      <c r="G185" s="18" t="s">
        <v>439</v>
      </c>
      <c r="H185" s="17" t="s">
        <v>364</v>
      </c>
      <c r="I185" s="17" t="s">
        <v>63</v>
      </c>
      <c r="J185" s="17" t="s">
        <v>207</v>
      </c>
      <c r="K185" s="18" t="s">
        <v>2406</v>
      </c>
      <c r="L185" s="18" t="s">
        <v>99</v>
      </c>
      <c r="M185" s="18" t="s">
        <v>209</v>
      </c>
      <c r="N185" s="18" t="s">
        <v>2407</v>
      </c>
      <c r="O185" s="17">
        <v>4</v>
      </c>
      <c r="P185" s="59">
        <v>55000</v>
      </c>
      <c r="Q185" s="60">
        <v>12</v>
      </c>
      <c r="R185" s="17">
        <v>18</v>
      </c>
      <c r="S185" s="19">
        <v>228448</v>
      </c>
      <c r="T185" s="18" t="s">
        <v>465</v>
      </c>
      <c r="U185" s="18" t="s">
        <v>184</v>
      </c>
      <c r="V185" s="18" t="s">
        <v>155</v>
      </c>
    </row>
    <row r="186" spans="1:22" ht="15.75" customHeight="1">
      <c r="A186" s="13" t="s">
        <v>1101</v>
      </c>
      <c r="B186" s="14" t="s">
        <v>2416</v>
      </c>
      <c r="C186" s="14" t="s">
        <v>2415</v>
      </c>
      <c r="D186" s="13" t="s">
        <v>1103</v>
      </c>
      <c r="E186" s="14" t="s">
        <v>498</v>
      </c>
      <c r="F186" s="14" t="s">
        <v>1104</v>
      </c>
      <c r="G186" s="14" t="s">
        <v>248</v>
      </c>
      <c r="H186" s="13" t="s">
        <v>249</v>
      </c>
      <c r="I186" s="13" t="s">
        <v>123</v>
      </c>
      <c r="J186" s="13" t="s">
        <v>81</v>
      </c>
      <c r="K186" s="14" t="s">
        <v>82</v>
      </c>
      <c r="L186" s="14" t="s">
        <v>83</v>
      </c>
      <c r="M186" s="14" t="s">
        <v>84</v>
      </c>
      <c r="N186" s="14" t="s">
        <v>85</v>
      </c>
      <c r="O186" s="13">
        <v>2</v>
      </c>
      <c r="P186" s="61">
        <v>25000</v>
      </c>
      <c r="Q186" s="62">
        <v>15</v>
      </c>
      <c r="R186" s="13">
        <v>3</v>
      </c>
      <c r="S186" s="16">
        <v>43775</v>
      </c>
      <c r="T186" s="14" t="s">
        <v>413</v>
      </c>
      <c r="U186" s="14" t="s">
        <v>211</v>
      </c>
      <c r="V186" s="14" t="s">
        <v>155</v>
      </c>
    </row>
    <row r="187" spans="1:22" ht="15.75" customHeight="1">
      <c r="A187" s="17" t="s">
        <v>1105</v>
      </c>
      <c r="B187" s="18" t="s">
        <v>2447</v>
      </c>
      <c r="C187" s="18" t="s">
        <v>291</v>
      </c>
      <c r="D187" s="17" t="s">
        <v>1107</v>
      </c>
      <c r="E187" s="18" t="s">
        <v>664</v>
      </c>
      <c r="F187" s="18" t="s">
        <v>1108</v>
      </c>
      <c r="G187" s="18" t="s">
        <v>2422</v>
      </c>
      <c r="H187" s="17" t="s">
        <v>96</v>
      </c>
      <c r="I187" s="17" t="s">
        <v>63</v>
      </c>
      <c r="J187" s="17" t="s">
        <v>197</v>
      </c>
      <c r="K187" s="18" t="s">
        <v>198</v>
      </c>
      <c r="L187" s="18" t="s">
        <v>66</v>
      </c>
      <c r="M187" s="18" t="s">
        <v>199</v>
      </c>
      <c r="N187" s="18" t="s">
        <v>200</v>
      </c>
      <c r="O187" s="17">
        <v>9</v>
      </c>
      <c r="P187" s="59">
        <v>50</v>
      </c>
      <c r="Q187" s="60">
        <v>15</v>
      </c>
      <c r="R187" s="17">
        <v>5</v>
      </c>
      <c r="S187" s="19">
        <v>402</v>
      </c>
      <c r="T187" s="18" t="s">
        <v>115</v>
      </c>
      <c r="U187" s="18" t="s">
        <v>211</v>
      </c>
      <c r="V187" s="18" t="s">
        <v>155</v>
      </c>
    </row>
    <row r="188" spans="1:22" ht="15.75" customHeight="1">
      <c r="A188" s="13" t="s">
        <v>1109</v>
      </c>
      <c r="B188" s="14" t="s">
        <v>857</v>
      </c>
      <c r="C188" s="14" t="s">
        <v>291</v>
      </c>
      <c r="D188" s="13" t="s">
        <v>1110</v>
      </c>
      <c r="E188" s="14" t="s">
        <v>719</v>
      </c>
      <c r="F188" s="14" t="s">
        <v>1111</v>
      </c>
      <c r="G188" s="14" t="s">
        <v>122</v>
      </c>
      <c r="H188" s="13" t="s">
        <v>122</v>
      </c>
      <c r="I188" s="13" t="s">
        <v>123</v>
      </c>
      <c r="J188" s="13" t="s">
        <v>81</v>
      </c>
      <c r="K188" s="14" t="s">
        <v>82</v>
      </c>
      <c r="L188" s="14" t="s">
        <v>83</v>
      </c>
      <c r="M188" s="14" t="s">
        <v>84</v>
      </c>
      <c r="N188" s="14" t="s">
        <v>85</v>
      </c>
      <c r="O188" s="13">
        <v>2</v>
      </c>
      <c r="P188" s="61">
        <v>25000</v>
      </c>
      <c r="Q188" s="62">
        <v>8</v>
      </c>
      <c r="R188" s="13">
        <v>3</v>
      </c>
      <c r="S188" s="16">
        <v>47380</v>
      </c>
      <c r="T188" s="14" t="s">
        <v>153</v>
      </c>
      <c r="U188" s="14" t="s">
        <v>211</v>
      </c>
      <c r="V188" s="14" t="s">
        <v>212</v>
      </c>
    </row>
    <row r="189" spans="1:22" ht="15.75" customHeight="1">
      <c r="A189" s="17" t="s">
        <v>1112</v>
      </c>
      <c r="B189" s="18" t="s">
        <v>857</v>
      </c>
      <c r="C189" s="18" t="s">
        <v>482</v>
      </c>
      <c r="D189" s="17" t="s">
        <v>1114</v>
      </c>
      <c r="E189" s="18" t="s">
        <v>1115</v>
      </c>
      <c r="F189" s="18" t="s">
        <v>1116</v>
      </c>
      <c r="G189" s="18" t="s">
        <v>61</v>
      </c>
      <c r="H189" s="17" t="s">
        <v>62</v>
      </c>
      <c r="I189" s="17" t="s">
        <v>63</v>
      </c>
      <c r="J189" s="17" t="s">
        <v>238</v>
      </c>
      <c r="K189" s="18" t="s">
        <v>2412</v>
      </c>
      <c r="L189" s="18" t="s">
        <v>112</v>
      </c>
      <c r="M189" s="18" t="s">
        <v>240</v>
      </c>
      <c r="N189" s="18" t="s">
        <v>2413</v>
      </c>
      <c r="O189" s="17">
        <v>1</v>
      </c>
      <c r="P189" s="59">
        <v>2500</v>
      </c>
      <c r="Q189" s="60">
        <v>0</v>
      </c>
      <c r="R189" s="17">
        <v>5</v>
      </c>
      <c r="S189" s="19">
        <v>2625</v>
      </c>
      <c r="T189" s="18" t="s">
        <v>153</v>
      </c>
      <c r="U189" s="18" t="s">
        <v>288</v>
      </c>
      <c r="V189" s="18" t="s">
        <v>212</v>
      </c>
    </row>
    <row r="190" spans="1:22" ht="15.75" customHeight="1">
      <c r="A190" s="13" t="s">
        <v>1117</v>
      </c>
      <c r="B190" s="14" t="s">
        <v>2504</v>
      </c>
      <c r="C190" s="14" t="s">
        <v>372</v>
      </c>
      <c r="D190" s="13" t="s">
        <v>1119</v>
      </c>
      <c r="E190" s="14" t="s">
        <v>374</v>
      </c>
      <c r="F190" s="14" t="s">
        <v>1120</v>
      </c>
      <c r="G190" s="14" t="s">
        <v>2422</v>
      </c>
      <c r="H190" s="13" t="s">
        <v>96</v>
      </c>
      <c r="I190" s="13" t="s">
        <v>63</v>
      </c>
      <c r="J190" s="13" t="s">
        <v>356</v>
      </c>
      <c r="K190" s="14" t="s">
        <v>2434</v>
      </c>
      <c r="L190" s="14" t="s">
        <v>139</v>
      </c>
      <c r="M190" s="14" t="s">
        <v>140</v>
      </c>
      <c r="N190" s="14" t="s">
        <v>2435</v>
      </c>
      <c r="O190" s="13">
        <v>10</v>
      </c>
      <c r="P190" s="61">
        <v>42000</v>
      </c>
      <c r="Q190" s="62">
        <v>8</v>
      </c>
      <c r="R190" s="13">
        <v>18</v>
      </c>
      <c r="S190" s="16">
        <v>455952</v>
      </c>
      <c r="T190" s="14" t="s">
        <v>102</v>
      </c>
      <c r="U190" s="14" t="s">
        <v>184</v>
      </c>
      <c r="V190" s="14" t="s">
        <v>212</v>
      </c>
    </row>
    <row r="191" spans="1:22" ht="15.75" customHeight="1">
      <c r="A191" s="17" t="s">
        <v>1121</v>
      </c>
      <c r="B191" s="18" t="s">
        <v>1883</v>
      </c>
      <c r="C191" s="18" t="s">
        <v>2453</v>
      </c>
      <c r="D191" s="17" t="s">
        <v>1122</v>
      </c>
      <c r="E191" s="18" t="s">
        <v>1123</v>
      </c>
      <c r="F191" s="18" t="s">
        <v>2394</v>
      </c>
      <c r="G191" s="18" t="s">
        <v>172</v>
      </c>
      <c r="H191" s="17" t="s">
        <v>96</v>
      </c>
      <c r="I191" s="17" t="s">
        <v>63</v>
      </c>
      <c r="J191" s="17" t="s">
        <v>347</v>
      </c>
      <c r="K191" s="18" t="s">
        <v>348</v>
      </c>
      <c r="L191" s="18" t="s">
        <v>139</v>
      </c>
      <c r="M191" s="18" t="s">
        <v>349</v>
      </c>
      <c r="N191" s="18" t="s">
        <v>350</v>
      </c>
      <c r="O191" s="17">
        <v>7</v>
      </c>
      <c r="P191" s="59">
        <v>3200</v>
      </c>
      <c r="Q191" s="60">
        <v>25</v>
      </c>
      <c r="R191" s="17">
        <v>18</v>
      </c>
      <c r="S191" s="19">
        <v>19824</v>
      </c>
      <c r="T191" s="18" t="s">
        <v>127</v>
      </c>
      <c r="U191" s="18" t="s">
        <v>184</v>
      </c>
      <c r="V191" s="18" t="s">
        <v>155</v>
      </c>
    </row>
    <row r="192" spans="1:22" ht="15.75" customHeight="1">
      <c r="A192" s="13" t="s">
        <v>1124</v>
      </c>
      <c r="B192" s="14" t="s">
        <v>2468</v>
      </c>
      <c r="C192" s="14" t="s">
        <v>2393</v>
      </c>
      <c r="D192" s="13" t="s">
        <v>1125</v>
      </c>
      <c r="E192" s="14" t="s">
        <v>1126</v>
      </c>
      <c r="F192" s="14" t="s">
        <v>1127</v>
      </c>
      <c r="G192" s="14" t="s">
        <v>151</v>
      </c>
      <c r="H192" s="13" t="s">
        <v>152</v>
      </c>
      <c r="I192" s="13" t="s">
        <v>80</v>
      </c>
      <c r="J192" s="13" t="s">
        <v>275</v>
      </c>
      <c r="K192" s="14" t="s">
        <v>2423</v>
      </c>
      <c r="L192" s="14" t="s">
        <v>99</v>
      </c>
      <c r="M192" s="14" t="s">
        <v>277</v>
      </c>
      <c r="N192" s="14" t="s">
        <v>126</v>
      </c>
      <c r="O192" s="13">
        <v>9</v>
      </c>
      <c r="P192" s="61">
        <v>35000</v>
      </c>
      <c r="Q192" s="62">
        <v>15</v>
      </c>
      <c r="R192" s="13">
        <v>18</v>
      </c>
      <c r="S192" s="16">
        <v>315945</v>
      </c>
      <c r="T192" s="14" t="s">
        <v>413</v>
      </c>
      <c r="U192" s="14" t="s">
        <v>70</v>
      </c>
      <c r="V192" s="14" t="s">
        <v>212</v>
      </c>
    </row>
    <row r="193" spans="1:22" ht="15.75" customHeight="1">
      <c r="A193" s="17" t="s">
        <v>1128</v>
      </c>
      <c r="B193" s="18" t="s">
        <v>2505</v>
      </c>
      <c r="C193" s="18" t="s">
        <v>2465</v>
      </c>
      <c r="D193" s="17" t="s">
        <v>1130</v>
      </c>
      <c r="E193" s="18" t="s">
        <v>2506</v>
      </c>
      <c r="F193" s="18" t="s">
        <v>2394</v>
      </c>
      <c r="G193" s="18" t="s">
        <v>228</v>
      </c>
      <c r="H193" s="17" t="s">
        <v>152</v>
      </c>
      <c r="I193" s="17" t="s">
        <v>80</v>
      </c>
      <c r="J193" s="17" t="s">
        <v>257</v>
      </c>
      <c r="K193" s="18" t="s">
        <v>2418</v>
      </c>
      <c r="L193" s="18" t="s">
        <v>139</v>
      </c>
      <c r="M193" s="18" t="s">
        <v>259</v>
      </c>
      <c r="N193" s="18" t="s">
        <v>260</v>
      </c>
      <c r="O193" s="17">
        <v>1</v>
      </c>
      <c r="P193" s="59">
        <v>299</v>
      </c>
      <c r="Q193" s="60">
        <v>15</v>
      </c>
      <c r="R193" s="17">
        <v>18</v>
      </c>
      <c r="S193" s="19">
        <v>300</v>
      </c>
      <c r="T193" s="18" t="s">
        <v>153</v>
      </c>
      <c r="U193" s="18" t="s">
        <v>70</v>
      </c>
      <c r="V193" s="18" t="s">
        <v>155</v>
      </c>
    </row>
    <row r="194" spans="1:22" ht="15.75" customHeight="1">
      <c r="A194" s="13" t="s">
        <v>1131</v>
      </c>
      <c r="B194" s="14" t="s">
        <v>1194</v>
      </c>
      <c r="C194" s="14" t="s">
        <v>416</v>
      </c>
      <c r="D194" s="13" t="s">
        <v>1132</v>
      </c>
      <c r="E194" s="14" t="s">
        <v>601</v>
      </c>
      <c r="F194" s="14" t="s">
        <v>1133</v>
      </c>
      <c r="G194" s="14" t="s">
        <v>2422</v>
      </c>
      <c r="H194" s="13" t="s">
        <v>96</v>
      </c>
      <c r="I194" s="13" t="s">
        <v>63</v>
      </c>
      <c r="J194" s="13" t="s">
        <v>312</v>
      </c>
      <c r="K194" s="14" t="s">
        <v>313</v>
      </c>
      <c r="L194" s="14" t="s">
        <v>66</v>
      </c>
      <c r="M194" s="14" t="s">
        <v>199</v>
      </c>
      <c r="N194" s="14" t="s">
        <v>314</v>
      </c>
      <c r="O194" s="13">
        <v>8</v>
      </c>
      <c r="P194" s="61">
        <v>40</v>
      </c>
      <c r="Q194" s="62">
        <v>20</v>
      </c>
      <c r="R194" s="13">
        <v>5</v>
      </c>
      <c r="S194" s="16">
        <v>269</v>
      </c>
      <c r="T194" s="14" t="s">
        <v>465</v>
      </c>
      <c r="U194" s="14" t="s">
        <v>143</v>
      </c>
      <c r="V194" s="14" t="s">
        <v>212</v>
      </c>
    </row>
    <row r="195" spans="1:22" ht="15.75" customHeight="1">
      <c r="A195" s="17" t="s">
        <v>1134</v>
      </c>
      <c r="B195" s="18" t="s">
        <v>2452</v>
      </c>
      <c r="C195" s="18" t="s">
        <v>712</v>
      </c>
      <c r="D195" s="17" t="s">
        <v>1136</v>
      </c>
      <c r="E195" s="18" t="s">
        <v>1137</v>
      </c>
      <c r="F195" s="18" t="s">
        <v>1138</v>
      </c>
      <c r="G195" s="18" t="s">
        <v>439</v>
      </c>
      <c r="H195" s="17" t="s">
        <v>364</v>
      </c>
      <c r="I195" s="17" t="s">
        <v>63</v>
      </c>
      <c r="J195" s="17" t="s">
        <v>376</v>
      </c>
      <c r="K195" s="18" t="s">
        <v>377</v>
      </c>
      <c r="L195" s="18" t="s">
        <v>112</v>
      </c>
      <c r="M195" s="18" t="s">
        <v>113</v>
      </c>
      <c r="N195" s="18" t="s">
        <v>378</v>
      </c>
      <c r="O195" s="17">
        <v>4</v>
      </c>
      <c r="P195" s="59">
        <v>8500</v>
      </c>
      <c r="Q195" s="60">
        <v>5</v>
      </c>
      <c r="R195" s="17">
        <v>18</v>
      </c>
      <c r="S195" s="19">
        <v>38114</v>
      </c>
      <c r="T195" s="18" t="s">
        <v>413</v>
      </c>
      <c r="U195" s="18" t="s">
        <v>211</v>
      </c>
      <c r="V195" s="18" t="s">
        <v>155</v>
      </c>
    </row>
    <row r="196" spans="1:22" ht="15.75" customHeight="1">
      <c r="A196" s="13" t="s">
        <v>1139</v>
      </c>
      <c r="B196" s="14" t="s">
        <v>2507</v>
      </c>
      <c r="C196" s="14" t="s">
        <v>728</v>
      </c>
      <c r="D196" s="13" t="s">
        <v>1141</v>
      </c>
      <c r="E196" s="14" t="s">
        <v>1142</v>
      </c>
      <c r="F196" s="14" t="s">
        <v>1143</v>
      </c>
      <c r="G196" s="14" t="s">
        <v>485</v>
      </c>
      <c r="H196" s="13" t="s">
        <v>305</v>
      </c>
      <c r="I196" s="13" t="s">
        <v>306</v>
      </c>
      <c r="J196" s="13" t="s">
        <v>219</v>
      </c>
      <c r="K196" s="14" t="s">
        <v>2408</v>
      </c>
      <c r="L196" s="14" t="s">
        <v>99</v>
      </c>
      <c r="M196" s="14" t="s">
        <v>100</v>
      </c>
      <c r="N196" s="14" t="s">
        <v>221</v>
      </c>
      <c r="O196" s="13">
        <v>2</v>
      </c>
      <c r="P196" s="61">
        <v>89000</v>
      </c>
      <c r="Q196" s="62">
        <v>80</v>
      </c>
      <c r="R196" s="13">
        <v>18</v>
      </c>
      <c r="S196" s="16">
        <v>42008</v>
      </c>
      <c r="T196" s="14" t="s">
        <v>115</v>
      </c>
      <c r="U196" s="14" t="s">
        <v>211</v>
      </c>
      <c r="V196" s="14" t="s">
        <v>155</v>
      </c>
    </row>
    <row r="197" spans="1:22" ht="15.75" customHeight="1">
      <c r="A197" s="17" t="s">
        <v>1144</v>
      </c>
      <c r="B197" s="18" t="s">
        <v>2200</v>
      </c>
      <c r="C197" s="18" t="s">
        <v>131</v>
      </c>
      <c r="D197" s="17" t="s">
        <v>1146</v>
      </c>
      <c r="E197" s="18" t="s">
        <v>895</v>
      </c>
      <c r="F197" s="18" t="s">
        <v>1147</v>
      </c>
      <c r="G197" s="18" t="s">
        <v>61</v>
      </c>
      <c r="H197" s="17" t="s">
        <v>62</v>
      </c>
      <c r="I197" s="17" t="s">
        <v>63</v>
      </c>
      <c r="J197" s="17" t="s">
        <v>420</v>
      </c>
      <c r="K197" s="18" t="s">
        <v>2445</v>
      </c>
      <c r="L197" s="18" t="s">
        <v>112</v>
      </c>
      <c r="M197" s="18" t="s">
        <v>422</v>
      </c>
      <c r="N197" s="18" t="s">
        <v>2446</v>
      </c>
      <c r="O197" s="17">
        <v>10</v>
      </c>
      <c r="P197" s="59">
        <v>4800</v>
      </c>
      <c r="Q197" s="60">
        <v>12</v>
      </c>
      <c r="R197" s="17">
        <v>18</v>
      </c>
      <c r="S197" s="19">
        <v>49843</v>
      </c>
      <c r="T197" s="18" t="s">
        <v>153</v>
      </c>
      <c r="U197" s="18" t="s">
        <v>211</v>
      </c>
      <c r="V197" s="18" t="s">
        <v>212</v>
      </c>
    </row>
    <row r="198" spans="1:22" ht="15.75" customHeight="1">
      <c r="A198" s="13" t="s">
        <v>1148</v>
      </c>
      <c r="B198" s="14" t="s">
        <v>2508</v>
      </c>
      <c r="C198" s="14" t="s">
        <v>2465</v>
      </c>
      <c r="D198" s="13" t="s">
        <v>1149</v>
      </c>
      <c r="E198" s="14" t="s">
        <v>1150</v>
      </c>
      <c r="F198" s="14" t="s">
        <v>1151</v>
      </c>
      <c r="G198" s="14" t="s">
        <v>228</v>
      </c>
      <c r="H198" s="13" t="s">
        <v>152</v>
      </c>
      <c r="I198" s="13" t="s">
        <v>80</v>
      </c>
      <c r="J198" s="13" t="s">
        <v>137</v>
      </c>
      <c r="K198" s="14" t="s">
        <v>138</v>
      </c>
      <c r="L198" s="14" t="s">
        <v>139</v>
      </c>
      <c r="M198" s="14" t="s">
        <v>140</v>
      </c>
      <c r="N198" s="14" t="s">
        <v>141</v>
      </c>
      <c r="O198" s="13">
        <v>1</v>
      </c>
      <c r="P198" s="61">
        <v>12000</v>
      </c>
      <c r="Q198" s="62">
        <v>80</v>
      </c>
      <c r="R198" s="13">
        <v>18</v>
      </c>
      <c r="S198" s="16">
        <v>2832</v>
      </c>
      <c r="T198" s="14" t="s">
        <v>413</v>
      </c>
      <c r="U198" s="14" t="s">
        <v>143</v>
      </c>
      <c r="V198" s="14" t="s">
        <v>212</v>
      </c>
    </row>
    <row r="199" spans="1:22" ht="15.75" customHeight="1">
      <c r="A199" s="17" t="s">
        <v>1152</v>
      </c>
      <c r="B199" s="18" t="s">
        <v>2509</v>
      </c>
      <c r="C199" s="18" t="s">
        <v>131</v>
      </c>
      <c r="D199" s="17" t="s">
        <v>1154</v>
      </c>
      <c r="E199" s="18" t="s">
        <v>133</v>
      </c>
      <c r="F199" s="18" t="s">
        <v>1155</v>
      </c>
      <c r="G199" s="18" t="s">
        <v>248</v>
      </c>
      <c r="H199" s="17" t="s">
        <v>249</v>
      </c>
      <c r="I199" s="17" t="s">
        <v>123</v>
      </c>
      <c r="J199" s="17" t="s">
        <v>420</v>
      </c>
      <c r="K199" s="18" t="s">
        <v>2445</v>
      </c>
      <c r="L199" s="18" t="s">
        <v>112</v>
      </c>
      <c r="M199" s="18" t="s">
        <v>422</v>
      </c>
      <c r="N199" s="18" t="s">
        <v>2446</v>
      </c>
      <c r="O199" s="17">
        <v>4</v>
      </c>
      <c r="P199" s="59">
        <v>4800</v>
      </c>
      <c r="Q199" s="60">
        <v>15</v>
      </c>
      <c r="R199" s="17">
        <v>18</v>
      </c>
      <c r="S199" s="19">
        <v>19258</v>
      </c>
      <c r="T199" s="18" t="s">
        <v>465</v>
      </c>
      <c r="U199" s="18" t="s">
        <v>143</v>
      </c>
      <c r="V199" s="18" t="s">
        <v>155</v>
      </c>
    </row>
    <row r="200" spans="1:22" ht="15.75" customHeight="1">
      <c r="A200" s="13" t="s">
        <v>1156</v>
      </c>
      <c r="B200" s="14" t="s">
        <v>2500</v>
      </c>
      <c r="C200" s="14" t="s">
        <v>131</v>
      </c>
      <c r="D200" s="13" t="s">
        <v>1158</v>
      </c>
      <c r="E200" s="14" t="s">
        <v>437</v>
      </c>
      <c r="F200" s="14" t="s">
        <v>1159</v>
      </c>
      <c r="G200" s="14" t="s">
        <v>2422</v>
      </c>
      <c r="H200" s="13" t="s">
        <v>96</v>
      </c>
      <c r="I200" s="13" t="s">
        <v>63</v>
      </c>
      <c r="J200" s="13" t="s">
        <v>897</v>
      </c>
      <c r="K200" s="14" t="s">
        <v>2491</v>
      </c>
      <c r="L200" s="14" t="s">
        <v>139</v>
      </c>
      <c r="M200" s="14" t="s">
        <v>140</v>
      </c>
      <c r="N200" s="14" t="s">
        <v>899</v>
      </c>
      <c r="O200" s="13">
        <v>3</v>
      </c>
      <c r="P200" s="61">
        <v>38000</v>
      </c>
      <c r="Q200" s="62">
        <v>20</v>
      </c>
      <c r="R200" s="13">
        <v>18</v>
      </c>
      <c r="S200" s="16">
        <v>107616</v>
      </c>
      <c r="T200" s="14" t="s">
        <v>102</v>
      </c>
      <c r="U200" s="14" t="s">
        <v>288</v>
      </c>
      <c r="V200" s="14" t="s">
        <v>155</v>
      </c>
    </row>
    <row r="201" spans="1:22" ht="15.75" customHeight="1">
      <c r="A201" s="17" t="s">
        <v>1160</v>
      </c>
      <c r="B201" s="18" t="s">
        <v>2510</v>
      </c>
      <c r="C201" s="18" t="s">
        <v>2398</v>
      </c>
      <c r="D201" s="17" t="s">
        <v>1161</v>
      </c>
      <c r="E201" s="18" t="s">
        <v>1162</v>
      </c>
      <c r="F201" s="18" t="s">
        <v>1163</v>
      </c>
      <c r="G201" s="18" t="s">
        <v>2422</v>
      </c>
      <c r="H201" s="17" t="s">
        <v>96</v>
      </c>
      <c r="I201" s="17" t="s">
        <v>63</v>
      </c>
      <c r="J201" s="17" t="s">
        <v>124</v>
      </c>
      <c r="K201" s="18" t="s">
        <v>125</v>
      </c>
      <c r="L201" s="18" t="s">
        <v>99</v>
      </c>
      <c r="M201" s="18" t="s">
        <v>100</v>
      </c>
      <c r="N201" s="18" t="s">
        <v>126</v>
      </c>
      <c r="O201" s="17">
        <v>8</v>
      </c>
      <c r="P201" s="59">
        <v>14000</v>
      </c>
      <c r="Q201" s="60">
        <v>8</v>
      </c>
      <c r="R201" s="17">
        <v>18</v>
      </c>
      <c r="S201" s="19">
        <v>121587</v>
      </c>
      <c r="T201" s="18" t="s">
        <v>413</v>
      </c>
      <c r="U201" s="18" t="s">
        <v>70</v>
      </c>
      <c r="V201" s="18" t="s">
        <v>155</v>
      </c>
    </row>
    <row r="202" spans="1:22" ht="15.75" customHeight="1">
      <c r="A202" s="13" t="s">
        <v>1164</v>
      </c>
      <c r="B202" s="14" t="s">
        <v>1299</v>
      </c>
      <c r="C202" s="14" t="s">
        <v>2477</v>
      </c>
      <c r="D202" s="13" t="s">
        <v>1166</v>
      </c>
      <c r="E202" s="14" t="s">
        <v>975</v>
      </c>
      <c r="F202" s="14" t="s">
        <v>1167</v>
      </c>
      <c r="G202" s="14" t="s">
        <v>122</v>
      </c>
      <c r="H202" s="13" t="s">
        <v>122</v>
      </c>
      <c r="I202" s="13" t="s">
        <v>123</v>
      </c>
      <c r="J202" s="13" t="s">
        <v>97</v>
      </c>
      <c r="K202" s="14" t="s">
        <v>2395</v>
      </c>
      <c r="L202" s="14" t="s">
        <v>99</v>
      </c>
      <c r="M202" s="14" t="s">
        <v>100</v>
      </c>
      <c r="N202" s="14" t="s">
        <v>2396</v>
      </c>
      <c r="O202" s="13">
        <v>4</v>
      </c>
      <c r="P202" s="61">
        <v>28000</v>
      </c>
      <c r="Q202" s="62">
        <v>15</v>
      </c>
      <c r="R202" s="13">
        <v>18</v>
      </c>
      <c r="S202" s="16">
        <v>112336</v>
      </c>
      <c r="T202" s="14" t="s">
        <v>153</v>
      </c>
      <c r="U202" s="14" t="s">
        <v>143</v>
      </c>
      <c r="V202" s="14" t="s">
        <v>155</v>
      </c>
    </row>
    <row r="203" spans="1:22" ht="15.75" customHeight="1">
      <c r="A203" s="17" t="s">
        <v>1168</v>
      </c>
      <c r="B203" s="18" t="s">
        <v>2503</v>
      </c>
      <c r="C203" s="18" t="s">
        <v>106</v>
      </c>
      <c r="D203" s="17" t="s">
        <v>1169</v>
      </c>
      <c r="E203" s="18" t="s">
        <v>188</v>
      </c>
      <c r="F203" s="18" t="s">
        <v>1170</v>
      </c>
      <c r="G203" s="18" t="s">
        <v>228</v>
      </c>
      <c r="H203" s="17" t="s">
        <v>152</v>
      </c>
      <c r="I203" s="17" t="s">
        <v>80</v>
      </c>
      <c r="J203" s="17" t="s">
        <v>312</v>
      </c>
      <c r="K203" s="18" t="s">
        <v>313</v>
      </c>
      <c r="L203" s="18" t="s">
        <v>66</v>
      </c>
      <c r="M203" s="18" t="s">
        <v>199</v>
      </c>
      <c r="N203" s="18" t="s">
        <v>314</v>
      </c>
      <c r="O203" s="17">
        <v>5</v>
      </c>
      <c r="P203" s="59">
        <v>40</v>
      </c>
      <c r="Q203" s="60">
        <v>0</v>
      </c>
      <c r="R203" s="17">
        <v>5</v>
      </c>
      <c r="S203" s="19">
        <v>210</v>
      </c>
      <c r="T203" s="18" t="s">
        <v>102</v>
      </c>
      <c r="U203" s="18" t="s">
        <v>211</v>
      </c>
      <c r="V203" s="18" t="s">
        <v>212</v>
      </c>
    </row>
    <row r="204" spans="1:22" ht="15.75" customHeight="1">
      <c r="A204" s="13" t="s">
        <v>1171</v>
      </c>
      <c r="B204" s="14" t="s">
        <v>884</v>
      </c>
      <c r="C204" s="14" t="s">
        <v>106</v>
      </c>
      <c r="D204" s="13" t="s">
        <v>1173</v>
      </c>
      <c r="E204" s="14" t="s">
        <v>188</v>
      </c>
      <c r="F204" s="14" t="s">
        <v>1174</v>
      </c>
      <c r="G204" s="14" t="s">
        <v>172</v>
      </c>
      <c r="H204" s="13" t="s">
        <v>96</v>
      </c>
      <c r="I204" s="13" t="s">
        <v>63</v>
      </c>
      <c r="J204" s="13" t="s">
        <v>275</v>
      </c>
      <c r="K204" s="14" t="s">
        <v>2423</v>
      </c>
      <c r="L204" s="14" t="s">
        <v>99</v>
      </c>
      <c r="M204" s="14" t="s">
        <v>277</v>
      </c>
      <c r="N204" s="14" t="s">
        <v>126</v>
      </c>
      <c r="O204" s="13">
        <v>8</v>
      </c>
      <c r="P204" s="61">
        <v>35000</v>
      </c>
      <c r="Q204" s="62">
        <v>8</v>
      </c>
      <c r="R204" s="13">
        <v>18</v>
      </c>
      <c r="S204" s="16">
        <v>303968</v>
      </c>
      <c r="T204" s="14" t="s">
        <v>115</v>
      </c>
      <c r="U204" s="14" t="s">
        <v>70</v>
      </c>
      <c r="V204" s="14" t="s">
        <v>155</v>
      </c>
    </row>
    <row r="205" spans="1:22" ht="15.75" customHeight="1">
      <c r="A205" s="17" t="s">
        <v>1175</v>
      </c>
      <c r="B205" s="18" t="s">
        <v>2439</v>
      </c>
      <c r="C205" s="18" t="s">
        <v>2410</v>
      </c>
      <c r="D205" s="17" t="s">
        <v>1177</v>
      </c>
      <c r="E205" s="18" t="s">
        <v>528</v>
      </c>
      <c r="F205" s="18" t="s">
        <v>2394</v>
      </c>
      <c r="G205" s="18" t="s">
        <v>228</v>
      </c>
      <c r="H205" s="17" t="s">
        <v>152</v>
      </c>
      <c r="I205" s="17" t="s">
        <v>80</v>
      </c>
      <c r="J205" s="17" t="s">
        <v>897</v>
      </c>
      <c r="K205" s="18" t="s">
        <v>2491</v>
      </c>
      <c r="L205" s="18" t="s">
        <v>139</v>
      </c>
      <c r="M205" s="18" t="s">
        <v>140</v>
      </c>
      <c r="N205" s="18" t="s">
        <v>899</v>
      </c>
      <c r="O205" s="17">
        <v>3</v>
      </c>
      <c r="P205" s="59">
        <v>38000</v>
      </c>
      <c r="Q205" s="60">
        <v>25</v>
      </c>
      <c r="R205" s="17">
        <v>18</v>
      </c>
      <c r="S205" s="19">
        <v>100890</v>
      </c>
      <c r="T205" s="18" t="s">
        <v>413</v>
      </c>
      <c r="U205" s="18" t="s">
        <v>211</v>
      </c>
      <c r="V205" s="18" t="s">
        <v>212</v>
      </c>
    </row>
    <row r="206" spans="1:22" ht="15.75" customHeight="1">
      <c r="A206" s="13" t="s">
        <v>1179</v>
      </c>
      <c r="B206" s="14" t="s">
        <v>2499</v>
      </c>
      <c r="C206" s="14" t="s">
        <v>372</v>
      </c>
      <c r="D206" s="13" t="s">
        <v>2502</v>
      </c>
      <c r="E206" s="14" t="s">
        <v>2469</v>
      </c>
      <c r="F206" s="14" t="s">
        <v>1180</v>
      </c>
      <c r="G206" s="14" t="s">
        <v>151</v>
      </c>
      <c r="H206" s="13" t="s">
        <v>152</v>
      </c>
      <c r="I206" s="13" t="s">
        <v>80</v>
      </c>
      <c r="J206" s="13" t="s">
        <v>595</v>
      </c>
      <c r="K206" s="14" t="s">
        <v>596</v>
      </c>
      <c r="L206" s="14" t="s">
        <v>112</v>
      </c>
      <c r="M206" s="14" t="s">
        <v>240</v>
      </c>
      <c r="N206" s="14" t="s">
        <v>597</v>
      </c>
      <c r="O206" s="13">
        <v>9</v>
      </c>
      <c r="P206" s="61">
        <v>1200</v>
      </c>
      <c r="Q206" s="62">
        <v>8</v>
      </c>
      <c r="R206" s="13">
        <v>5</v>
      </c>
      <c r="S206" s="16">
        <v>10433</v>
      </c>
      <c r="T206" s="14" t="s">
        <v>465</v>
      </c>
      <c r="U206" s="14" t="s">
        <v>70</v>
      </c>
      <c r="V206" s="14" t="s">
        <v>212</v>
      </c>
    </row>
    <row r="207" spans="1:22" ht="15.75" customHeight="1">
      <c r="A207" s="17" t="s">
        <v>1181</v>
      </c>
      <c r="B207" s="18" t="s">
        <v>2464</v>
      </c>
      <c r="C207" s="18" t="s">
        <v>2415</v>
      </c>
      <c r="D207" s="17" t="s">
        <v>1183</v>
      </c>
      <c r="E207" s="18" t="s">
        <v>589</v>
      </c>
      <c r="F207" s="18" t="s">
        <v>1184</v>
      </c>
      <c r="G207" s="18" t="s">
        <v>485</v>
      </c>
      <c r="H207" s="17" t="s">
        <v>305</v>
      </c>
      <c r="I207" s="17" t="s">
        <v>306</v>
      </c>
      <c r="J207" s="17" t="s">
        <v>137</v>
      </c>
      <c r="K207" s="18" t="s">
        <v>138</v>
      </c>
      <c r="L207" s="18" t="s">
        <v>139</v>
      </c>
      <c r="M207" s="18" t="s">
        <v>140</v>
      </c>
      <c r="N207" s="18" t="s">
        <v>141</v>
      </c>
      <c r="O207" s="17">
        <v>2</v>
      </c>
      <c r="P207" s="59">
        <v>12000</v>
      </c>
      <c r="Q207" s="60">
        <v>20</v>
      </c>
      <c r="R207" s="17">
        <v>18</v>
      </c>
      <c r="S207" s="19">
        <v>22656</v>
      </c>
      <c r="T207" s="18" t="s">
        <v>153</v>
      </c>
      <c r="U207" s="18" t="s">
        <v>288</v>
      </c>
      <c r="V207" s="18" t="s">
        <v>155</v>
      </c>
    </row>
    <row r="208" spans="1:22" ht="15.75" customHeight="1">
      <c r="A208" s="13" t="s">
        <v>1185</v>
      </c>
      <c r="B208" s="14" t="s">
        <v>1729</v>
      </c>
      <c r="C208" s="14" t="s">
        <v>2430</v>
      </c>
      <c r="D208" s="13" t="s">
        <v>1187</v>
      </c>
      <c r="E208" s="14" t="s">
        <v>2511</v>
      </c>
      <c r="F208" s="14" t="s">
        <v>1188</v>
      </c>
      <c r="G208" s="14" t="s">
        <v>122</v>
      </c>
      <c r="H208" s="13" t="s">
        <v>122</v>
      </c>
      <c r="I208" s="13" t="s">
        <v>123</v>
      </c>
      <c r="J208" s="13" t="s">
        <v>257</v>
      </c>
      <c r="K208" s="14" t="s">
        <v>2418</v>
      </c>
      <c r="L208" s="14" t="s">
        <v>139</v>
      </c>
      <c r="M208" s="14" t="s">
        <v>259</v>
      </c>
      <c r="N208" s="14" t="s">
        <v>260</v>
      </c>
      <c r="O208" s="13">
        <v>6</v>
      </c>
      <c r="P208" s="61">
        <v>299</v>
      </c>
      <c r="Q208" s="62">
        <v>25</v>
      </c>
      <c r="R208" s="13">
        <v>18</v>
      </c>
      <c r="S208" s="16">
        <v>1588</v>
      </c>
      <c r="T208" s="14" t="s">
        <v>115</v>
      </c>
      <c r="U208" s="14" t="s">
        <v>184</v>
      </c>
      <c r="V208" s="14" t="s">
        <v>155</v>
      </c>
    </row>
    <row r="209" spans="1:22" ht="15.75" customHeight="1">
      <c r="A209" s="17" t="s">
        <v>1189</v>
      </c>
      <c r="B209" s="18" t="s">
        <v>452</v>
      </c>
      <c r="C209" s="18" t="s">
        <v>2477</v>
      </c>
      <c r="D209" s="17" t="s">
        <v>1190</v>
      </c>
      <c r="E209" s="18" t="s">
        <v>1191</v>
      </c>
      <c r="F209" s="18" t="s">
        <v>1192</v>
      </c>
      <c r="G209" s="18" t="s">
        <v>485</v>
      </c>
      <c r="H209" s="17" t="s">
        <v>305</v>
      </c>
      <c r="I209" s="17" t="s">
        <v>306</v>
      </c>
      <c r="J209" s="17" t="s">
        <v>347</v>
      </c>
      <c r="K209" s="18" t="s">
        <v>348</v>
      </c>
      <c r="L209" s="18" t="s">
        <v>139</v>
      </c>
      <c r="M209" s="18" t="s">
        <v>349</v>
      </c>
      <c r="N209" s="18" t="s">
        <v>350</v>
      </c>
      <c r="O209" s="17">
        <v>4</v>
      </c>
      <c r="P209" s="59">
        <v>3200</v>
      </c>
      <c r="Q209" s="60">
        <v>15</v>
      </c>
      <c r="R209" s="17">
        <v>18</v>
      </c>
      <c r="S209" s="19">
        <v>12838</v>
      </c>
      <c r="T209" s="18" t="s">
        <v>413</v>
      </c>
      <c r="U209" s="18" t="s">
        <v>184</v>
      </c>
      <c r="V209" s="18" t="s">
        <v>155</v>
      </c>
    </row>
    <row r="210" spans="1:22" ht="15.75" customHeight="1">
      <c r="A210" s="13" t="s">
        <v>1193</v>
      </c>
      <c r="B210" s="14" t="s">
        <v>2485</v>
      </c>
      <c r="C210" s="14" t="s">
        <v>2278</v>
      </c>
      <c r="D210" s="13" t="s">
        <v>1195</v>
      </c>
      <c r="E210" s="14" t="s">
        <v>232</v>
      </c>
      <c r="F210" s="14" t="s">
        <v>1196</v>
      </c>
      <c r="G210" s="14" t="s">
        <v>439</v>
      </c>
      <c r="H210" s="13" t="s">
        <v>364</v>
      </c>
      <c r="I210" s="13" t="s">
        <v>63</v>
      </c>
      <c r="J210" s="13" t="s">
        <v>295</v>
      </c>
      <c r="K210" s="14" t="s">
        <v>2425</v>
      </c>
      <c r="L210" s="14" t="s">
        <v>66</v>
      </c>
      <c r="M210" s="14" t="s">
        <v>297</v>
      </c>
      <c r="N210" s="14" t="s">
        <v>298</v>
      </c>
      <c r="O210" s="13">
        <v>7</v>
      </c>
      <c r="P210" s="61">
        <v>280</v>
      </c>
      <c r="Q210" s="62">
        <v>15</v>
      </c>
      <c r="R210" s="13">
        <v>5</v>
      </c>
      <c r="S210" s="16">
        <v>1749</v>
      </c>
      <c r="T210" s="14" t="s">
        <v>465</v>
      </c>
      <c r="U210" s="14" t="s">
        <v>211</v>
      </c>
      <c r="V210" s="14" t="s">
        <v>212</v>
      </c>
    </row>
    <row r="211" spans="1:22" ht="15.75" customHeight="1">
      <c r="A211" s="17" t="s">
        <v>1198</v>
      </c>
      <c r="B211" s="18" t="s">
        <v>2490</v>
      </c>
      <c r="C211" s="18" t="s">
        <v>2459</v>
      </c>
      <c r="D211" s="17" t="s">
        <v>1200</v>
      </c>
      <c r="E211" s="18" t="s">
        <v>1201</v>
      </c>
      <c r="F211" s="18" t="s">
        <v>2394</v>
      </c>
      <c r="G211" s="18" t="s">
        <v>2422</v>
      </c>
      <c r="H211" s="17" t="s">
        <v>96</v>
      </c>
      <c r="I211" s="17" t="s">
        <v>63</v>
      </c>
      <c r="J211" s="17" t="s">
        <v>356</v>
      </c>
      <c r="K211" s="18" t="s">
        <v>2434</v>
      </c>
      <c r="L211" s="18" t="s">
        <v>139</v>
      </c>
      <c r="M211" s="18" t="s">
        <v>140</v>
      </c>
      <c r="N211" s="18" t="s">
        <v>2435</v>
      </c>
      <c r="O211" s="17">
        <v>6</v>
      </c>
      <c r="P211" s="59">
        <v>42000</v>
      </c>
      <c r="Q211" s="60">
        <v>15</v>
      </c>
      <c r="R211" s="17">
        <v>18</v>
      </c>
      <c r="S211" s="19">
        <v>252756</v>
      </c>
      <c r="T211" s="18" t="s">
        <v>127</v>
      </c>
      <c r="U211" s="18" t="s">
        <v>184</v>
      </c>
      <c r="V211" s="18" t="s">
        <v>212</v>
      </c>
    </row>
    <row r="212" spans="1:22" ht="15.75" customHeight="1">
      <c r="A212" s="13" t="s">
        <v>1203</v>
      </c>
      <c r="B212" s="14" t="s">
        <v>2473</v>
      </c>
      <c r="C212" s="14" t="s">
        <v>2405</v>
      </c>
      <c r="D212" s="13" t="s">
        <v>1205</v>
      </c>
      <c r="E212" s="14" t="s">
        <v>1206</v>
      </c>
      <c r="F212" s="14" t="s">
        <v>1207</v>
      </c>
      <c r="G212" s="14" t="s">
        <v>439</v>
      </c>
      <c r="H212" s="13" t="s">
        <v>364</v>
      </c>
      <c r="I212" s="13" t="s">
        <v>63</v>
      </c>
      <c r="J212" s="13" t="s">
        <v>595</v>
      </c>
      <c r="K212" s="14" t="s">
        <v>596</v>
      </c>
      <c r="L212" s="14" t="s">
        <v>112</v>
      </c>
      <c r="M212" s="14" t="s">
        <v>240</v>
      </c>
      <c r="N212" s="14" t="s">
        <v>597</v>
      </c>
      <c r="O212" s="13">
        <v>2</v>
      </c>
      <c r="P212" s="61">
        <v>1200</v>
      </c>
      <c r="Q212" s="62">
        <v>0</v>
      </c>
      <c r="R212" s="13">
        <v>5</v>
      </c>
      <c r="S212" s="16">
        <v>2520</v>
      </c>
      <c r="T212" s="14" t="s">
        <v>465</v>
      </c>
      <c r="U212" s="14" t="s">
        <v>288</v>
      </c>
      <c r="V212" s="14" t="s">
        <v>155</v>
      </c>
    </row>
    <row r="213" spans="1:22" ht="15.75" customHeight="1">
      <c r="A213" s="17" t="s">
        <v>1208</v>
      </c>
      <c r="B213" s="18" t="s">
        <v>1729</v>
      </c>
      <c r="C213" s="18" t="s">
        <v>2428</v>
      </c>
      <c r="D213" s="17" t="s">
        <v>1210</v>
      </c>
      <c r="E213" s="18" t="s">
        <v>1211</v>
      </c>
      <c r="F213" s="18" t="s">
        <v>1212</v>
      </c>
      <c r="G213" s="18" t="s">
        <v>61</v>
      </c>
      <c r="H213" s="17" t="s">
        <v>62</v>
      </c>
      <c r="I213" s="17" t="s">
        <v>63</v>
      </c>
      <c r="J213" s="17" t="s">
        <v>365</v>
      </c>
      <c r="K213" s="18" t="s">
        <v>366</v>
      </c>
      <c r="L213" s="18" t="s">
        <v>112</v>
      </c>
      <c r="M213" s="18" t="s">
        <v>367</v>
      </c>
      <c r="N213" s="18" t="s">
        <v>368</v>
      </c>
      <c r="O213" s="17">
        <v>9</v>
      </c>
      <c r="P213" s="59">
        <v>3500</v>
      </c>
      <c r="Q213" s="60">
        <v>12</v>
      </c>
      <c r="R213" s="17">
        <v>5</v>
      </c>
      <c r="S213" s="19">
        <v>29106</v>
      </c>
      <c r="T213" s="18" t="s">
        <v>153</v>
      </c>
      <c r="U213" s="18" t="s">
        <v>70</v>
      </c>
      <c r="V213" s="18" t="s">
        <v>212</v>
      </c>
    </row>
    <row r="214" spans="1:22" ht="15.75" customHeight="1">
      <c r="A214" s="13" t="s">
        <v>1213</v>
      </c>
      <c r="B214" s="14" t="s">
        <v>675</v>
      </c>
      <c r="C214" s="14" t="s">
        <v>2415</v>
      </c>
      <c r="D214" s="13" t="s">
        <v>1214</v>
      </c>
      <c r="E214" s="14" t="s">
        <v>498</v>
      </c>
      <c r="F214" s="14" t="s">
        <v>1215</v>
      </c>
      <c r="G214" s="14" t="s">
        <v>248</v>
      </c>
      <c r="H214" s="13" t="s">
        <v>249</v>
      </c>
      <c r="I214" s="13" t="s">
        <v>123</v>
      </c>
      <c r="J214" s="13" t="s">
        <v>219</v>
      </c>
      <c r="K214" s="14" t="s">
        <v>2408</v>
      </c>
      <c r="L214" s="14" t="s">
        <v>99</v>
      </c>
      <c r="M214" s="14" t="s">
        <v>100</v>
      </c>
      <c r="N214" s="14" t="s">
        <v>221</v>
      </c>
      <c r="O214" s="13">
        <v>1</v>
      </c>
      <c r="P214" s="61">
        <v>89000</v>
      </c>
      <c r="Q214" s="62">
        <v>25</v>
      </c>
      <c r="R214" s="13">
        <v>18</v>
      </c>
      <c r="S214" s="16">
        <v>78765</v>
      </c>
      <c r="T214" s="14" t="s">
        <v>102</v>
      </c>
      <c r="U214" s="14" t="s">
        <v>143</v>
      </c>
      <c r="V214" s="14" t="s">
        <v>212</v>
      </c>
    </row>
    <row r="215" spans="1:22" ht="15.75" customHeight="1">
      <c r="A215" s="17" t="s">
        <v>1216</v>
      </c>
      <c r="B215" s="18" t="s">
        <v>1443</v>
      </c>
      <c r="C215" s="18" t="s">
        <v>2404</v>
      </c>
      <c r="D215" s="17" t="s">
        <v>1217</v>
      </c>
      <c r="E215" s="18" t="s">
        <v>1218</v>
      </c>
      <c r="F215" s="18" t="s">
        <v>1219</v>
      </c>
      <c r="G215" s="18" t="s">
        <v>228</v>
      </c>
      <c r="H215" s="17" t="s">
        <v>152</v>
      </c>
      <c r="I215" s="17" t="s">
        <v>80</v>
      </c>
      <c r="J215" s="17" t="s">
        <v>64</v>
      </c>
      <c r="K215" s="18" t="s">
        <v>2389</v>
      </c>
      <c r="L215" s="18" t="s">
        <v>66</v>
      </c>
      <c r="M215" s="18" t="s">
        <v>67</v>
      </c>
      <c r="N215" s="18" t="s">
        <v>68</v>
      </c>
      <c r="O215" s="17">
        <v>3</v>
      </c>
      <c r="P215" s="59">
        <v>450</v>
      </c>
      <c r="Q215" s="60">
        <v>25</v>
      </c>
      <c r="R215" s="17">
        <v>5</v>
      </c>
      <c r="S215" s="19">
        <v>1063</v>
      </c>
      <c r="T215" s="18" t="s">
        <v>115</v>
      </c>
      <c r="U215" s="18" t="s">
        <v>211</v>
      </c>
      <c r="V215" s="18" t="s">
        <v>155</v>
      </c>
    </row>
    <row r="216" spans="1:22" ht="15.75" customHeight="1">
      <c r="A216" s="13" t="s">
        <v>1220</v>
      </c>
      <c r="B216" s="14" t="s">
        <v>2503</v>
      </c>
      <c r="C216" s="14" t="s">
        <v>2417</v>
      </c>
      <c r="D216" s="13" t="s">
        <v>1222</v>
      </c>
      <c r="E216" s="14" t="s">
        <v>1223</v>
      </c>
      <c r="F216" s="14" t="s">
        <v>1224</v>
      </c>
      <c r="G216" s="14" t="s">
        <v>248</v>
      </c>
      <c r="H216" s="13" t="s">
        <v>249</v>
      </c>
      <c r="I216" s="13" t="s">
        <v>123</v>
      </c>
      <c r="J216" s="13" t="s">
        <v>491</v>
      </c>
      <c r="K216" s="14" t="s">
        <v>492</v>
      </c>
      <c r="L216" s="14" t="s">
        <v>112</v>
      </c>
      <c r="M216" s="14" t="s">
        <v>493</v>
      </c>
      <c r="N216" s="14" t="s">
        <v>494</v>
      </c>
      <c r="O216" s="13">
        <v>10</v>
      </c>
      <c r="P216" s="61">
        <v>4500</v>
      </c>
      <c r="Q216" s="62">
        <v>10</v>
      </c>
      <c r="R216" s="13">
        <v>5</v>
      </c>
      <c r="S216" s="16">
        <v>42525</v>
      </c>
      <c r="T216" s="14" t="s">
        <v>413</v>
      </c>
      <c r="U216" s="14" t="s">
        <v>184</v>
      </c>
      <c r="V216" s="14" t="s">
        <v>155</v>
      </c>
    </row>
    <row r="217" spans="1:22" ht="15.75" customHeight="1">
      <c r="A217" s="17" t="s">
        <v>1225</v>
      </c>
      <c r="B217" s="18" t="s">
        <v>409</v>
      </c>
      <c r="C217" s="18" t="s">
        <v>2402</v>
      </c>
      <c r="D217" s="17" t="s">
        <v>1227</v>
      </c>
      <c r="E217" s="18" t="s">
        <v>703</v>
      </c>
      <c r="F217" s="18" t="s">
        <v>1228</v>
      </c>
      <c r="G217" s="18" t="s">
        <v>95</v>
      </c>
      <c r="H217" s="17" t="s">
        <v>96</v>
      </c>
      <c r="I217" s="17" t="s">
        <v>63</v>
      </c>
      <c r="J217" s="17" t="s">
        <v>97</v>
      </c>
      <c r="K217" s="18" t="s">
        <v>2395</v>
      </c>
      <c r="L217" s="18" t="s">
        <v>99</v>
      </c>
      <c r="M217" s="18" t="s">
        <v>100</v>
      </c>
      <c r="N217" s="18" t="s">
        <v>2396</v>
      </c>
      <c r="O217" s="17">
        <v>7</v>
      </c>
      <c r="P217" s="59">
        <v>28000</v>
      </c>
      <c r="Q217" s="60">
        <v>20</v>
      </c>
      <c r="R217" s="17">
        <v>18</v>
      </c>
      <c r="S217" s="19">
        <v>185024</v>
      </c>
      <c r="T217" s="18" t="s">
        <v>413</v>
      </c>
      <c r="U217" s="18" t="s">
        <v>184</v>
      </c>
      <c r="V217" s="18" t="s">
        <v>155</v>
      </c>
    </row>
    <row r="218" spans="1:22" ht="15.75" customHeight="1">
      <c r="A218" s="13" t="s">
        <v>1229</v>
      </c>
      <c r="B218" s="14" t="s">
        <v>2512</v>
      </c>
      <c r="C218" s="14" t="s">
        <v>2477</v>
      </c>
      <c r="D218" s="13" t="s">
        <v>1231</v>
      </c>
      <c r="E218" s="14" t="s">
        <v>975</v>
      </c>
      <c r="F218" s="14" t="s">
        <v>1232</v>
      </c>
      <c r="G218" s="14" t="s">
        <v>248</v>
      </c>
      <c r="H218" s="13" t="s">
        <v>249</v>
      </c>
      <c r="I218" s="13" t="s">
        <v>123</v>
      </c>
      <c r="J218" s="13" t="s">
        <v>420</v>
      </c>
      <c r="K218" s="14" t="s">
        <v>2445</v>
      </c>
      <c r="L218" s="14" t="s">
        <v>112</v>
      </c>
      <c r="M218" s="14" t="s">
        <v>422</v>
      </c>
      <c r="N218" s="14" t="s">
        <v>2446</v>
      </c>
      <c r="O218" s="13">
        <v>6</v>
      </c>
      <c r="P218" s="61">
        <v>4800</v>
      </c>
      <c r="Q218" s="62">
        <v>8</v>
      </c>
      <c r="R218" s="13">
        <v>18</v>
      </c>
      <c r="S218" s="16">
        <v>31265</v>
      </c>
      <c r="T218" s="14" t="s">
        <v>465</v>
      </c>
      <c r="U218" s="14" t="s">
        <v>211</v>
      </c>
      <c r="V218" s="14" t="s">
        <v>212</v>
      </c>
    </row>
    <row r="219" spans="1:22" ht="15.75" customHeight="1">
      <c r="A219" s="17" t="s">
        <v>1233</v>
      </c>
      <c r="B219" s="18" t="s">
        <v>2508</v>
      </c>
      <c r="C219" s="18" t="s">
        <v>2465</v>
      </c>
      <c r="D219" s="17" t="s">
        <v>1234</v>
      </c>
      <c r="E219" s="18" t="s">
        <v>798</v>
      </c>
      <c r="F219" s="18" t="s">
        <v>1235</v>
      </c>
      <c r="G219" s="18" t="s">
        <v>333</v>
      </c>
      <c r="H219" s="17" t="s">
        <v>334</v>
      </c>
      <c r="I219" s="17" t="s">
        <v>63</v>
      </c>
      <c r="J219" s="17" t="s">
        <v>347</v>
      </c>
      <c r="K219" s="18" t="s">
        <v>348</v>
      </c>
      <c r="L219" s="18" t="s">
        <v>139</v>
      </c>
      <c r="M219" s="18" t="s">
        <v>349</v>
      </c>
      <c r="N219" s="18" t="s">
        <v>350</v>
      </c>
      <c r="O219" s="17">
        <v>7</v>
      </c>
      <c r="P219" s="59">
        <v>3200</v>
      </c>
      <c r="Q219" s="60">
        <v>8</v>
      </c>
      <c r="R219" s="17">
        <v>18</v>
      </c>
      <c r="S219" s="19">
        <v>24317</v>
      </c>
      <c r="T219" s="18" t="s">
        <v>115</v>
      </c>
      <c r="U219" s="18" t="s">
        <v>70</v>
      </c>
      <c r="V219" s="18" t="s">
        <v>212</v>
      </c>
    </row>
    <row r="220" spans="1:22" ht="15.75" customHeight="1">
      <c r="A220" s="13" t="s">
        <v>1236</v>
      </c>
      <c r="B220" s="14" t="s">
        <v>2483</v>
      </c>
      <c r="C220" s="14" t="s">
        <v>2398</v>
      </c>
      <c r="D220" s="13" t="s">
        <v>1238</v>
      </c>
      <c r="E220" s="14" t="s">
        <v>1162</v>
      </c>
      <c r="F220" s="14" t="s">
        <v>1239</v>
      </c>
      <c r="G220" s="14" t="s">
        <v>172</v>
      </c>
      <c r="H220" s="13" t="s">
        <v>96</v>
      </c>
      <c r="I220" s="13" t="s">
        <v>63</v>
      </c>
      <c r="J220" s="13" t="s">
        <v>97</v>
      </c>
      <c r="K220" s="14" t="s">
        <v>2395</v>
      </c>
      <c r="L220" s="14" t="s">
        <v>99</v>
      </c>
      <c r="M220" s="14" t="s">
        <v>100</v>
      </c>
      <c r="N220" s="14" t="s">
        <v>2396</v>
      </c>
      <c r="O220" s="13">
        <v>1</v>
      </c>
      <c r="P220" s="61">
        <v>28000</v>
      </c>
      <c r="Q220" s="62">
        <v>12</v>
      </c>
      <c r="R220" s="13">
        <v>18</v>
      </c>
      <c r="S220" s="16">
        <v>29075</v>
      </c>
      <c r="T220" s="14" t="s">
        <v>465</v>
      </c>
      <c r="U220" s="14" t="s">
        <v>184</v>
      </c>
      <c r="V220" s="14" t="s">
        <v>155</v>
      </c>
    </row>
    <row r="221" spans="1:22" ht="15.75" customHeight="1">
      <c r="A221" s="17" t="s">
        <v>1240</v>
      </c>
      <c r="B221" s="18" t="s">
        <v>2437</v>
      </c>
      <c r="C221" s="18" t="s">
        <v>2430</v>
      </c>
      <c r="D221" s="17" t="s">
        <v>1242</v>
      </c>
      <c r="E221" s="18" t="s">
        <v>1243</v>
      </c>
      <c r="F221" s="18" t="s">
        <v>2394</v>
      </c>
      <c r="G221" s="18" t="s">
        <v>78</v>
      </c>
      <c r="H221" s="17" t="s">
        <v>79</v>
      </c>
      <c r="I221" s="17" t="s">
        <v>80</v>
      </c>
      <c r="J221" s="17" t="s">
        <v>491</v>
      </c>
      <c r="K221" s="18" t="s">
        <v>492</v>
      </c>
      <c r="L221" s="18" t="s">
        <v>112</v>
      </c>
      <c r="M221" s="18" t="s">
        <v>493</v>
      </c>
      <c r="N221" s="18" t="s">
        <v>494</v>
      </c>
      <c r="O221" s="17">
        <v>2</v>
      </c>
      <c r="P221" s="59">
        <v>4500</v>
      </c>
      <c r="Q221" s="60">
        <v>15</v>
      </c>
      <c r="R221" s="17">
        <v>5</v>
      </c>
      <c r="S221" s="19">
        <v>8032</v>
      </c>
      <c r="T221" s="18" t="s">
        <v>115</v>
      </c>
      <c r="U221" s="18" t="s">
        <v>184</v>
      </c>
      <c r="V221" s="18" t="s">
        <v>155</v>
      </c>
    </row>
    <row r="222" spans="1:22" ht="15.75" customHeight="1">
      <c r="A222" s="13" t="s">
        <v>1245</v>
      </c>
      <c r="B222" s="14" t="s">
        <v>610</v>
      </c>
      <c r="C222" s="14" t="s">
        <v>2487</v>
      </c>
      <c r="D222" s="13" t="s">
        <v>1246</v>
      </c>
      <c r="E222" s="14" t="s">
        <v>827</v>
      </c>
      <c r="F222" s="14" t="s">
        <v>1247</v>
      </c>
      <c r="G222" s="14" t="s">
        <v>78</v>
      </c>
      <c r="H222" s="13" t="s">
        <v>79</v>
      </c>
      <c r="I222" s="13" t="s">
        <v>80</v>
      </c>
      <c r="J222" s="13" t="s">
        <v>595</v>
      </c>
      <c r="K222" s="14" t="s">
        <v>596</v>
      </c>
      <c r="L222" s="14" t="s">
        <v>112</v>
      </c>
      <c r="M222" s="14" t="s">
        <v>240</v>
      </c>
      <c r="N222" s="14" t="s">
        <v>597</v>
      </c>
      <c r="O222" s="13">
        <v>1</v>
      </c>
      <c r="P222" s="61">
        <v>1200</v>
      </c>
      <c r="Q222" s="62">
        <v>12</v>
      </c>
      <c r="R222" s="13">
        <v>5</v>
      </c>
      <c r="S222" s="16">
        <v>1109</v>
      </c>
      <c r="T222" s="14" t="s">
        <v>127</v>
      </c>
      <c r="U222" s="14" t="s">
        <v>211</v>
      </c>
      <c r="V222" s="14" t="s">
        <v>212</v>
      </c>
    </row>
    <row r="223" spans="1:22" ht="15.75" customHeight="1">
      <c r="A223" s="17" t="s">
        <v>1248</v>
      </c>
      <c r="B223" s="18" t="s">
        <v>1153</v>
      </c>
      <c r="C223" s="18" t="s">
        <v>1249</v>
      </c>
      <c r="D223" s="17" t="s">
        <v>1250</v>
      </c>
      <c r="E223" s="18" t="s">
        <v>1251</v>
      </c>
      <c r="F223" s="18" t="s">
        <v>1252</v>
      </c>
      <c r="G223" s="18" t="s">
        <v>744</v>
      </c>
      <c r="H223" s="17" t="s">
        <v>79</v>
      </c>
      <c r="I223" s="17" t="s">
        <v>80</v>
      </c>
      <c r="J223" s="17" t="s">
        <v>312</v>
      </c>
      <c r="K223" s="18" t="s">
        <v>313</v>
      </c>
      <c r="L223" s="18" t="s">
        <v>66</v>
      </c>
      <c r="M223" s="18" t="s">
        <v>199</v>
      </c>
      <c r="N223" s="18" t="s">
        <v>314</v>
      </c>
      <c r="O223" s="17">
        <v>3</v>
      </c>
      <c r="P223" s="59">
        <v>40</v>
      </c>
      <c r="Q223" s="60">
        <v>25</v>
      </c>
      <c r="R223" s="17">
        <v>5</v>
      </c>
      <c r="S223" s="19">
        <v>94</v>
      </c>
      <c r="T223" s="18" t="s">
        <v>465</v>
      </c>
      <c r="U223" s="18" t="s">
        <v>211</v>
      </c>
      <c r="V223" s="18" t="s">
        <v>212</v>
      </c>
    </row>
    <row r="224" spans="1:22" ht="15.75" customHeight="1">
      <c r="A224" s="13" t="s">
        <v>1253</v>
      </c>
      <c r="B224" s="14" t="s">
        <v>2513</v>
      </c>
      <c r="C224" s="14" t="s">
        <v>416</v>
      </c>
      <c r="D224" s="13" t="s">
        <v>1255</v>
      </c>
      <c r="E224" s="14" t="s">
        <v>1256</v>
      </c>
      <c r="F224" s="14" t="s">
        <v>1257</v>
      </c>
      <c r="G224" s="14" t="s">
        <v>744</v>
      </c>
      <c r="H224" s="13" t="s">
        <v>79</v>
      </c>
      <c r="I224" s="13" t="s">
        <v>80</v>
      </c>
      <c r="J224" s="13" t="s">
        <v>257</v>
      </c>
      <c r="K224" s="14" t="s">
        <v>2418</v>
      </c>
      <c r="L224" s="14" t="s">
        <v>139</v>
      </c>
      <c r="M224" s="14" t="s">
        <v>259</v>
      </c>
      <c r="N224" s="14" t="s">
        <v>260</v>
      </c>
      <c r="O224" s="13">
        <v>5</v>
      </c>
      <c r="P224" s="61">
        <v>299</v>
      </c>
      <c r="Q224" s="62">
        <v>0</v>
      </c>
      <c r="R224" s="13">
        <v>18</v>
      </c>
      <c r="S224" s="16">
        <v>1764</v>
      </c>
      <c r="T224" s="14" t="s">
        <v>413</v>
      </c>
      <c r="U224" s="14" t="s">
        <v>184</v>
      </c>
      <c r="V224" s="14" t="s">
        <v>212</v>
      </c>
    </row>
    <row r="225" spans="1:22" ht="15.75" customHeight="1">
      <c r="A225" s="17" t="s">
        <v>1258</v>
      </c>
      <c r="B225" s="18" t="s">
        <v>2514</v>
      </c>
      <c r="C225" s="18" t="s">
        <v>372</v>
      </c>
      <c r="D225" s="17" t="s">
        <v>1260</v>
      </c>
      <c r="E225" s="18" t="s">
        <v>427</v>
      </c>
      <c r="F225" s="18" t="s">
        <v>1261</v>
      </c>
      <c r="G225" s="18" t="s">
        <v>2422</v>
      </c>
      <c r="H225" s="17" t="s">
        <v>96</v>
      </c>
      <c r="I225" s="17" t="s">
        <v>63</v>
      </c>
      <c r="J225" s="17" t="s">
        <v>312</v>
      </c>
      <c r="K225" s="18" t="s">
        <v>313</v>
      </c>
      <c r="L225" s="18" t="s">
        <v>66</v>
      </c>
      <c r="M225" s="18" t="s">
        <v>199</v>
      </c>
      <c r="N225" s="18" t="s">
        <v>314</v>
      </c>
      <c r="O225" s="17">
        <v>1</v>
      </c>
      <c r="P225" s="59">
        <v>40</v>
      </c>
      <c r="Q225" s="60">
        <v>25</v>
      </c>
      <c r="R225" s="17">
        <v>5</v>
      </c>
      <c r="S225" s="19">
        <v>32</v>
      </c>
      <c r="T225" s="18" t="s">
        <v>465</v>
      </c>
      <c r="U225" s="18" t="s">
        <v>211</v>
      </c>
      <c r="V225" s="18" t="s">
        <v>212</v>
      </c>
    </row>
    <row r="226" spans="1:22" ht="15.75" customHeight="1">
      <c r="A226" s="13" t="s">
        <v>1262</v>
      </c>
      <c r="B226" s="14" t="s">
        <v>2481</v>
      </c>
      <c r="C226" s="14" t="s">
        <v>2398</v>
      </c>
      <c r="D226" s="13" t="s">
        <v>1264</v>
      </c>
      <c r="E226" s="14" t="s">
        <v>1162</v>
      </c>
      <c r="F226" s="14" t="s">
        <v>1265</v>
      </c>
      <c r="G226" s="14" t="s">
        <v>439</v>
      </c>
      <c r="H226" s="13" t="s">
        <v>364</v>
      </c>
      <c r="I226" s="13" t="s">
        <v>63</v>
      </c>
      <c r="J226" s="13" t="s">
        <v>81</v>
      </c>
      <c r="K226" s="14" t="s">
        <v>82</v>
      </c>
      <c r="L226" s="14" t="s">
        <v>83</v>
      </c>
      <c r="M226" s="14" t="s">
        <v>84</v>
      </c>
      <c r="N226" s="14" t="s">
        <v>85</v>
      </c>
      <c r="O226" s="13">
        <v>3</v>
      </c>
      <c r="P226" s="61">
        <v>25000</v>
      </c>
      <c r="Q226" s="62">
        <v>12</v>
      </c>
      <c r="R226" s="13">
        <v>3</v>
      </c>
      <c r="S226" s="16">
        <v>67980</v>
      </c>
      <c r="T226" s="14" t="s">
        <v>465</v>
      </c>
      <c r="U226" s="14" t="s">
        <v>288</v>
      </c>
      <c r="V226" s="14" t="s">
        <v>155</v>
      </c>
    </row>
    <row r="227" spans="1:22" ht="15.75" customHeight="1">
      <c r="A227" s="17" t="s">
        <v>1266</v>
      </c>
      <c r="B227" s="18" t="s">
        <v>2513</v>
      </c>
      <c r="C227" s="18" t="s">
        <v>1249</v>
      </c>
      <c r="D227" s="17" t="s">
        <v>1268</v>
      </c>
      <c r="E227" s="18" t="s">
        <v>1269</v>
      </c>
      <c r="F227" s="18" t="s">
        <v>1270</v>
      </c>
      <c r="G227" s="18" t="s">
        <v>485</v>
      </c>
      <c r="H227" s="17" t="s">
        <v>305</v>
      </c>
      <c r="I227" s="17" t="s">
        <v>306</v>
      </c>
      <c r="J227" s="17" t="s">
        <v>595</v>
      </c>
      <c r="K227" s="18" t="s">
        <v>596</v>
      </c>
      <c r="L227" s="18" t="s">
        <v>112</v>
      </c>
      <c r="M227" s="18" t="s">
        <v>240</v>
      </c>
      <c r="N227" s="18" t="s">
        <v>597</v>
      </c>
      <c r="O227" s="17">
        <v>2</v>
      </c>
      <c r="P227" s="59">
        <v>1200</v>
      </c>
      <c r="Q227" s="60">
        <v>25</v>
      </c>
      <c r="R227" s="17">
        <v>5</v>
      </c>
      <c r="S227" s="19">
        <v>1890</v>
      </c>
      <c r="T227" s="18" t="s">
        <v>465</v>
      </c>
      <c r="U227" s="18" t="s">
        <v>288</v>
      </c>
      <c r="V227" s="18" t="s">
        <v>155</v>
      </c>
    </row>
    <row r="228" spans="1:22" ht="15.75" customHeight="1">
      <c r="A228" s="13" t="s">
        <v>1271</v>
      </c>
      <c r="B228" s="14" t="s">
        <v>2483</v>
      </c>
      <c r="C228" s="14" t="s">
        <v>131</v>
      </c>
      <c r="D228" s="13" t="s">
        <v>1272</v>
      </c>
      <c r="E228" s="14" t="s">
        <v>437</v>
      </c>
      <c r="F228" s="14" t="s">
        <v>1273</v>
      </c>
      <c r="G228" s="14" t="s">
        <v>248</v>
      </c>
      <c r="H228" s="13" t="s">
        <v>249</v>
      </c>
      <c r="I228" s="13" t="s">
        <v>123</v>
      </c>
      <c r="J228" s="13" t="s">
        <v>110</v>
      </c>
      <c r="K228" s="14" t="s">
        <v>111</v>
      </c>
      <c r="L228" s="14" t="s">
        <v>139</v>
      </c>
      <c r="M228" s="14" t="s">
        <v>113</v>
      </c>
      <c r="N228" s="14" t="s">
        <v>114</v>
      </c>
      <c r="O228" s="13">
        <v>1</v>
      </c>
      <c r="P228" s="61">
        <v>3500</v>
      </c>
      <c r="Q228" s="62">
        <v>25</v>
      </c>
      <c r="R228" s="13">
        <v>18</v>
      </c>
      <c r="S228" s="16">
        <v>3098</v>
      </c>
      <c r="T228" s="14" t="s">
        <v>465</v>
      </c>
      <c r="U228" s="14" t="s">
        <v>70</v>
      </c>
      <c r="V228" s="14" t="s">
        <v>212</v>
      </c>
    </row>
    <row r="229" spans="1:22" ht="15.75" customHeight="1">
      <c r="A229" s="17" t="s">
        <v>1275</v>
      </c>
      <c r="B229" s="18" t="s">
        <v>2448</v>
      </c>
      <c r="C229" s="18" t="s">
        <v>461</v>
      </c>
      <c r="D229" s="17" t="s">
        <v>1277</v>
      </c>
      <c r="E229" s="18" t="s">
        <v>1278</v>
      </c>
      <c r="F229" s="18" t="s">
        <v>1279</v>
      </c>
      <c r="G229" s="18" t="s">
        <v>341</v>
      </c>
      <c r="H229" s="17" t="s">
        <v>62</v>
      </c>
      <c r="I229" s="17" t="s">
        <v>63</v>
      </c>
      <c r="J229" s="17" t="s">
        <v>365</v>
      </c>
      <c r="K229" s="18" t="s">
        <v>366</v>
      </c>
      <c r="L229" s="18" t="s">
        <v>112</v>
      </c>
      <c r="M229" s="18" t="s">
        <v>367</v>
      </c>
      <c r="N229" s="18" t="s">
        <v>368</v>
      </c>
      <c r="O229" s="17">
        <v>4</v>
      </c>
      <c r="P229" s="59">
        <v>3500</v>
      </c>
      <c r="Q229" s="60">
        <v>25</v>
      </c>
      <c r="R229" s="17">
        <v>5</v>
      </c>
      <c r="S229" s="19">
        <v>11025</v>
      </c>
      <c r="T229" s="18" t="s">
        <v>115</v>
      </c>
      <c r="U229" s="18" t="s">
        <v>211</v>
      </c>
      <c r="V229" s="18" t="s">
        <v>155</v>
      </c>
    </row>
    <row r="230" spans="1:22" ht="15.75" customHeight="1">
      <c r="A230" s="13" t="s">
        <v>1280</v>
      </c>
      <c r="B230" s="14" t="s">
        <v>2401</v>
      </c>
      <c r="C230" s="14" t="s">
        <v>416</v>
      </c>
      <c r="D230" s="13" t="s">
        <v>1282</v>
      </c>
      <c r="E230" s="14" t="s">
        <v>1067</v>
      </c>
      <c r="F230" s="14" t="s">
        <v>2394</v>
      </c>
      <c r="G230" s="14" t="s">
        <v>341</v>
      </c>
      <c r="H230" s="13" t="s">
        <v>62</v>
      </c>
      <c r="I230" s="13" t="s">
        <v>63</v>
      </c>
      <c r="J230" s="13" t="s">
        <v>275</v>
      </c>
      <c r="K230" s="14" t="s">
        <v>2423</v>
      </c>
      <c r="L230" s="14" t="s">
        <v>99</v>
      </c>
      <c r="M230" s="14" t="s">
        <v>277</v>
      </c>
      <c r="N230" s="14" t="s">
        <v>126</v>
      </c>
      <c r="O230" s="13">
        <v>4</v>
      </c>
      <c r="P230" s="61">
        <v>35000</v>
      </c>
      <c r="Q230" s="62">
        <v>8</v>
      </c>
      <c r="R230" s="13">
        <v>18</v>
      </c>
      <c r="S230" s="16">
        <v>151984</v>
      </c>
      <c r="T230" s="14" t="s">
        <v>115</v>
      </c>
      <c r="U230" s="14" t="s">
        <v>211</v>
      </c>
      <c r="V230" s="14" t="s">
        <v>155</v>
      </c>
    </row>
    <row r="231" spans="1:22" ht="15.75" customHeight="1">
      <c r="A231" s="17" t="s">
        <v>1283</v>
      </c>
      <c r="B231" s="18" t="s">
        <v>1595</v>
      </c>
      <c r="C231" s="18" t="s">
        <v>2268</v>
      </c>
      <c r="D231" s="17" t="s">
        <v>1284</v>
      </c>
      <c r="E231" s="18" t="s">
        <v>943</v>
      </c>
      <c r="F231" s="18" t="s">
        <v>1285</v>
      </c>
      <c r="G231" s="18" t="s">
        <v>181</v>
      </c>
      <c r="H231" s="17" t="s">
        <v>182</v>
      </c>
      <c r="I231" s="17" t="s">
        <v>123</v>
      </c>
      <c r="J231" s="17" t="s">
        <v>477</v>
      </c>
      <c r="K231" s="18" t="s">
        <v>478</v>
      </c>
      <c r="L231" s="18" t="s">
        <v>139</v>
      </c>
      <c r="M231" s="18" t="s">
        <v>349</v>
      </c>
      <c r="N231" s="18" t="s">
        <v>479</v>
      </c>
      <c r="O231" s="17">
        <v>2</v>
      </c>
      <c r="P231" s="59">
        <v>2200</v>
      </c>
      <c r="Q231" s="60">
        <v>10</v>
      </c>
      <c r="R231" s="17">
        <v>12</v>
      </c>
      <c r="S231" s="19">
        <v>4435</v>
      </c>
      <c r="T231" s="18" t="s">
        <v>102</v>
      </c>
      <c r="U231" s="18" t="s">
        <v>211</v>
      </c>
      <c r="V231" s="18" t="s">
        <v>155</v>
      </c>
    </row>
    <row r="232" spans="1:22" ht="15.75" customHeight="1">
      <c r="A232" s="13" t="s">
        <v>1286</v>
      </c>
      <c r="B232" s="14" t="s">
        <v>2515</v>
      </c>
      <c r="C232" s="14" t="s">
        <v>482</v>
      </c>
      <c r="D232" s="13" t="s">
        <v>1288</v>
      </c>
      <c r="E232" s="14" t="s">
        <v>1115</v>
      </c>
      <c r="F232" s="14" t="s">
        <v>1289</v>
      </c>
      <c r="G232" s="14" t="s">
        <v>95</v>
      </c>
      <c r="H232" s="13" t="s">
        <v>96</v>
      </c>
      <c r="I232" s="13" t="s">
        <v>63</v>
      </c>
      <c r="J232" s="13" t="s">
        <v>81</v>
      </c>
      <c r="K232" s="14" t="s">
        <v>82</v>
      </c>
      <c r="L232" s="14" t="s">
        <v>83</v>
      </c>
      <c r="M232" s="14" t="s">
        <v>84</v>
      </c>
      <c r="N232" s="14" t="s">
        <v>85</v>
      </c>
      <c r="O232" s="13">
        <v>10</v>
      </c>
      <c r="P232" s="61">
        <v>25000</v>
      </c>
      <c r="Q232" s="62">
        <v>80</v>
      </c>
      <c r="R232" s="13">
        <v>3</v>
      </c>
      <c r="S232" s="16">
        <v>51500</v>
      </c>
      <c r="T232" s="14" t="s">
        <v>153</v>
      </c>
      <c r="U232" s="14" t="s">
        <v>70</v>
      </c>
      <c r="V232" s="14" t="s">
        <v>212</v>
      </c>
    </row>
    <row r="233" spans="1:22" ht="15.75" customHeight="1">
      <c r="A233" s="17" t="s">
        <v>1290</v>
      </c>
      <c r="B233" s="18" t="s">
        <v>2516</v>
      </c>
      <c r="C233" s="18" t="s">
        <v>2456</v>
      </c>
      <c r="D233" s="17" t="s">
        <v>1292</v>
      </c>
      <c r="E233" s="18" t="s">
        <v>867</v>
      </c>
      <c r="F233" s="18" t="s">
        <v>1293</v>
      </c>
      <c r="G233" s="18" t="s">
        <v>744</v>
      </c>
      <c r="H233" s="17" t="s">
        <v>79</v>
      </c>
      <c r="I233" s="17" t="s">
        <v>80</v>
      </c>
      <c r="J233" s="17" t="s">
        <v>124</v>
      </c>
      <c r="K233" s="18" t="s">
        <v>125</v>
      </c>
      <c r="L233" s="18" t="s">
        <v>99</v>
      </c>
      <c r="M233" s="18" t="s">
        <v>100</v>
      </c>
      <c r="N233" s="18" t="s">
        <v>126</v>
      </c>
      <c r="O233" s="17">
        <v>2</v>
      </c>
      <c r="P233" s="59">
        <v>14000</v>
      </c>
      <c r="Q233" s="60">
        <v>10</v>
      </c>
      <c r="R233" s="17">
        <v>18</v>
      </c>
      <c r="S233" s="19">
        <v>29736</v>
      </c>
      <c r="T233" s="18" t="s">
        <v>465</v>
      </c>
      <c r="U233" s="18" t="s">
        <v>211</v>
      </c>
      <c r="V233" s="18" t="s">
        <v>212</v>
      </c>
    </row>
    <row r="234" spans="1:22" ht="15.75" customHeight="1">
      <c r="A234" s="13" t="s">
        <v>1295</v>
      </c>
      <c r="B234" s="14" t="s">
        <v>933</v>
      </c>
      <c r="C234" s="14" t="s">
        <v>131</v>
      </c>
      <c r="D234" s="13" t="s">
        <v>1296</v>
      </c>
      <c r="E234" s="14" t="s">
        <v>895</v>
      </c>
      <c r="F234" s="14" t="s">
        <v>1297</v>
      </c>
      <c r="G234" s="14" t="s">
        <v>228</v>
      </c>
      <c r="H234" s="13" t="s">
        <v>152</v>
      </c>
      <c r="I234" s="13" t="s">
        <v>80</v>
      </c>
      <c r="J234" s="13" t="s">
        <v>356</v>
      </c>
      <c r="K234" s="14" t="s">
        <v>2434</v>
      </c>
      <c r="L234" s="14" t="s">
        <v>139</v>
      </c>
      <c r="M234" s="14" t="s">
        <v>140</v>
      </c>
      <c r="N234" s="14" t="s">
        <v>2435</v>
      </c>
      <c r="O234" s="13">
        <v>7</v>
      </c>
      <c r="P234" s="61">
        <v>42000</v>
      </c>
      <c r="Q234" s="62">
        <v>5</v>
      </c>
      <c r="R234" s="13">
        <v>18</v>
      </c>
      <c r="S234" s="16">
        <v>329574</v>
      </c>
      <c r="T234" s="14" t="s">
        <v>465</v>
      </c>
      <c r="U234" s="14" t="s">
        <v>211</v>
      </c>
      <c r="V234" s="14" t="s">
        <v>212</v>
      </c>
    </row>
    <row r="235" spans="1:22" ht="15.75" customHeight="1">
      <c r="A235" s="17" t="s">
        <v>1298</v>
      </c>
      <c r="B235" s="18" t="s">
        <v>2517</v>
      </c>
      <c r="C235" s="18" t="s">
        <v>2465</v>
      </c>
      <c r="D235" s="17" t="s">
        <v>1300</v>
      </c>
      <c r="E235" s="18" t="s">
        <v>971</v>
      </c>
      <c r="F235" s="18" t="s">
        <v>2394</v>
      </c>
      <c r="G235" s="18" t="s">
        <v>744</v>
      </c>
      <c r="H235" s="17" t="s">
        <v>79</v>
      </c>
      <c r="I235" s="17" t="s">
        <v>80</v>
      </c>
      <c r="J235" s="17" t="s">
        <v>897</v>
      </c>
      <c r="K235" s="18" t="s">
        <v>2491</v>
      </c>
      <c r="L235" s="18" t="s">
        <v>139</v>
      </c>
      <c r="M235" s="18" t="s">
        <v>140</v>
      </c>
      <c r="N235" s="18" t="s">
        <v>899</v>
      </c>
      <c r="O235" s="17">
        <v>4</v>
      </c>
      <c r="P235" s="59">
        <v>38000</v>
      </c>
      <c r="Q235" s="60">
        <v>10</v>
      </c>
      <c r="R235" s="17">
        <v>18</v>
      </c>
      <c r="S235" s="19">
        <v>161424</v>
      </c>
      <c r="T235" s="18" t="s">
        <v>115</v>
      </c>
      <c r="U235" s="18" t="s">
        <v>211</v>
      </c>
      <c r="V235" s="18" t="s">
        <v>155</v>
      </c>
    </row>
    <row r="236" spans="1:22" ht="15.75" customHeight="1">
      <c r="A236" s="13" t="s">
        <v>1302</v>
      </c>
      <c r="B236" s="14" t="s">
        <v>2517</v>
      </c>
      <c r="C236" s="14" t="s">
        <v>264</v>
      </c>
      <c r="D236" s="13" t="s">
        <v>1303</v>
      </c>
      <c r="E236" s="14" t="s">
        <v>2518</v>
      </c>
      <c r="F236" s="14" t="s">
        <v>1304</v>
      </c>
      <c r="G236" s="14" t="s">
        <v>439</v>
      </c>
      <c r="H236" s="13" t="s">
        <v>364</v>
      </c>
      <c r="I236" s="13" t="s">
        <v>63</v>
      </c>
      <c r="J236" s="13" t="s">
        <v>97</v>
      </c>
      <c r="K236" s="14" t="s">
        <v>2395</v>
      </c>
      <c r="L236" s="14" t="s">
        <v>99</v>
      </c>
      <c r="M236" s="14" t="s">
        <v>100</v>
      </c>
      <c r="N236" s="14" t="s">
        <v>2396</v>
      </c>
      <c r="O236" s="13">
        <v>10</v>
      </c>
      <c r="P236" s="61">
        <v>28000</v>
      </c>
      <c r="Q236" s="62">
        <v>10</v>
      </c>
      <c r="R236" s="13">
        <v>18</v>
      </c>
      <c r="S236" s="16">
        <v>297360</v>
      </c>
      <c r="T236" s="14" t="s">
        <v>413</v>
      </c>
      <c r="U236" s="14" t="s">
        <v>184</v>
      </c>
      <c r="V236" s="14" t="s">
        <v>155</v>
      </c>
    </row>
    <row r="237" spans="1:22" ht="15.75" customHeight="1">
      <c r="A237" s="17" t="s">
        <v>1305</v>
      </c>
      <c r="B237" s="18" t="s">
        <v>2519</v>
      </c>
      <c r="C237" s="18" t="s">
        <v>2400</v>
      </c>
      <c r="D237" s="17" t="s">
        <v>1307</v>
      </c>
      <c r="E237" s="18" t="s">
        <v>1308</v>
      </c>
      <c r="F237" s="18" t="s">
        <v>1309</v>
      </c>
      <c r="G237" s="18" t="s">
        <v>2422</v>
      </c>
      <c r="H237" s="17" t="s">
        <v>96</v>
      </c>
      <c r="I237" s="17" t="s">
        <v>63</v>
      </c>
      <c r="J237" s="17" t="s">
        <v>110</v>
      </c>
      <c r="K237" s="18" t="s">
        <v>111</v>
      </c>
      <c r="L237" s="18" t="s">
        <v>112</v>
      </c>
      <c r="M237" s="18" t="s">
        <v>113</v>
      </c>
      <c r="N237" s="18" t="s">
        <v>114</v>
      </c>
      <c r="O237" s="17">
        <v>1</v>
      </c>
      <c r="P237" s="59">
        <v>3500</v>
      </c>
      <c r="Q237" s="60">
        <v>20</v>
      </c>
      <c r="R237" s="17">
        <v>18</v>
      </c>
      <c r="S237" s="19">
        <v>3304</v>
      </c>
      <c r="T237" s="18" t="s">
        <v>115</v>
      </c>
      <c r="U237" s="18" t="s">
        <v>211</v>
      </c>
      <c r="V237" s="18" t="s">
        <v>155</v>
      </c>
    </row>
    <row r="238" spans="1:22" ht="15.75" customHeight="1">
      <c r="A238" s="13" t="s">
        <v>1310</v>
      </c>
      <c r="B238" s="14" t="s">
        <v>2481</v>
      </c>
      <c r="C238" s="14" t="s">
        <v>372</v>
      </c>
      <c r="D238" s="13" t="s">
        <v>2502</v>
      </c>
      <c r="E238" s="14" t="s">
        <v>374</v>
      </c>
      <c r="F238" s="14" t="s">
        <v>1312</v>
      </c>
      <c r="G238" s="14" t="s">
        <v>122</v>
      </c>
      <c r="H238" s="13" t="s">
        <v>122</v>
      </c>
      <c r="I238" s="13" t="s">
        <v>123</v>
      </c>
      <c r="J238" s="13" t="s">
        <v>356</v>
      </c>
      <c r="K238" s="14" t="s">
        <v>2434</v>
      </c>
      <c r="L238" s="14" t="s">
        <v>139</v>
      </c>
      <c r="M238" s="14" t="s">
        <v>140</v>
      </c>
      <c r="N238" s="14" t="s">
        <v>2435</v>
      </c>
      <c r="O238" s="13">
        <v>8</v>
      </c>
      <c r="P238" s="61">
        <v>42000</v>
      </c>
      <c r="Q238" s="62">
        <v>15</v>
      </c>
      <c r="R238" s="13">
        <v>18</v>
      </c>
      <c r="S238" s="16">
        <v>337008</v>
      </c>
      <c r="T238" s="14" t="s">
        <v>413</v>
      </c>
      <c r="U238" s="14" t="s">
        <v>211</v>
      </c>
      <c r="V238" s="14" t="s">
        <v>212</v>
      </c>
    </row>
    <row r="239" spans="1:22" ht="15.75" customHeight="1">
      <c r="A239" s="17" t="s">
        <v>1314</v>
      </c>
      <c r="B239" s="18" t="s">
        <v>792</v>
      </c>
      <c r="C239" s="18" t="s">
        <v>2477</v>
      </c>
      <c r="D239" s="17" t="s">
        <v>1316</v>
      </c>
      <c r="E239" s="18" t="s">
        <v>1317</v>
      </c>
      <c r="F239" s="18" t="s">
        <v>1318</v>
      </c>
      <c r="G239" s="18" t="s">
        <v>122</v>
      </c>
      <c r="H239" s="17" t="s">
        <v>122</v>
      </c>
      <c r="I239" s="17" t="s">
        <v>123</v>
      </c>
      <c r="J239" s="17" t="s">
        <v>897</v>
      </c>
      <c r="K239" s="18" t="s">
        <v>2491</v>
      </c>
      <c r="L239" s="18" t="s">
        <v>139</v>
      </c>
      <c r="M239" s="18" t="s">
        <v>140</v>
      </c>
      <c r="N239" s="18" t="s">
        <v>899</v>
      </c>
      <c r="O239" s="17">
        <v>1</v>
      </c>
      <c r="P239" s="59">
        <v>38000</v>
      </c>
      <c r="Q239" s="60">
        <v>8</v>
      </c>
      <c r="R239" s="17">
        <v>18</v>
      </c>
      <c r="S239" s="19">
        <v>41253</v>
      </c>
      <c r="T239" s="18" t="s">
        <v>413</v>
      </c>
      <c r="U239" s="18" t="s">
        <v>184</v>
      </c>
      <c r="V239" s="18" t="s">
        <v>155</v>
      </c>
    </row>
    <row r="240" spans="1:22" ht="15.75" customHeight="1">
      <c r="A240" s="13" t="s">
        <v>1319</v>
      </c>
      <c r="B240" s="14" t="s">
        <v>901</v>
      </c>
      <c r="C240" s="14" t="s">
        <v>2393</v>
      </c>
      <c r="D240" s="13" t="s">
        <v>1321</v>
      </c>
      <c r="E240" s="14" t="s">
        <v>876</v>
      </c>
      <c r="F240" s="14" t="s">
        <v>1322</v>
      </c>
      <c r="G240" s="14" t="s">
        <v>248</v>
      </c>
      <c r="H240" s="13" t="s">
        <v>249</v>
      </c>
      <c r="I240" s="13" t="s">
        <v>123</v>
      </c>
      <c r="J240" s="13" t="s">
        <v>207</v>
      </c>
      <c r="K240" s="14" t="s">
        <v>2406</v>
      </c>
      <c r="L240" s="14" t="s">
        <v>99</v>
      </c>
      <c r="M240" s="14" t="s">
        <v>209</v>
      </c>
      <c r="N240" s="14" t="s">
        <v>2407</v>
      </c>
      <c r="O240" s="13">
        <v>8</v>
      </c>
      <c r="P240" s="61">
        <v>55000</v>
      </c>
      <c r="Q240" s="62">
        <v>12</v>
      </c>
      <c r="R240" s="13">
        <v>18</v>
      </c>
      <c r="S240" s="16">
        <v>456896</v>
      </c>
      <c r="T240" s="14" t="s">
        <v>153</v>
      </c>
      <c r="U240" s="14" t="s">
        <v>70</v>
      </c>
      <c r="V240" s="14" t="s">
        <v>155</v>
      </c>
    </row>
    <row r="241" spans="1:22" ht="15.75" customHeight="1">
      <c r="A241" s="17" t="s">
        <v>1323</v>
      </c>
      <c r="B241" s="18" t="s">
        <v>1896</v>
      </c>
      <c r="C241" s="18" t="s">
        <v>2459</v>
      </c>
      <c r="D241" s="17" t="s">
        <v>1325</v>
      </c>
      <c r="E241" s="18" t="s">
        <v>543</v>
      </c>
      <c r="F241" s="18" t="s">
        <v>1326</v>
      </c>
      <c r="G241" s="18" t="s">
        <v>78</v>
      </c>
      <c r="H241" s="17" t="s">
        <v>79</v>
      </c>
      <c r="I241" s="17" t="s">
        <v>80</v>
      </c>
      <c r="J241" s="17" t="s">
        <v>389</v>
      </c>
      <c r="K241" s="18" t="s">
        <v>390</v>
      </c>
      <c r="L241" s="18" t="s">
        <v>99</v>
      </c>
      <c r="M241" s="18" t="s">
        <v>164</v>
      </c>
      <c r="N241" s="18" t="s">
        <v>391</v>
      </c>
      <c r="O241" s="17">
        <v>5</v>
      </c>
      <c r="P241" s="59">
        <v>1500</v>
      </c>
      <c r="Q241" s="60">
        <v>20</v>
      </c>
      <c r="R241" s="17">
        <v>18</v>
      </c>
      <c r="S241" s="19">
        <v>7080</v>
      </c>
      <c r="T241" s="18" t="s">
        <v>153</v>
      </c>
      <c r="U241" s="18" t="s">
        <v>211</v>
      </c>
      <c r="V241" s="18" t="s">
        <v>155</v>
      </c>
    </row>
    <row r="242" spans="1:22" ht="15.75" customHeight="1">
      <c r="A242" s="13" t="s">
        <v>1327</v>
      </c>
      <c r="B242" s="14" t="s">
        <v>2520</v>
      </c>
      <c r="C242" s="14" t="s">
        <v>627</v>
      </c>
      <c r="D242" s="13" t="s">
        <v>1329</v>
      </c>
      <c r="E242" s="14" t="s">
        <v>1330</v>
      </c>
      <c r="F242" s="14" t="s">
        <v>1331</v>
      </c>
      <c r="G242" s="14" t="s">
        <v>122</v>
      </c>
      <c r="H242" s="13" t="s">
        <v>122</v>
      </c>
      <c r="I242" s="13" t="s">
        <v>123</v>
      </c>
      <c r="J242" s="13" t="s">
        <v>97</v>
      </c>
      <c r="K242" s="14" t="s">
        <v>2395</v>
      </c>
      <c r="L242" s="14" t="s">
        <v>99</v>
      </c>
      <c r="M242" s="14" t="s">
        <v>100</v>
      </c>
      <c r="N242" s="14" t="s">
        <v>2396</v>
      </c>
      <c r="O242" s="13">
        <v>5</v>
      </c>
      <c r="P242" s="61">
        <v>28000</v>
      </c>
      <c r="Q242" s="62">
        <v>8</v>
      </c>
      <c r="R242" s="13">
        <v>18</v>
      </c>
      <c r="S242" s="16">
        <v>151984</v>
      </c>
      <c r="T242" s="14" t="s">
        <v>115</v>
      </c>
      <c r="U242" s="14" t="s">
        <v>143</v>
      </c>
      <c r="V242" s="14" t="s">
        <v>212</v>
      </c>
    </row>
    <row r="243" spans="1:22" ht="15.75" customHeight="1">
      <c r="A243" s="17" t="s">
        <v>1332</v>
      </c>
      <c r="B243" s="18" t="s">
        <v>1645</v>
      </c>
      <c r="C243" s="18" t="s">
        <v>2487</v>
      </c>
      <c r="D243" s="17" t="s">
        <v>1334</v>
      </c>
      <c r="E243" s="18" t="s">
        <v>1023</v>
      </c>
      <c r="F243" s="18" t="s">
        <v>1335</v>
      </c>
      <c r="G243" s="18" t="s">
        <v>439</v>
      </c>
      <c r="H243" s="17" t="s">
        <v>364</v>
      </c>
      <c r="I243" s="17" t="s">
        <v>63</v>
      </c>
      <c r="J243" s="17" t="s">
        <v>197</v>
      </c>
      <c r="K243" s="18" t="s">
        <v>198</v>
      </c>
      <c r="L243" s="18" t="s">
        <v>66</v>
      </c>
      <c r="M243" s="18" t="s">
        <v>199</v>
      </c>
      <c r="N243" s="18" t="s">
        <v>200</v>
      </c>
      <c r="O243" s="17">
        <v>6</v>
      </c>
      <c r="P243" s="59">
        <v>50</v>
      </c>
      <c r="Q243" s="60">
        <v>5</v>
      </c>
      <c r="R243" s="17">
        <v>5</v>
      </c>
      <c r="S243" s="19">
        <v>299</v>
      </c>
      <c r="T243" s="18" t="s">
        <v>115</v>
      </c>
      <c r="U243" s="18" t="s">
        <v>211</v>
      </c>
      <c r="V243" s="18" t="s">
        <v>155</v>
      </c>
    </row>
    <row r="244" spans="1:22" ht="15.75" customHeight="1">
      <c r="A244" s="13" t="s">
        <v>1336</v>
      </c>
      <c r="B244" s="14" t="s">
        <v>2521</v>
      </c>
      <c r="C244" s="14" t="s">
        <v>337</v>
      </c>
      <c r="D244" s="13" t="s">
        <v>1338</v>
      </c>
      <c r="E244" s="14" t="s">
        <v>1339</v>
      </c>
      <c r="F244" s="14" t="s">
        <v>1340</v>
      </c>
      <c r="G244" s="14" t="s">
        <v>228</v>
      </c>
      <c r="H244" s="13" t="s">
        <v>152</v>
      </c>
      <c r="I244" s="13" t="s">
        <v>80</v>
      </c>
      <c r="J244" s="13" t="s">
        <v>81</v>
      </c>
      <c r="K244" s="14" t="s">
        <v>82</v>
      </c>
      <c r="L244" s="14" t="s">
        <v>83</v>
      </c>
      <c r="M244" s="14" t="s">
        <v>84</v>
      </c>
      <c r="N244" s="14" t="s">
        <v>85</v>
      </c>
      <c r="O244" s="13">
        <v>8</v>
      </c>
      <c r="P244" s="61">
        <v>25000</v>
      </c>
      <c r="Q244" s="62">
        <v>5</v>
      </c>
      <c r="R244" s="13">
        <v>3</v>
      </c>
      <c r="S244" s="16">
        <v>195700</v>
      </c>
      <c r="T244" s="14" t="s">
        <v>115</v>
      </c>
      <c r="U244" s="14" t="s">
        <v>211</v>
      </c>
      <c r="V244" s="14" t="s">
        <v>212</v>
      </c>
    </row>
    <row r="245" spans="1:22" ht="15.75" customHeight="1">
      <c r="A245" s="17" t="s">
        <v>1341</v>
      </c>
      <c r="B245" s="18" t="s">
        <v>792</v>
      </c>
      <c r="C245" s="18" t="s">
        <v>264</v>
      </c>
      <c r="D245" s="17" t="s">
        <v>1343</v>
      </c>
      <c r="E245" s="18" t="s">
        <v>266</v>
      </c>
      <c r="F245" s="18" t="s">
        <v>1344</v>
      </c>
      <c r="G245" s="18" t="s">
        <v>151</v>
      </c>
      <c r="H245" s="17" t="s">
        <v>152</v>
      </c>
      <c r="I245" s="17" t="s">
        <v>80</v>
      </c>
      <c r="J245" s="17" t="s">
        <v>420</v>
      </c>
      <c r="K245" s="18" t="s">
        <v>2445</v>
      </c>
      <c r="L245" s="18" t="s">
        <v>112</v>
      </c>
      <c r="M245" s="18" t="s">
        <v>422</v>
      </c>
      <c r="N245" s="18" t="s">
        <v>2446</v>
      </c>
      <c r="O245" s="17">
        <v>6</v>
      </c>
      <c r="P245" s="59">
        <v>4800</v>
      </c>
      <c r="Q245" s="60">
        <v>20</v>
      </c>
      <c r="R245" s="17">
        <v>18</v>
      </c>
      <c r="S245" s="19">
        <v>27187</v>
      </c>
      <c r="T245" s="18" t="s">
        <v>465</v>
      </c>
      <c r="U245" s="18" t="s">
        <v>211</v>
      </c>
      <c r="V245" s="18" t="s">
        <v>212</v>
      </c>
    </row>
    <row r="246" spans="1:22" ht="15.75" customHeight="1">
      <c r="A246" s="13" t="s">
        <v>1345</v>
      </c>
      <c r="B246" s="14" t="s">
        <v>2522</v>
      </c>
      <c r="C246" s="14" t="s">
        <v>728</v>
      </c>
      <c r="D246" s="13" t="s">
        <v>1347</v>
      </c>
      <c r="E246" s="14" t="s">
        <v>1348</v>
      </c>
      <c r="F246" s="14" t="s">
        <v>1349</v>
      </c>
      <c r="G246" s="14" t="s">
        <v>172</v>
      </c>
      <c r="H246" s="13" t="s">
        <v>96</v>
      </c>
      <c r="I246" s="13" t="s">
        <v>63</v>
      </c>
      <c r="J246" s="13" t="s">
        <v>365</v>
      </c>
      <c r="K246" s="14" t="s">
        <v>366</v>
      </c>
      <c r="L246" s="14" t="s">
        <v>112</v>
      </c>
      <c r="M246" s="14" t="s">
        <v>367</v>
      </c>
      <c r="N246" s="14" t="s">
        <v>368</v>
      </c>
      <c r="O246" s="13">
        <v>7</v>
      </c>
      <c r="P246" s="61">
        <v>3500</v>
      </c>
      <c r="Q246" s="62">
        <v>25</v>
      </c>
      <c r="R246" s="13">
        <v>5</v>
      </c>
      <c r="S246" s="16">
        <v>19294</v>
      </c>
      <c r="T246" s="14" t="s">
        <v>465</v>
      </c>
      <c r="U246" s="14" t="s">
        <v>211</v>
      </c>
      <c r="V246" s="14" t="s">
        <v>212</v>
      </c>
    </row>
    <row r="247" spans="1:22" ht="15.75" customHeight="1">
      <c r="A247" s="17" t="s">
        <v>1350</v>
      </c>
      <c r="B247" s="18" t="s">
        <v>2490</v>
      </c>
      <c r="C247" s="18" t="s">
        <v>2487</v>
      </c>
      <c r="D247" s="17" t="s">
        <v>1352</v>
      </c>
      <c r="E247" s="18" t="s">
        <v>1080</v>
      </c>
      <c r="F247" s="18" t="s">
        <v>1353</v>
      </c>
      <c r="G247" s="18" t="s">
        <v>439</v>
      </c>
      <c r="H247" s="17" t="s">
        <v>364</v>
      </c>
      <c r="I247" s="17" t="s">
        <v>63</v>
      </c>
      <c r="J247" s="17" t="s">
        <v>376</v>
      </c>
      <c r="K247" s="18" t="s">
        <v>377</v>
      </c>
      <c r="L247" s="18" t="s">
        <v>112</v>
      </c>
      <c r="M247" s="18" t="s">
        <v>113</v>
      </c>
      <c r="N247" s="18" t="s">
        <v>378</v>
      </c>
      <c r="O247" s="17">
        <v>10</v>
      </c>
      <c r="P247" s="59">
        <v>8500</v>
      </c>
      <c r="Q247" s="60">
        <v>0</v>
      </c>
      <c r="R247" s="17">
        <v>18</v>
      </c>
      <c r="S247" s="19">
        <v>100300</v>
      </c>
      <c r="T247" s="18" t="s">
        <v>102</v>
      </c>
      <c r="U247" s="18" t="s">
        <v>211</v>
      </c>
      <c r="V247" s="18" t="s">
        <v>212</v>
      </c>
    </row>
    <row r="248" spans="1:22" ht="15.75" customHeight="1">
      <c r="A248" s="13" t="s">
        <v>1354</v>
      </c>
      <c r="B248" s="14" t="s">
        <v>706</v>
      </c>
      <c r="C248" s="14" t="s">
        <v>2388</v>
      </c>
      <c r="D248" s="13" t="s">
        <v>1356</v>
      </c>
      <c r="E248" s="14" t="s">
        <v>2523</v>
      </c>
      <c r="F248" s="14" t="s">
        <v>1357</v>
      </c>
      <c r="G248" s="14" t="s">
        <v>78</v>
      </c>
      <c r="H248" s="13" t="s">
        <v>79</v>
      </c>
      <c r="I248" s="13" t="s">
        <v>80</v>
      </c>
      <c r="J248" s="13" t="s">
        <v>491</v>
      </c>
      <c r="K248" s="14" t="s">
        <v>492</v>
      </c>
      <c r="L248" s="14" t="s">
        <v>112</v>
      </c>
      <c r="M248" s="14" t="s">
        <v>493</v>
      </c>
      <c r="N248" s="14" t="s">
        <v>494</v>
      </c>
      <c r="O248" s="13">
        <v>5</v>
      </c>
      <c r="P248" s="61">
        <v>4500</v>
      </c>
      <c r="Q248" s="62">
        <v>0</v>
      </c>
      <c r="R248" s="13">
        <v>5</v>
      </c>
      <c r="S248" s="16">
        <v>23625</v>
      </c>
      <c r="T248" s="14" t="s">
        <v>465</v>
      </c>
      <c r="U248" s="14" t="s">
        <v>211</v>
      </c>
      <c r="V248" s="14" t="s">
        <v>155</v>
      </c>
    </row>
    <row r="249" spans="1:22" ht="15.75" customHeight="1">
      <c r="A249" s="17" t="s">
        <v>1358</v>
      </c>
      <c r="B249" s="18" t="s">
        <v>2424</v>
      </c>
      <c r="C249" s="18" t="s">
        <v>2268</v>
      </c>
      <c r="D249" s="17" t="s">
        <v>1360</v>
      </c>
      <c r="E249" s="18" t="s">
        <v>1093</v>
      </c>
      <c r="F249" s="18" t="s">
        <v>1361</v>
      </c>
      <c r="G249" s="18" t="s">
        <v>181</v>
      </c>
      <c r="H249" s="17" t="s">
        <v>182</v>
      </c>
      <c r="I249" s="17" t="s">
        <v>123</v>
      </c>
      <c r="J249" s="17" t="s">
        <v>295</v>
      </c>
      <c r="K249" s="18" t="s">
        <v>2425</v>
      </c>
      <c r="L249" s="18" t="s">
        <v>66</v>
      </c>
      <c r="M249" s="18" t="s">
        <v>297</v>
      </c>
      <c r="N249" s="18" t="s">
        <v>298</v>
      </c>
      <c r="O249" s="17">
        <v>2</v>
      </c>
      <c r="P249" s="59">
        <v>280</v>
      </c>
      <c r="Q249" s="60">
        <v>12</v>
      </c>
      <c r="R249" s="17">
        <v>5</v>
      </c>
      <c r="S249" s="19">
        <v>517</v>
      </c>
      <c r="T249" s="18" t="s">
        <v>153</v>
      </c>
      <c r="U249" s="18" t="s">
        <v>184</v>
      </c>
      <c r="V249" s="18" t="s">
        <v>155</v>
      </c>
    </row>
    <row r="250" spans="1:22" ht="15.75" customHeight="1">
      <c r="A250" s="13" t="s">
        <v>1362</v>
      </c>
      <c r="B250" s="14" t="s">
        <v>2524</v>
      </c>
      <c r="C250" s="14" t="s">
        <v>2459</v>
      </c>
      <c r="D250" s="13" t="s">
        <v>1364</v>
      </c>
      <c r="E250" s="14" t="s">
        <v>1365</v>
      </c>
      <c r="F250" s="14" t="s">
        <v>1366</v>
      </c>
      <c r="G250" s="14" t="s">
        <v>95</v>
      </c>
      <c r="H250" s="13" t="s">
        <v>96</v>
      </c>
      <c r="I250" s="13" t="s">
        <v>63</v>
      </c>
      <c r="J250" s="13" t="s">
        <v>312</v>
      </c>
      <c r="K250" s="14" t="s">
        <v>313</v>
      </c>
      <c r="L250" s="14" t="s">
        <v>66</v>
      </c>
      <c r="M250" s="14" t="s">
        <v>199</v>
      </c>
      <c r="N250" s="14" t="s">
        <v>314</v>
      </c>
      <c r="O250" s="13">
        <v>9</v>
      </c>
      <c r="P250" s="61">
        <v>40</v>
      </c>
      <c r="Q250" s="62">
        <v>20</v>
      </c>
      <c r="R250" s="13">
        <v>5</v>
      </c>
      <c r="S250" s="16">
        <v>302</v>
      </c>
      <c r="T250" s="14" t="s">
        <v>465</v>
      </c>
      <c r="U250" s="14" t="s">
        <v>211</v>
      </c>
      <c r="V250" s="14" t="s">
        <v>155</v>
      </c>
    </row>
    <row r="251" spans="1:22" ht="15.75" customHeight="1">
      <c r="A251" s="17" t="s">
        <v>1367</v>
      </c>
      <c r="B251" s="18" t="s">
        <v>874</v>
      </c>
      <c r="C251" s="18" t="s">
        <v>74</v>
      </c>
      <c r="D251" s="17" t="s">
        <v>1369</v>
      </c>
      <c r="E251" s="18" t="s">
        <v>205</v>
      </c>
      <c r="F251" s="18" t="s">
        <v>2394</v>
      </c>
      <c r="G251" s="18" t="s">
        <v>485</v>
      </c>
      <c r="H251" s="17" t="s">
        <v>305</v>
      </c>
      <c r="I251" s="17" t="s">
        <v>306</v>
      </c>
      <c r="J251" s="17" t="s">
        <v>275</v>
      </c>
      <c r="K251" s="18" t="s">
        <v>2423</v>
      </c>
      <c r="L251" s="18" t="s">
        <v>99</v>
      </c>
      <c r="M251" s="18" t="s">
        <v>277</v>
      </c>
      <c r="N251" s="18" t="s">
        <v>126</v>
      </c>
      <c r="O251" s="17">
        <v>4</v>
      </c>
      <c r="P251" s="59">
        <v>35000</v>
      </c>
      <c r="Q251" s="60">
        <v>5</v>
      </c>
      <c r="R251" s="17">
        <v>18</v>
      </c>
      <c r="S251" s="19">
        <v>156940</v>
      </c>
      <c r="T251" s="18" t="s">
        <v>465</v>
      </c>
      <c r="U251" s="18" t="s">
        <v>70</v>
      </c>
      <c r="V251" s="18" t="s">
        <v>212</v>
      </c>
    </row>
    <row r="252" spans="1:22" ht="15.75" customHeight="1">
      <c r="A252" s="13" t="s">
        <v>1370</v>
      </c>
      <c r="B252" s="14" t="s">
        <v>2436</v>
      </c>
      <c r="C252" s="14" t="s">
        <v>2428</v>
      </c>
      <c r="D252" s="13" t="s">
        <v>1372</v>
      </c>
      <c r="E252" s="14" t="s">
        <v>1063</v>
      </c>
      <c r="F252" s="14" t="s">
        <v>1373</v>
      </c>
      <c r="G252" s="14" t="s">
        <v>61</v>
      </c>
      <c r="H252" s="13" t="s">
        <v>62</v>
      </c>
      <c r="I252" s="13" t="s">
        <v>63</v>
      </c>
      <c r="J252" s="13" t="s">
        <v>477</v>
      </c>
      <c r="K252" s="14" t="s">
        <v>478</v>
      </c>
      <c r="L252" s="14" t="s">
        <v>139</v>
      </c>
      <c r="M252" s="14" t="s">
        <v>349</v>
      </c>
      <c r="N252" s="14" t="s">
        <v>479</v>
      </c>
      <c r="O252" s="13">
        <v>1</v>
      </c>
      <c r="P252" s="61">
        <v>2200</v>
      </c>
      <c r="Q252" s="62">
        <v>15</v>
      </c>
      <c r="R252" s="13">
        <v>12</v>
      </c>
      <c r="S252" s="16">
        <v>2094</v>
      </c>
      <c r="T252" s="14" t="s">
        <v>465</v>
      </c>
      <c r="U252" s="14" t="s">
        <v>70</v>
      </c>
      <c r="V252" s="14" t="s">
        <v>212</v>
      </c>
    </row>
    <row r="253" spans="1:22" ht="15.75" customHeight="1">
      <c r="A253" s="17" t="s">
        <v>1374</v>
      </c>
      <c r="B253" s="18" t="s">
        <v>1351</v>
      </c>
      <c r="C253" s="18" t="s">
        <v>291</v>
      </c>
      <c r="D253" s="17" t="s">
        <v>1375</v>
      </c>
      <c r="E253" s="18" t="s">
        <v>512</v>
      </c>
      <c r="F253" s="18" t="s">
        <v>1376</v>
      </c>
      <c r="G253" s="18" t="s">
        <v>181</v>
      </c>
      <c r="H253" s="17" t="s">
        <v>182</v>
      </c>
      <c r="I253" s="17" t="s">
        <v>123</v>
      </c>
      <c r="J253" s="17" t="s">
        <v>81</v>
      </c>
      <c r="K253" s="18" t="s">
        <v>82</v>
      </c>
      <c r="L253" s="18" t="s">
        <v>83</v>
      </c>
      <c r="M253" s="18" t="s">
        <v>84</v>
      </c>
      <c r="N253" s="18" t="s">
        <v>85</v>
      </c>
      <c r="O253" s="17">
        <v>9</v>
      </c>
      <c r="P253" s="59">
        <v>25000</v>
      </c>
      <c r="Q253" s="60">
        <v>5</v>
      </c>
      <c r="R253" s="17">
        <v>3</v>
      </c>
      <c r="S253" s="19">
        <v>220162</v>
      </c>
      <c r="T253" s="18" t="s">
        <v>413</v>
      </c>
      <c r="U253" s="18" t="s">
        <v>143</v>
      </c>
      <c r="V253" s="18" t="s">
        <v>155</v>
      </c>
    </row>
    <row r="254" spans="1:22" ht="15.75" customHeight="1">
      <c r="A254" s="13" t="s">
        <v>1377</v>
      </c>
      <c r="B254" s="14" t="s">
        <v>1395</v>
      </c>
      <c r="C254" s="14" t="s">
        <v>2402</v>
      </c>
      <c r="D254" s="13" t="s">
        <v>1379</v>
      </c>
      <c r="E254" s="14" t="s">
        <v>324</v>
      </c>
      <c r="F254" s="14" t="s">
        <v>1380</v>
      </c>
      <c r="G254" s="14" t="s">
        <v>135</v>
      </c>
      <c r="H254" s="13" t="s">
        <v>136</v>
      </c>
      <c r="I254" s="13" t="s">
        <v>63</v>
      </c>
      <c r="J254" s="13" t="s">
        <v>137</v>
      </c>
      <c r="K254" s="14" t="s">
        <v>138</v>
      </c>
      <c r="L254" s="14" t="s">
        <v>139</v>
      </c>
      <c r="M254" s="14" t="s">
        <v>140</v>
      </c>
      <c r="N254" s="14" t="s">
        <v>141</v>
      </c>
      <c r="O254" s="13">
        <v>8</v>
      </c>
      <c r="P254" s="61">
        <v>12000</v>
      </c>
      <c r="Q254" s="62">
        <v>20</v>
      </c>
      <c r="R254" s="13">
        <v>18</v>
      </c>
      <c r="S254" s="16">
        <v>90624</v>
      </c>
      <c r="T254" s="14" t="s">
        <v>153</v>
      </c>
      <c r="U254" s="14" t="s">
        <v>211</v>
      </c>
      <c r="V254" s="14" t="s">
        <v>155</v>
      </c>
    </row>
    <row r="255" spans="1:22" ht="15.75" customHeight="1">
      <c r="A255" s="17" t="s">
        <v>1381</v>
      </c>
      <c r="B255" s="18" t="s">
        <v>2443</v>
      </c>
      <c r="C255" s="18" t="s">
        <v>461</v>
      </c>
      <c r="D255" s="17" t="s">
        <v>1383</v>
      </c>
      <c r="E255" s="18" t="s">
        <v>656</v>
      </c>
      <c r="F255" s="18" t="s">
        <v>1384</v>
      </c>
      <c r="G255" s="18" t="s">
        <v>95</v>
      </c>
      <c r="H255" s="17" t="s">
        <v>96</v>
      </c>
      <c r="I255" s="17" t="s">
        <v>63</v>
      </c>
      <c r="J255" s="17" t="s">
        <v>376</v>
      </c>
      <c r="K255" s="18" t="s">
        <v>377</v>
      </c>
      <c r="L255" s="18" t="s">
        <v>112</v>
      </c>
      <c r="M255" s="18" t="s">
        <v>113</v>
      </c>
      <c r="N255" s="18" t="s">
        <v>378</v>
      </c>
      <c r="O255" s="17">
        <v>3</v>
      </c>
      <c r="P255" s="59">
        <v>8500</v>
      </c>
      <c r="Q255" s="60">
        <v>20</v>
      </c>
      <c r="R255" s="17">
        <v>18</v>
      </c>
      <c r="S255" s="19">
        <v>24072</v>
      </c>
      <c r="T255" s="18" t="s">
        <v>127</v>
      </c>
      <c r="U255" s="18" t="s">
        <v>184</v>
      </c>
      <c r="V255" s="18" t="s">
        <v>212</v>
      </c>
    </row>
    <row r="256" spans="1:22" ht="15.75" customHeight="1">
      <c r="A256" s="13" t="s">
        <v>1385</v>
      </c>
      <c r="B256" s="14" t="s">
        <v>1391</v>
      </c>
      <c r="C256" s="14" t="s">
        <v>264</v>
      </c>
      <c r="D256" s="13" t="s">
        <v>1387</v>
      </c>
      <c r="E256" s="14" t="s">
        <v>1388</v>
      </c>
      <c r="F256" s="14" t="s">
        <v>1389</v>
      </c>
      <c r="G256" s="14" t="s">
        <v>439</v>
      </c>
      <c r="H256" s="13" t="s">
        <v>364</v>
      </c>
      <c r="I256" s="13" t="s">
        <v>63</v>
      </c>
      <c r="J256" s="13" t="s">
        <v>477</v>
      </c>
      <c r="K256" s="14" t="s">
        <v>478</v>
      </c>
      <c r="L256" s="14" t="s">
        <v>139</v>
      </c>
      <c r="M256" s="14" t="s">
        <v>349</v>
      </c>
      <c r="N256" s="14" t="s">
        <v>479</v>
      </c>
      <c r="O256" s="13">
        <v>1</v>
      </c>
      <c r="P256" s="61">
        <v>2200</v>
      </c>
      <c r="Q256" s="62">
        <v>8</v>
      </c>
      <c r="R256" s="13">
        <v>12</v>
      </c>
      <c r="S256" s="16">
        <v>2267</v>
      </c>
      <c r="T256" s="14" t="s">
        <v>465</v>
      </c>
      <c r="U256" s="14" t="s">
        <v>184</v>
      </c>
      <c r="V256" s="14" t="s">
        <v>212</v>
      </c>
    </row>
    <row r="257" spans="1:22" ht="15.75" customHeight="1">
      <c r="A257" s="17" t="s">
        <v>1390</v>
      </c>
      <c r="B257" s="18" t="s">
        <v>2481</v>
      </c>
      <c r="C257" s="18" t="s">
        <v>1249</v>
      </c>
      <c r="D257" s="17" t="s">
        <v>1392</v>
      </c>
      <c r="E257" s="18" t="s">
        <v>1251</v>
      </c>
      <c r="F257" s="18" t="s">
        <v>1393</v>
      </c>
      <c r="G257" s="18" t="s">
        <v>439</v>
      </c>
      <c r="H257" s="17" t="s">
        <v>364</v>
      </c>
      <c r="I257" s="17" t="s">
        <v>63</v>
      </c>
      <c r="J257" s="17" t="s">
        <v>137</v>
      </c>
      <c r="K257" s="18" t="s">
        <v>138</v>
      </c>
      <c r="L257" s="18" t="s">
        <v>139</v>
      </c>
      <c r="M257" s="18" t="s">
        <v>140</v>
      </c>
      <c r="N257" s="18" t="s">
        <v>141</v>
      </c>
      <c r="O257" s="17">
        <v>2</v>
      </c>
      <c r="P257" s="59">
        <v>12000</v>
      </c>
      <c r="Q257" s="60">
        <v>0</v>
      </c>
      <c r="R257" s="17">
        <v>18</v>
      </c>
      <c r="S257" s="19">
        <v>28320</v>
      </c>
      <c r="T257" s="18" t="s">
        <v>115</v>
      </c>
      <c r="U257" s="18" t="s">
        <v>211</v>
      </c>
      <c r="V257" s="18" t="s">
        <v>212</v>
      </c>
    </row>
    <row r="258" spans="1:22" ht="15.75" customHeight="1">
      <c r="A258" s="13" t="s">
        <v>1394</v>
      </c>
      <c r="B258" s="14" t="s">
        <v>2424</v>
      </c>
      <c r="C258" s="14" t="s">
        <v>2450</v>
      </c>
      <c r="D258" s="13" t="s">
        <v>1396</v>
      </c>
      <c r="E258" s="14" t="s">
        <v>838</v>
      </c>
      <c r="F258" s="14" t="s">
        <v>1397</v>
      </c>
      <c r="G258" s="14" t="s">
        <v>439</v>
      </c>
      <c r="H258" s="13" t="s">
        <v>364</v>
      </c>
      <c r="I258" s="13" t="s">
        <v>63</v>
      </c>
      <c r="J258" s="13" t="s">
        <v>595</v>
      </c>
      <c r="K258" s="14" t="s">
        <v>596</v>
      </c>
      <c r="L258" s="14" t="s">
        <v>112</v>
      </c>
      <c r="M258" s="14" t="s">
        <v>240</v>
      </c>
      <c r="N258" s="14" t="s">
        <v>597</v>
      </c>
      <c r="O258" s="13">
        <v>10</v>
      </c>
      <c r="P258" s="61">
        <v>1200</v>
      </c>
      <c r="Q258" s="62">
        <v>15</v>
      </c>
      <c r="R258" s="13">
        <v>5</v>
      </c>
      <c r="S258" s="16">
        <v>10710</v>
      </c>
      <c r="T258" s="14" t="s">
        <v>465</v>
      </c>
      <c r="U258" s="14" t="s">
        <v>211</v>
      </c>
      <c r="V258" s="14" t="s">
        <v>155</v>
      </c>
    </row>
    <row r="259" spans="1:22" ht="15.75" customHeight="1">
      <c r="A259" s="17" t="s">
        <v>1398</v>
      </c>
      <c r="B259" s="18" t="s">
        <v>659</v>
      </c>
      <c r="C259" s="18" t="s">
        <v>2268</v>
      </c>
      <c r="D259" s="17" t="s">
        <v>1400</v>
      </c>
      <c r="E259" s="18" t="s">
        <v>1093</v>
      </c>
      <c r="F259" s="18" t="s">
        <v>1401</v>
      </c>
      <c r="G259" s="18" t="s">
        <v>744</v>
      </c>
      <c r="H259" s="17" t="s">
        <v>79</v>
      </c>
      <c r="I259" s="17" t="s">
        <v>80</v>
      </c>
      <c r="J259" s="17" t="s">
        <v>295</v>
      </c>
      <c r="K259" s="18" t="s">
        <v>2425</v>
      </c>
      <c r="L259" s="18" t="s">
        <v>66</v>
      </c>
      <c r="M259" s="18" t="s">
        <v>297</v>
      </c>
      <c r="N259" s="18" t="s">
        <v>298</v>
      </c>
      <c r="O259" s="17">
        <v>1</v>
      </c>
      <c r="P259" s="59">
        <v>280</v>
      </c>
      <c r="Q259" s="60">
        <v>20</v>
      </c>
      <c r="R259" s="17">
        <v>5</v>
      </c>
      <c r="S259" s="19">
        <v>235</v>
      </c>
      <c r="T259" s="18" t="s">
        <v>115</v>
      </c>
      <c r="U259" s="18" t="s">
        <v>184</v>
      </c>
      <c r="V259" s="18" t="s">
        <v>155</v>
      </c>
    </row>
    <row r="260" spans="1:22" ht="15.75" customHeight="1">
      <c r="A260" s="13" t="s">
        <v>1402</v>
      </c>
      <c r="B260" s="14" t="s">
        <v>1645</v>
      </c>
      <c r="C260" s="14" t="s">
        <v>2477</v>
      </c>
      <c r="D260" s="13" t="s">
        <v>1403</v>
      </c>
      <c r="E260" s="14" t="s">
        <v>1191</v>
      </c>
      <c r="F260" s="14" t="s">
        <v>1404</v>
      </c>
      <c r="G260" s="14" t="s">
        <v>248</v>
      </c>
      <c r="H260" s="13" t="s">
        <v>249</v>
      </c>
      <c r="I260" s="13" t="s">
        <v>123</v>
      </c>
      <c r="J260" s="13" t="s">
        <v>81</v>
      </c>
      <c r="K260" s="14" t="s">
        <v>82</v>
      </c>
      <c r="L260" s="14" t="s">
        <v>83</v>
      </c>
      <c r="M260" s="14" t="s">
        <v>84</v>
      </c>
      <c r="N260" s="14" t="s">
        <v>85</v>
      </c>
      <c r="O260" s="13">
        <v>4</v>
      </c>
      <c r="P260" s="61">
        <v>25000</v>
      </c>
      <c r="Q260" s="62">
        <v>10</v>
      </c>
      <c r="R260" s="13">
        <v>3</v>
      </c>
      <c r="S260" s="16">
        <v>92700</v>
      </c>
      <c r="T260" s="14" t="s">
        <v>413</v>
      </c>
      <c r="U260" s="14" t="s">
        <v>70</v>
      </c>
      <c r="V260" s="14" t="s">
        <v>212</v>
      </c>
    </row>
    <row r="261" spans="1:22" ht="15.75" customHeight="1">
      <c r="A261" s="17" t="s">
        <v>1405</v>
      </c>
      <c r="B261" s="18" t="s">
        <v>1645</v>
      </c>
      <c r="C261" s="18" t="s">
        <v>2400</v>
      </c>
      <c r="D261" s="17" t="s">
        <v>1407</v>
      </c>
      <c r="E261" s="18" t="s">
        <v>757</v>
      </c>
      <c r="F261" s="18" t="s">
        <v>1408</v>
      </c>
      <c r="G261" s="18" t="s">
        <v>151</v>
      </c>
      <c r="H261" s="17" t="s">
        <v>152</v>
      </c>
      <c r="I261" s="17" t="s">
        <v>80</v>
      </c>
      <c r="J261" s="17" t="s">
        <v>491</v>
      </c>
      <c r="K261" s="18" t="s">
        <v>492</v>
      </c>
      <c r="L261" s="18" t="s">
        <v>112</v>
      </c>
      <c r="M261" s="18" t="s">
        <v>493</v>
      </c>
      <c r="N261" s="18" t="s">
        <v>494</v>
      </c>
      <c r="O261" s="17">
        <v>9</v>
      </c>
      <c r="P261" s="59">
        <v>4500</v>
      </c>
      <c r="Q261" s="60">
        <v>8</v>
      </c>
      <c r="R261" s="17">
        <v>5</v>
      </c>
      <c r="S261" s="19">
        <v>39123</v>
      </c>
      <c r="T261" s="18" t="s">
        <v>115</v>
      </c>
      <c r="U261" s="18" t="s">
        <v>184</v>
      </c>
      <c r="V261" s="18" t="s">
        <v>155</v>
      </c>
    </row>
    <row r="262" spans="1:22" ht="15.75" customHeight="1">
      <c r="A262" s="13" t="s">
        <v>1409</v>
      </c>
      <c r="B262" s="14" t="s">
        <v>1721</v>
      </c>
      <c r="C262" s="14" t="s">
        <v>2400</v>
      </c>
      <c r="D262" s="13" t="s">
        <v>1410</v>
      </c>
      <c r="E262" s="14" t="s">
        <v>651</v>
      </c>
      <c r="F262" s="14" t="s">
        <v>2394</v>
      </c>
      <c r="G262" s="14" t="s">
        <v>2422</v>
      </c>
      <c r="H262" s="13" t="s">
        <v>96</v>
      </c>
      <c r="I262" s="13" t="s">
        <v>63</v>
      </c>
      <c r="J262" s="13" t="s">
        <v>219</v>
      </c>
      <c r="K262" s="14" t="s">
        <v>2408</v>
      </c>
      <c r="L262" s="14" t="s">
        <v>99</v>
      </c>
      <c r="M262" s="14" t="s">
        <v>100</v>
      </c>
      <c r="N262" s="14" t="s">
        <v>221</v>
      </c>
      <c r="O262" s="13">
        <v>5</v>
      </c>
      <c r="P262" s="61">
        <v>89000</v>
      </c>
      <c r="Q262" s="62">
        <v>10</v>
      </c>
      <c r="R262" s="13">
        <v>18</v>
      </c>
      <c r="S262" s="16">
        <v>472590</v>
      </c>
      <c r="T262" s="14" t="s">
        <v>115</v>
      </c>
      <c r="U262" s="14" t="s">
        <v>288</v>
      </c>
      <c r="V262" s="14" t="s">
        <v>155</v>
      </c>
    </row>
    <row r="263" spans="1:22" ht="15.75" customHeight="1">
      <c r="A263" s="17" t="s">
        <v>1411</v>
      </c>
      <c r="B263" s="18" t="s">
        <v>1263</v>
      </c>
      <c r="C263" s="18" t="s">
        <v>2428</v>
      </c>
      <c r="D263" s="17" t="s">
        <v>1413</v>
      </c>
      <c r="E263" s="18" t="s">
        <v>319</v>
      </c>
      <c r="F263" s="18" t="s">
        <v>1414</v>
      </c>
      <c r="G263" s="18" t="s">
        <v>341</v>
      </c>
      <c r="H263" s="17" t="s">
        <v>62</v>
      </c>
      <c r="I263" s="17" t="s">
        <v>63</v>
      </c>
      <c r="J263" s="17" t="s">
        <v>347</v>
      </c>
      <c r="K263" s="18" t="s">
        <v>348</v>
      </c>
      <c r="L263" s="18" t="s">
        <v>139</v>
      </c>
      <c r="M263" s="18" t="s">
        <v>349</v>
      </c>
      <c r="N263" s="18" t="s">
        <v>350</v>
      </c>
      <c r="O263" s="17">
        <v>1</v>
      </c>
      <c r="P263" s="59">
        <v>3200</v>
      </c>
      <c r="Q263" s="60">
        <v>0</v>
      </c>
      <c r="R263" s="17">
        <v>18</v>
      </c>
      <c r="S263" s="19">
        <v>3776</v>
      </c>
      <c r="T263" s="18" t="s">
        <v>153</v>
      </c>
      <c r="U263" s="18" t="s">
        <v>211</v>
      </c>
      <c r="V263" s="18" t="s">
        <v>212</v>
      </c>
    </row>
    <row r="264" spans="1:22" ht="15.75" customHeight="1">
      <c r="A264" s="13" t="s">
        <v>1415</v>
      </c>
      <c r="B264" s="14" t="s">
        <v>2455</v>
      </c>
      <c r="C264" s="14" t="s">
        <v>168</v>
      </c>
      <c r="D264" s="13" t="s">
        <v>1416</v>
      </c>
      <c r="E264" s="14" t="s">
        <v>688</v>
      </c>
      <c r="F264" s="14" t="s">
        <v>1417</v>
      </c>
      <c r="G264" s="14" t="s">
        <v>744</v>
      </c>
      <c r="H264" s="13" t="s">
        <v>79</v>
      </c>
      <c r="I264" s="13" t="s">
        <v>80</v>
      </c>
      <c r="J264" s="13" t="s">
        <v>162</v>
      </c>
      <c r="K264" s="14" t="s">
        <v>163</v>
      </c>
      <c r="L264" s="14" t="s">
        <v>99</v>
      </c>
      <c r="M264" s="14" t="s">
        <v>164</v>
      </c>
      <c r="N264" s="14" t="s">
        <v>165</v>
      </c>
      <c r="O264" s="13">
        <v>9</v>
      </c>
      <c r="P264" s="61">
        <v>2800</v>
      </c>
      <c r="Q264" s="62">
        <v>15</v>
      </c>
      <c r="R264" s="13">
        <v>18</v>
      </c>
      <c r="S264" s="16">
        <v>25276</v>
      </c>
      <c r="T264" s="14" t="s">
        <v>413</v>
      </c>
      <c r="U264" s="14" t="s">
        <v>211</v>
      </c>
      <c r="V264" s="14" t="s">
        <v>155</v>
      </c>
    </row>
    <row r="265" spans="1:22" ht="15.75" customHeight="1">
      <c r="A265" s="17" t="s">
        <v>1418</v>
      </c>
      <c r="B265" s="18" t="s">
        <v>2480</v>
      </c>
      <c r="C265" s="18" t="s">
        <v>2268</v>
      </c>
      <c r="D265" s="17" t="s">
        <v>1420</v>
      </c>
      <c r="E265" s="18" t="s">
        <v>1093</v>
      </c>
      <c r="F265" s="18" t="s">
        <v>1421</v>
      </c>
      <c r="G265" s="18" t="s">
        <v>228</v>
      </c>
      <c r="H265" s="17" t="s">
        <v>152</v>
      </c>
      <c r="I265" s="17" t="s">
        <v>80</v>
      </c>
      <c r="J265" s="17" t="s">
        <v>257</v>
      </c>
      <c r="K265" s="18" t="s">
        <v>2418</v>
      </c>
      <c r="L265" s="18" t="s">
        <v>139</v>
      </c>
      <c r="M265" s="18" t="s">
        <v>259</v>
      </c>
      <c r="N265" s="18" t="s">
        <v>260</v>
      </c>
      <c r="O265" s="17">
        <v>5</v>
      </c>
      <c r="P265" s="59">
        <v>299</v>
      </c>
      <c r="Q265" s="60">
        <v>80</v>
      </c>
      <c r="R265" s="17">
        <v>18</v>
      </c>
      <c r="S265" s="19">
        <v>353</v>
      </c>
      <c r="T265" s="18" t="s">
        <v>465</v>
      </c>
      <c r="U265" s="18" t="s">
        <v>70</v>
      </c>
      <c r="V265" s="18" t="s">
        <v>155</v>
      </c>
    </row>
    <row r="266" spans="1:22" ht="15.75" customHeight="1">
      <c r="A266" s="13" t="s">
        <v>1422</v>
      </c>
      <c r="B266" s="14" t="s">
        <v>2403</v>
      </c>
      <c r="C266" s="14" t="s">
        <v>372</v>
      </c>
      <c r="D266" s="13" t="s">
        <v>1424</v>
      </c>
      <c r="E266" s="14" t="s">
        <v>374</v>
      </c>
      <c r="F266" s="14" t="s">
        <v>1425</v>
      </c>
      <c r="G266" s="14" t="s">
        <v>341</v>
      </c>
      <c r="H266" s="13" t="s">
        <v>62</v>
      </c>
      <c r="I266" s="13" t="s">
        <v>63</v>
      </c>
      <c r="J266" s="13" t="s">
        <v>376</v>
      </c>
      <c r="K266" s="14" t="s">
        <v>377</v>
      </c>
      <c r="L266" s="14" t="s">
        <v>112</v>
      </c>
      <c r="M266" s="14" t="s">
        <v>113</v>
      </c>
      <c r="N266" s="14" t="s">
        <v>378</v>
      </c>
      <c r="O266" s="13">
        <v>4</v>
      </c>
      <c r="P266" s="61">
        <v>8500</v>
      </c>
      <c r="Q266" s="62">
        <v>15</v>
      </c>
      <c r="R266" s="13">
        <v>18</v>
      </c>
      <c r="S266" s="16">
        <v>34102</v>
      </c>
      <c r="T266" s="14" t="s">
        <v>465</v>
      </c>
      <c r="U266" s="14" t="s">
        <v>288</v>
      </c>
      <c r="V266" s="14" t="s">
        <v>212</v>
      </c>
    </row>
    <row r="267" spans="1:22" ht="15.75" customHeight="1">
      <c r="A267" s="17" t="s">
        <v>1426</v>
      </c>
      <c r="B267" s="18" t="s">
        <v>675</v>
      </c>
      <c r="C267" s="18" t="s">
        <v>2417</v>
      </c>
      <c r="D267" s="17" t="s">
        <v>1428</v>
      </c>
      <c r="E267" s="18" t="s">
        <v>832</v>
      </c>
      <c r="F267" s="18" t="s">
        <v>1429</v>
      </c>
      <c r="G267" s="18" t="s">
        <v>485</v>
      </c>
      <c r="H267" s="17" t="s">
        <v>305</v>
      </c>
      <c r="I267" s="17" t="s">
        <v>306</v>
      </c>
      <c r="J267" s="17" t="s">
        <v>312</v>
      </c>
      <c r="K267" s="18" t="s">
        <v>313</v>
      </c>
      <c r="L267" s="18" t="s">
        <v>66</v>
      </c>
      <c r="M267" s="18" t="s">
        <v>199</v>
      </c>
      <c r="N267" s="18" t="s">
        <v>314</v>
      </c>
      <c r="O267" s="17">
        <v>6</v>
      </c>
      <c r="P267" s="59">
        <v>40</v>
      </c>
      <c r="Q267" s="60">
        <v>25</v>
      </c>
      <c r="R267" s="17">
        <v>5</v>
      </c>
      <c r="S267" s="19">
        <v>189</v>
      </c>
      <c r="T267" s="18" t="s">
        <v>102</v>
      </c>
      <c r="U267" s="18" t="s">
        <v>288</v>
      </c>
      <c r="V267" s="18" t="s">
        <v>155</v>
      </c>
    </row>
    <row r="268" spans="1:22" ht="15.75" customHeight="1">
      <c r="A268" s="13" t="s">
        <v>1430</v>
      </c>
      <c r="B268" s="14" t="s">
        <v>737</v>
      </c>
      <c r="C268" s="14" t="s">
        <v>168</v>
      </c>
      <c r="D268" s="13" t="s">
        <v>1432</v>
      </c>
      <c r="E268" s="14" t="s">
        <v>1018</v>
      </c>
      <c r="F268" s="14" t="s">
        <v>1433</v>
      </c>
      <c r="G268" s="14" t="s">
        <v>485</v>
      </c>
      <c r="H268" s="13" t="s">
        <v>305</v>
      </c>
      <c r="I268" s="13" t="s">
        <v>306</v>
      </c>
      <c r="J268" s="13" t="s">
        <v>897</v>
      </c>
      <c r="K268" s="14" t="s">
        <v>2491</v>
      </c>
      <c r="L268" s="14" t="s">
        <v>139</v>
      </c>
      <c r="M268" s="14" t="s">
        <v>140</v>
      </c>
      <c r="N268" s="14" t="s">
        <v>899</v>
      </c>
      <c r="O268" s="13">
        <v>10</v>
      </c>
      <c r="P268" s="61">
        <v>38000</v>
      </c>
      <c r="Q268" s="62">
        <v>8</v>
      </c>
      <c r="R268" s="13">
        <v>18</v>
      </c>
      <c r="S268" s="16">
        <v>412528</v>
      </c>
      <c r="T268" s="14" t="s">
        <v>465</v>
      </c>
      <c r="U268" s="14" t="s">
        <v>70</v>
      </c>
      <c r="V268" s="14" t="s">
        <v>155</v>
      </c>
    </row>
    <row r="269" spans="1:22" ht="15.75" customHeight="1">
      <c r="A269" s="17" t="s">
        <v>1434</v>
      </c>
      <c r="B269" s="18" t="s">
        <v>546</v>
      </c>
      <c r="C269" s="18" t="s">
        <v>2268</v>
      </c>
      <c r="D269" s="17" t="s">
        <v>1436</v>
      </c>
      <c r="E269" s="18" t="s">
        <v>943</v>
      </c>
      <c r="F269" s="18" t="s">
        <v>1437</v>
      </c>
      <c r="G269" s="18" t="s">
        <v>333</v>
      </c>
      <c r="H269" s="17" t="s">
        <v>334</v>
      </c>
      <c r="I269" s="17" t="s">
        <v>63</v>
      </c>
      <c r="J269" s="17" t="s">
        <v>124</v>
      </c>
      <c r="K269" s="18" t="s">
        <v>125</v>
      </c>
      <c r="L269" s="18" t="s">
        <v>99</v>
      </c>
      <c r="M269" s="18" t="s">
        <v>100</v>
      </c>
      <c r="N269" s="18" t="s">
        <v>126</v>
      </c>
      <c r="O269" s="17">
        <v>1</v>
      </c>
      <c r="P269" s="59">
        <v>14000</v>
      </c>
      <c r="Q269" s="60">
        <v>25</v>
      </c>
      <c r="R269" s="17">
        <v>18</v>
      </c>
      <c r="S269" s="19">
        <v>12390</v>
      </c>
      <c r="T269" s="18" t="s">
        <v>127</v>
      </c>
      <c r="U269" s="18" t="s">
        <v>288</v>
      </c>
      <c r="V269" s="18" t="s">
        <v>155</v>
      </c>
    </row>
    <row r="270" spans="1:22" ht="15.75" customHeight="1">
      <c r="A270" s="13" t="s">
        <v>1438</v>
      </c>
      <c r="B270" s="14" t="s">
        <v>2504</v>
      </c>
      <c r="C270" s="14" t="s">
        <v>291</v>
      </c>
      <c r="D270" s="13" t="s">
        <v>1439</v>
      </c>
      <c r="E270" s="14" t="s">
        <v>664</v>
      </c>
      <c r="F270" s="14" t="s">
        <v>1440</v>
      </c>
      <c r="G270" s="14" t="s">
        <v>172</v>
      </c>
      <c r="H270" s="13" t="s">
        <v>96</v>
      </c>
      <c r="I270" s="13" t="s">
        <v>63</v>
      </c>
      <c r="J270" s="13" t="s">
        <v>389</v>
      </c>
      <c r="K270" s="14" t="s">
        <v>390</v>
      </c>
      <c r="L270" s="14" t="s">
        <v>99</v>
      </c>
      <c r="M270" s="14" t="s">
        <v>164</v>
      </c>
      <c r="N270" s="14" t="s">
        <v>391</v>
      </c>
      <c r="O270" s="13">
        <v>10</v>
      </c>
      <c r="P270" s="13">
        <v>0</v>
      </c>
      <c r="Q270" s="62">
        <v>15</v>
      </c>
      <c r="R270" s="13">
        <v>18</v>
      </c>
      <c r="S270" s="16">
        <v>0</v>
      </c>
      <c r="T270" s="14" t="s">
        <v>413</v>
      </c>
      <c r="U270" s="14" t="s">
        <v>211</v>
      </c>
      <c r="V270" s="14" t="s">
        <v>212</v>
      </c>
    </row>
    <row r="271" spans="1:22" ht="15.75" customHeight="1">
      <c r="A271" s="17" t="s">
        <v>1442</v>
      </c>
      <c r="B271" s="18" t="s">
        <v>901</v>
      </c>
      <c r="C271" s="18" t="s">
        <v>2432</v>
      </c>
      <c r="D271" s="17" t="s">
        <v>1444</v>
      </c>
      <c r="E271" s="18" t="s">
        <v>345</v>
      </c>
      <c r="F271" s="18" t="s">
        <v>1445</v>
      </c>
      <c r="G271" s="18" t="s">
        <v>485</v>
      </c>
      <c r="H271" s="17" t="s">
        <v>305</v>
      </c>
      <c r="I271" s="17" t="s">
        <v>306</v>
      </c>
      <c r="J271" s="17" t="s">
        <v>124</v>
      </c>
      <c r="K271" s="18" t="s">
        <v>125</v>
      </c>
      <c r="L271" s="18" t="s">
        <v>99</v>
      </c>
      <c r="M271" s="18" t="s">
        <v>100</v>
      </c>
      <c r="N271" s="18" t="s">
        <v>126</v>
      </c>
      <c r="O271" s="17">
        <v>7</v>
      </c>
      <c r="P271" s="59">
        <v>14000</v>
      </c>
      <c r="Q271" s="60">
        <v>0</v>
      </c>
      <c r="R271" s="17">
        <v>18</v>
      </c>
      <c r="S271" s="19">
        <v>115640</v>
      </c>
      <c r="T271" s="18" t="s">
        <v>465</v>
      </c>
      <c r="U271" s="18" t="s">
        <v>211</v>
      </c>
      <c r="V271" s="18" t="s">
        <v>155</v>
      </c>
    </row>
    <row r="272" spans="1:22" ht="15.75" customHeight="1">
      <c r="A272" s="13" t="s">
        <v>1446</v>
      </c>
      <c r="B272" s="14" t="s">
        <v>2471</v>
      </c>
      <c r="C272" s="14" t="s">
        <v>168</v>
      </c>
      <c r="D272" s="13" t="s">
        <v>1447</v>
      </c>
      <c r="E272" s="14" t="s">
        <v>1448</v>
      </c>
      <c r="F272" s="14" t="s">
        <v>1449</v>
      </c>
      <c r="G272" s="14" t="s">
        <v>228</v>
      </c>
      <c r="H272" s="13" t="s">
        <v>152</v>
      </c>
      <c r="I272" s="13" t="s">
        <v>80</v>
      </c>
      <c r="J272" s="13" t="s">
        <v>207</v>
      </c>
      <c r="K272" s="14" t="s">
        <v>2406</v>
      </c>
      <c r="L272" s="14" t="s">
        <v>99</v>
      </c>
      <c r="M272" s="14" t="s">
        <v>209</v>
      </c>
      <c r="N272" s="14" t="s">
        <v>2407</v>
      </c>
      <c r="O272" s="13">
        <v>10</v>
      </c>
      <c r="P272" s="61">
        <v>55000</v>
      </c>
      <c r="Q272" s="62">
        <v>8</v>
      </c>
      <c r="R272" s="13">
        <v>18</v>
      </c>
      <c r="S272" s="16">
        <v>597080</v>
      </c>
      <c r="T272" s="14" t="s">
        <v>115</v>
      </c>
      <c r="U272" s="14" t="s">
        <v>143</v>
      </c>
      <c r="V272" s="14" t="s">
        <v>155</v>
      </c>
    </row>
    <row r="273" spans="1:22" ht="15.75" customHeight="1">
      <c r="A273" s="17" t="s">
        <v>1450</v>
      </c>
      <c r="B273" s="18" t="s">
        <v>2489</v>
      </c>
      <c r="C273" s="18" t="s">
        <v>2404</v>
      </c>
      <c r="D273" s="17" t="s">
        <v>1452</v>
      </c>
      <c r="E273" s="18" t="s">
        <v>400</v>
      </c>
      <c r="F273" s="18" t="s">
        <v>1453</v>
      </c>
      <c r="G273" s="18" t="s">
        <v>172</v>
      </c>
      <c r="H273" s="17" t="s">
        <v>96</v>
      </c>
      <c r="I273" s="17" t="s">
        <v>63</v>
      </c>
      <c r="J273" s="17" t="s">
        <v>595</v>
      </c>
      <c r="K273" s="18" t="s">
        <v>596</v>
      </c>
      <c r="L273" s="18" t="s">
        <v>112</v>
      </c>
      <c r="M273" s="18" t="s">
        <v>240</v>
      </c>
      <c r="N273" s="18" t="s">
        <v>597</v>
      </c>
      <c r="O273" s="17">
        <v>8</v>
      </c>
      <c r="P273" s="59">
        <v>1200</v>
      </c>
      <c r="Q273" s="60">
        <v>10</v>
      </c>
      <c r="R273" s="17">
        <v>5</v>
      </c>
      <c r="S273" s="19">
        <v>9072</v>
      </c>
      <c r="T273" s="18" t="s">
        <v>153</v>
      </c>
      <c r="U273" s="18" t="s">
        <v>288</v>
      </c>
      <c r="V273" s="18" t="s">
        <v>155</v>
      </c>
    </row>
    <row r="274" spans="1:22" ht="15.75" customHeight="1">
      <c r="A274" s="13" t="s">
        <v>1454</v>
      </c>
      <c r="B274" s="14" t="s">
        <v>1883</v>
      </c>
      <c r="C274" s="14" t="s">
        <v>2402</v>
      </c>
      <c r="D274" s="13" t="s">
        <v>1456</v>
      </c>
      <c r="E274" s="14" t="s">
        <v>1457</v>
      </c>
      <c r="F274" s="14" t="s">
        <v>1458</v>
      </c>
      <c r="G274" s="14" t="s">
        <v>95</v>
      </c>
      <c r="H274" s="13" t="s">
        <v>96</v>
      </c>
      <c r="I274" s="13" t="s">
        <v>63</v>
      </c>
      <c r="J274" s="13" t="s">
        <v>275</v>
      </c>
      <c r="K274" s="14" t="s">
        <v>2423</v>
      </c>
      <c r="L274" s="14" t="s">
        <v>99</v>
      </c>
      <c r="M274" s="14" t="s">
        <v>277</v>
      </c>
      <c r="N274" s="14" t="s">
        <v>126</v>
      </c>
      <c r="O274" s="13">
        <v>2</v>
      </c>
      <c r="P274" s="61">
        <v>35000</v>
      </c>
      <c r="Q274" s="62">
        <v>25</v>
      </c>
      <c r="R274" s="13">
        <v>18</v>
      </c>
      <c r="S274" s="16">
        <v>61950</v>
      </c>
      <c r="T274" s="14" t="s">
        <v>465</v>
      </c>
      <c r="U274" s="14" t="s">
        <v>211</v>
      </c>
      <c r="V274" s="14" t="s">
        <v>155</v>
      </c>
    </row>
    <row r="275" spans="1:22" ht="15.75" customHeight="1">
      <c r="A275" s="17" t="s">
        <v>1459</v>
      </c>
      <c r="B275" s="18" t="s">
        <v>2468</v>
      </c>
      <c r="C275" s="18" t="s">
        <v>337</v>
      </c>
      <c r="D275" s="17" t="s">
        <v>1461</v>
      </c>
      <c r="E275" s="18" t="s">
        <v>574</v>
      </c>
      <c r="F275" s="18" t="s">
        <v>1462</v>
      </c>
      <c r="G275" s="18" t="s">
        <v>248</v>
      </c>
      <c r="H275" s="17" t="s">
        <v>249</v>
      </c>
      <c r="I275" s="17" t="s">
        <v>123</v>
      </c>
      <c r="J275" s="17" t="s">
        <v>162</v>
      </c>
      <c r="K275" s="18" t="s">
        <v>163</v>
      </c>
      <c r="L275" s="18" t="s">
        <v>99</v>
      </c>
      <c r="M275" s="18" t="s">
        <v>164</v>
      </c>
      <c r="N275" s="18" t="s">
        <v>165</v>
      </c>
      <c r="O275" s="17">
        <v>3</v>
      </c>
      <c r="P275" s="59">
        <v>2800</v>
      </c>
      <c r="Q275" s="60">
        <v>10</v>
      </c>
      <c r="R275" s="17">
        <v>18</v>
      </c>
      <c r="S275" s="19">
        <v>8921</v>
      </c>
      <c r="T275" s="18" t="s">
        <v>102</v>
      </c>
      <c r="U275" s="18" t="s">
        <v>184</v>
      </c>
      <c r="V275" s="18" t="s">
        <v>212</v>
      </c>
    </row>
    <row r="276" spans="1:22" ht="15.75" customHeight="1">
      <c r="A276" s="13" t="s">
        <v>1463</v>
      </c>
      <c r="B276" s="14" t="s">
        <v>2515</v>
      </c>
      <c r="C276" s="14" t="s">
        <v>2417</v>
      </c>
      <c r="D276" s="13" t="s">
        <v>1465</v>
      </c>
      <c r="E276" s="14" t="s">
        <v>255</v>
      </c>
      <c r="F276" s="14" t="s">
        <v>1466</v>
      </c>
      <c r="G276" s="14" t="s">
        <v>135</v>
      </c>
      <c r="H276" s="13" t="s">
        <v>136</v>
      </c>
      <c r="I276" s="13" t="s">
        <v>63</v>
      </c>
      <c r="J276" s="13" t="s">
        <v>595</v>
      </c>
      <c r="K276" s="14" t="s">
        <v>596</v>
      </c>
      <c r="L276" s="14" t="s">
        <v>112</v>
      </c>
      <c r="M276" s="14" t="s">
        <v>240</v>
      </c>
      <c r="N276" s="14" t="s">
        <v>597</v>
      </c>
      <c r="O276" s="13">
        <v>2</v>
      </c>
      <c r="P276" s="61">
        <v>1200</v>
      </c>
      <c r="Q276" s="62">
        <v>20</v>
      </c>
      <c r="R276" s="13">
        <v>5</v>
      </c>
      <c r="S276" s="16">
        <v>2016</v>
      </c>
      <c r="T276" s="14" t="s">
        <v>102</v>
      </c>
      <c r="U276" s="14" t="s">
        <v>70</v>
      </c>
      <c r="V276" s="14" t="s">
        <v>155</v>
      </c>
    </row>
    <row r="277" spans="1:22" ht="15.75" customHeight="1">
      <c r="A277" s="17" t="s">
        <v>1467</v>
      </c>
      <c r="B277" s="18" t="s">
        <v>1936</v>
      </c>
      <c r="C277" s="18" t="s">
        <v>131</v>
      </c>
      <c r="D277" s="17" t="s">
        <v>1468</v>
      </c>
      <c r="E277" s="18" t="s">
        <v>895</v>
      </c>
      <c r="F277" s="18" t="s">
        <v>1469</v>
      </c>
      <c r="G277" s="18" t="s">
        <v>439</v>
      </c>
      <c r="H277" s="17" t="s">
        <v>364</v>
      </c>
      <c r="I277" s="17" t="s">
        <v>63</v>
      </c>
      <c r="J277" s="17" t="s">
        <v>365</v>
      </c>
      <c r="K277" s="18" t="s">
        <v>366</v>
      </c>
      <c r="L277" s="18" t="s">
        <v>112</v>
      </c>
      <c r="M277" s="18" t="s">
        <v>367</v>
      </c>
      <c r="N277" s="18" t="s">
        <v>368</v>
      </c>
      <c r="O277" s="17">
        <v>2</v>
      </c>
      <c r="P277" s="59">
        <v>3500</v>
      </c>
      <c r="Q277" s="60">
        <v>25</v>
      </c>
      <c r="R277" s="17">
        <v>5</v>
      </c>
      <c r="S277" s="19">
        <v>5512</v>
      </c>
      <c r="T277" s="18" t="s">
        <v>127</v>
      </c>
      <c r="U277" s="18" t="s">
        <v>184</v>
      </c>
      <c r="V277" s="18" t="s">
        <v>212</v>
      </c>
    </row>
    <row r="278" spans="1:22" ht="15.75" customHeight="1">
      <c r="A278" s="13" t="s">
        <v>1470</v>
      </c>
      <c r="B278" s="14" t="s">
        <v>2494</v>
      </c>
      <c r="C278" s="14" t="s">
        <v>2278</v>
      </c>
      <c r="D278" s="13" t="s">
        <v>1471</v>
      </c>
      <c r="E278" s="14" t="s">
        <v>2525</v>
      </c>
      <c r="F278" s="14" t="s">
        <v>2394</v>
      </c>
      <c r="G278" s="14" t="s">
        <v>122</v>
      </c>
      <c r="H278" s="13" t="s">
        <v>122</v>
      </c>
      <c r="I278" s="13" t="s">
        <v>123</v>
      </c>
      <c r="J278" s="13" t="s">
        <v>257</v>
      </c>
      <c r="K278" s="14" t="s">
        <v>2418</v>
      </c>
      <c r="L278" s="14" t="s">
        <v>139</v>
      </c>
      <c r="M278" s="14" t="s">
        <v>259</v>
      </c>
      <c r="N278" s="14" t="s">
        <v>260</v>
      </c>
      <c r="O278" s="13">
        <v>10</v>
      </c>
      <c r="P278" s="61">
        <v>299</v>
      </c>
      <c r="Q278" s="62">
        <v>10</v>
      </c>
      <c r="R278" s="13">
        <v>18</v>
      </c>
      <c r="S278" s="16">
        <v>3175</v>
      </c>
      <c r="T278" s="14" t="s">
        <v>102</v>
      </c>
      <c r="U278" s="14" t="s">
        <v>143</v>
      </c>
      <c r="V278" s="14" t="s">
        <v>212</v>
      </c>
    </row>
    <row r="279" spans="1:22" ht="15.75" customHeight="1">
      <c r="A279" s="17" t="s">
        <v>1472</v>
      </c>
      <c r="B279" s="18" t="s">
        <v>2521</v>
      </c>
      <c r="C279" s="18" t="s">
        <v>712</v>
      </c>
      <c r="D279" s="17" t="s">
        <v>1473</v>
      </c>
      <c r="E279" s="18" t="s">
        <v>1137</v>
      </c>
      <c r="F279" s="18" t="s">
        <v>1474</v>
      </c>
      <c r="G279" s="18" t="s">
        <v>341</v>
      </c>
      <c r="H279" s="17" t="s">
        <v>62</v>
      </c>
      <c r="I279" s="17" t="s">
        <v>63</v>
      </c>
      <c r="J279" s="17" t="s">
        <v>420</v>
      </c>
      <c r="K279" s="18" t="s">
        <v>2445</v>
      </c>
      <c r="L279" s="18" t="s">
        <v>112</v>
      </c>
      <c r="M279" s="18" t="s">
        <v>422</v>
      </c>
      <c r="N279" s="18" t="s">
        <v>2446</v>
      </c>
      <c r="O279" s="17">
        <v>10</v>
      </c>
      <c r="P279" s="59">
        <v>4800</v>
      </c>
      <c r="Q279" s="60">
        <v>12</v>
      </c>
      <c r="R279" s="17">
        <v>18</v>
      </c>
      <c r="S279" s="19">
        <v>49843</v>
      </c>
      <c r="T279" s="18" t="s">
        <v>465</v>
      </c>
      <c r="U279" s="18" t="s">
        <v>70</v>
      </c>
      <c r="V279" s="18" t="s">
        <v>155</v>
      </c>
    </row>
    <row r="280" spans="1:22" ht="15.75" customHeight="1">
      <c r="A280" s="13" t="s">
        <v>1475</v>
      </c>
      <c r="B280" s="14" t="s">
        <v>901</v>
      </c>
      <c r="C280" s="14" t="s">
        <v>2432</v>
      </c>
      <c r="D280" s="13" t="s">
        <v>1477</v>
      </c>
      <c r="E280" s="14" t="s">
        <v>345</v>
      </c>
      <c r="F280" s="14" t="s">
        <v>1478</v>
      </c>
      <c r="G280" s="14" t="s">
        <v>151</v>
      </c>
      <c r="H280" s="13" t="s">
        <v>152</v>
      </c>
      <c r="I280" s="13" t="s">
        <v>80</v>
      </c>
      <c r="J280" s="13" t="s">
        <v>81</v>
      </c>
      <c r="K280" s="14" t="s">
        <v>82</v>
      </c>
      <c r="L280" s="14" t="s">
        <v>83</v>
      </c>
      <c r="M280" s="14" t="s">
        <v>84</v>
      </c>
      <c r="N280" s="14" t="s">
        <v>85</v>
      </c>
      <c r="O280" s="13">
        <v>3</v>
      </c>
      <c r="P280" s="61">
        <v>25000</v>
      </c>
      <c r="Q280" s="62">
        <v>25</v>
      </c>
      <c r="R280" s="13">
        <v>3</v>
      </c>
      <c r="S280" s="16">
        <v>57938</v>
      </c>
      <c r="T280" s="14" t="s">
        <v>413</v>
      </c>
      <c r="U280" s="14" t="s">
        <v>211</v>
      </c>
      <c r="V280" s="14" t="s">
        <v>155</v>
      </c>
    </row>
    <row r="281" spans="1:22" ht="15.75" customHeight="1">
      <c r="A281" s="17" t="s">
        <v>1480</v>
      </c>
      <c r="B281" s="18" t="s">
        <v>2526</v>
      </c>
      <c r="C281" s="18" t="s">
        <v>627</v>
      </c>
      <c r="D281" s="17" t="s">
        <v>1482</v>
      </c>
      <c r="E281" s="18" t="s">
        <v>2486</v>
      </c>
      <c r="F281" s="18" t="s">
        <v>1483</v>
      </c>
      <c r="G281" s="18" t="s">
        <v>485</v>
      </c>
      <c r="H281" s="17" t="s">
        <v>305</v>
      </c>
      <c r="I281" s="17" t="s">
        <v>306</v>
      </c>
      <c r="J281" s="17" t="s">
        <v>365</v>
      </c>
      <c r="K281" s="18" t="s">
        <v>366</v>
      </c>
      <c r="L281" s="18" t="s">
        <v>112</v>
      </c>
      <c r="M281" s="18" t="s">
        <v>367</v>
      </c>
      <c r="N281" s="18" t="s">
        <v>368</v>
      </c>
      <c r="O281" s="17">
        <v>8</v>
      </c>
      <c r="P281" s="17">
        <v>0</v>
      </c>
      <c r="Q281" s="60">
        <v>5</v>
      </c>
      <c r="R281" s="17">
        <v>5</v>
      </c>
      <c r="S281" s="19">
        <v>0</v>
      </c>
      <c r="T281" s="18" t="s">
        <v>153</v>
      </c>
      <c r="U281" s="18" t="s">
        <v>211</v>
      </c>
      <c r="V281" s="18" t="s">
        <v>155</v>
      </c>
    </row>
    <row r="282" spans="1:22" ht="15.75" customHeight="1">
      <c r="A282" s="13" t="s">
        <v>1485</v>
      </c>
      <c r="B282" s="14" t="s">
        <v>2420</v>
      </c>
      <c r="C282" s="14" t="s">
        <v>2393</v>
      </c>
      <c r="D282" s="13" t="s">
        <v>1487</v>
      </c>
      <c r="E282" s="14" t="s">
        <v>876</v>
      </c>
      <c r="F282" s="14" t="s">
        <v>1488</v>
      </c>
      <c r="G282" s="14" t="s">
        <v>122</v>
      </c>
      <c r="H282" s="13" t="s">
        <v>122</v>
      </c>
      <c r="I282" s="13" t="s">
        <v>123</v>
      </c>
      <c r="J282" s="13" t="s">
        <v>420</v>
      </c>
      <c r="K282" s="14" t="s">
        <v>2445</v>
      </c>
      <c r="L282" s="14" t="s">
        <v>112</v>
      </c>
      <c r="M282" s="14" t="s">
        <v>422</v>
      </c>
      <c r="N282" s="14" t="s">
        <v>2446</v>
      </c>
      <c r="O282" s="13">
        <v>3</v>
      </c>
      <c r="P282" s="61">
        <v>4800</v>
      </c>
      <c r="Q282" s="62">
        <v>15</v>
      </c>
      <c r="R282" s="13">
        <v>18</v>
      </c>
      <c r="S282" s="16">
        <v>14443</v>
      </c>
      <c r="T282" s="14" t="s">
        <v>465</v>
      </c>
      <c r="U282" s="14" t="s">
        <v>70</v>
      </c>
      <c r="V282" s="14" t="s">
        <v>212</v>
      </c>
    </row>
    <row r="283" spans="1:22" ht="15.75" customHeight="1">
      <c r="A283" s="17" t="s">
        <v>1489</v>
      </c>
      <c r="B283" s="18" t="s">
        <v>2403</v>
      </c>
      <c r="C283" s="18" t="s">
        <v>2417</v>
      </c>
      <c r="D283" s="17" t="s">
        <v>2502</v>
      </c>
      <c r="E283" s="18" t="s">
        <v>395</v>
      </c>
      <c r="F283" s="18" t="s">
        <v>1491</v>
      </c>
      <c r="G283" s="18" t="s">
        <v>172</v>
      </c>
      <c r="H283" s="17" t="s">
        <v>96</v>
      </c>
      <c r="I283" s="17" t="s">
        <v>63</v>
      </c>
      <c r="J283" s="17" t="s">
        <v>595</v>
      </c>
      <c r="K283" s="18" t="s">
        <v>596</v>
      </c>
      <c r="L283" s="18" t="s">
        <v>112</v>
      </c>
      <c r="M283" s="18" t="s">
        <v>240</v>
      </c>
      <c r="N283" s="18" t="s">
        <v>597</v>
      </c>
      <c r="O283" s="17">
        <v>5</v>
      </c>
      <c r="P283" s="59">
        <v>1200</v>
      </c>
      <c r="Q283" s="60">
        <v>0</v>
      </c>
      <c r="R283" s="17">
        <v>5</v>
      </c>
      <c r="S283" s="19">
        <v>6300</v>
      </c>
      <c r="T283" s="18" t="s">
        <v>413</v>
      </c>
      <c r="U283" s="18" t="s">
        <v>143</v>
      </c>
      <c r="V283" s="18" t="s">
        <v>212</v>
      </c>
    </row>
    <row r="284" spans="1:22" ht="15.75" customHeight="1">
      <c r="A284" s="13" t="s">
        <v>1492</v>
      </c>
      <c r="B284" s="14" t="s">
        <v>874</v>
      </c>
      <c r="C284" s="14" t="s">
        <v>2450</v>
      </c>
      <c r="D284" s="13" t="s">
        <v>1494</v>
      </c>
      <c r="E284" s="14" t="s">
        <v>838</v>
      </c>
      <c r="F284" s="14" t="s">
        <v>1495</v>
      </c>
      <c r="G284" s="14" t="s">
        <v>78</v>
      </c>
      <c r="H284" s="13" t="s">
        <v>79</v>
      </c>
      <c r="I284" s="13" t="s">
        <v>80</v>
      </c>
      <c r="J284" s="13" t="s">
        <v>257</v>
      </c>
      <c r="K284" s="14" t="s">
        <v>2418</v>
      </c>
      <c r="L284" s="14" t="s">
        <v>139</v>
      </c>
      <c r="M284" s="14" t="s">
        <v>259</v>
      </c>
      <c r="N284" s="14" t="s">
        <v>260</v>
      </c>
      <c r="O284" s="13">
        <v>8</v>
      </c>
      <c r="P284" s="61">
        <v>299</v>
      </c>
      <c r="Q284" s="62">
        <v>5</v>
      </c>
      <c r="R284" s="13">
        <v>18</v>
      </c>
      <c r="S284" s="16">
        <v>2681</v>
      </c>
      <c r="T284" s="14" t="s">
        <v>102</v>
      </c>
      <c r="U284" s="14" t="s">
        <v>143</v>
      </c>
      <c r="V284" s="14" t="s">
        <v>155</v>
      </c>
    </row>
    <row r="285" spans="1:22" ht="15.75" customHeight="1">
      <c r="A285" s="17" t="s">
        <v>1496</v>
      </c>
      <c r="B285" s="18" t="s">
        <v>941</v>
      </c>
      <c r="C285" s="18" t="s">
        <v>2417</v>
      </c>
      <c r="D285" s="17" t="s">
        <v>1497</v>
      </c>
      <c r="E285" s="18" t="s">
        <v>832</v>
      </c>
      <c r="F285" s="18" t="s">
        <v>1498</v>
      </c>
      <c r="G285" s="18" t="s">
        <v>439</v>
      </c>
      <c r="H285" s="17" t="s">
        <v>364</v>
      </c>
      <c r="I285" s="17" t="s">
        <v>63</v>
      </c>
      <c r="J285" s="17" t="s">
        <v>897</v>
      </c>
      <c r="K285" s="18" t="s">
        <v>2491</v>
      </c>
      <c r="L285" s="18" t="s">
        <v>139</v>
      </c>
      <c r="M285" s="18" t="s">
        <v>140</v>
      </c>
      <c r="N285" s="18" t="s">
        <v>899</v>
      </c>
      <c r="O285" s="17">
        <v>1</v>
      </c>
      <c r="P285" s="59">
        <v>38000</v>
      </c>
      <c r="Q285" s="60">
        <v>5</v>
      </c>
      <c r="R285" s="17">
        <v>18</v>
      </c>
      <c r="S285" s="19">
        <v>42598</v>
      </c>
      <c r="T285" s="18" t="s">
        <v>102</v>
      </c>
      <c r="U285" s="18" t="s">
        <v>70</v>
      </c>
      <c r="V285" s="18" t="s">
        <v>155</v>
      </c>
    </row>
    <row r="286" spans="1:22" ht="15.75" customHeight="1">
      <c r="A286" s="13" t="s">
        <v>1499</v>
      </c>
      <c r="B286" s="14" t="s">
        <v>2519</v>
      </c>
      <c r="C286" s="14" t="s">
        <v>2404</v>
      </c>
      <c r="D286" s="13" t="s">
        <v>1500</v>
      </c>
      <c r="E286" s="14" t="s">
        <v>400</v>
      </c>
      <c r="F286" s="14" t="s">
        <v>1501</v>
      </c>
      <c r="G286" s="14" t="s">
        <v>122</v>
      </c>
      <c r="H286" s="13" t="s">
        <v>122</v>
      </c>
      <c r="I286" s="13" t="s">
        <v>123</v>
      </c>
      <c r="J286" s="13" t="s">
        <v>197</v>
      </c>
      <c r="K286" s="14" t="s">
        <v>198</v>
      </c>
      <c r="L286" s="14" t="s">
        <v>66</v>
      </c>
      <c r="M286" s="14" t="s">
        <v>199</v>
      </c>
      <c r="N286" s="14" t="s">
        <v>200</v>
      </c>
      <c r="O286" s="13">
        <v>9</v>
      </c>
      <c r="P286" s="61">
        <v>50</v>
      </c>
      <c r="Q286" s="62">
        <v>8</v>
      </c>
      <c r="R286" s="13">
        <v>5</v>
      </c>
      <c r="S286" s="16">
        <v>435</v>
      </c>
      <c r="T286" s="14" t="s">
        <v>102</v>
      </c>
      <c r="U286" s="14" t="s">
        <v>184</v>
      </c>
      <c r="V286" s="14" t="s">
        <v>155</v>
      </c>
    </row>
    <row r="287" spans="1:22" ht="15.75" customHeight="1">
      <c r="A287" s="17" t="s">
        <v>1502</v>
      </c>
      <c r="B287" s="18" t="s">
        <v>2475</v>
      </c>
      <c r="C287" s="18" t="s">
        <v>2449</v>
      </c>
      <c r="D287" s="17" t="s">
        <v>1504</v>
      </c>
      <c r="E287" s="18" t="s">
        <v>433</v>
      </c>
      <c r="F287" s="18" t="s">
        <v>1505</v>
      </c>
      <c r="G287" s="18" t="s">
        <v>61</v>
      </c>
      <c r="H287" s="17" t="s">
        <v>62</v>
      </c>
      <c r="I287" s="17" t="s">
        <v>63</v>
      </c>
      <c r="J287" s="17" t="s">
        <v>312</v>
      </c>
      <c r="K287" s="18" t="s">
        <v>313</v>
      </c>
      <c r="L287" s="18" t="s">
        <v>66</v>
      </c>
      <c r="M287" s="18" t="s">
        <v>199</v>
      </c>
      <c r="N287" s="18" t="s">
        <v>314</v>
      </c>
      <c r="O287" s="17">
        <v>9</v>
      </c>
      <c r="P287" s="59">
        <v>40</v>
      </c>
      <c r="Q287" s="60">
        <v>20</v>
      </c>
      <c r="R287" s="17">
        <v>5</v>
      </c>
      <c r="S287" s="19">
        <v>302</v>
      </c>
      <c r="T287" s="18" t="s">
        <v>153</v>
      </c>
      <c r="U287" s="18" t="s">
        <v>211</v>
      </c>
      <c r="V287" s="18" t="s">
        <v>212</v>
      </c>
    </row>
    <row r="288" spans="1:22" ht="15.75" customHeight="1">
      <c r="A288" s="13" t="s">
        <v>1506</v>
      </c>
      <c r="B288" s="14" t="s">
        <v>308</v>
      </c>
      <c r="C288" s="14" t="s">
        <v>2459</v>
      </c>
      <c r="D288" s="13" t="s">
        <v>1508</v>
      </c>
      <c r="E288" s="14" t="s">
        <v>543</v>
      </c>
      <c r="F288" s="14" t="s">
        <v>1509</v>
      </c>
      <c r="G288" s="14" t="s">
        <v>61</v>
      </c>
      <c r="H288" s="13" t="s">
        <v>62</v>
      </c>
      <c r="I288" s="13" t="s">
        <v>63</v>
      </c>
      <c r="J288" s="13" t="s">
        <v>64</v>
      </c>
      <c r="K288" s="14" t="s">
        <v>2389</v>
      </c>
      <c r="L288" s="14" t="s">
        <v>66</v>
      </c>
      <c r="M288" s="14" t="s">
        <v>67</v>
      </c>
      <c r="N288" s="14" t="s">
        <v>68</v>
      </c>
      <c r="O288" s="13">
        <v>1</v>
      </c>
      <c r="P288" s="61">
        <v>450</v>
      </c>
      <c r="Q288" s="62">
        <v>5</v>
      </c>
      <c r="R288" s="13">
        <v>5</v>
      </c>
      <c r="S288" s="16">
        <v>449</v>
      </c>
      <c r="T288" s="14" t="s">
        <v>413</v>
      </c>
      <c r="U288" s="14" t="s">
        <v>184</v>
      </c>
      <c r="V288" s="14" t="s">
        <v>212</v>
      </c>
    </row>
    <row r="289" spans="1:22" ht="15.75" customHeight="1">
      <c r="A289" s="17" t="s">
        <v>1510</v>
      </c>
      <c r="B289" s="18" t="s">
        <v>2513</v>
      </c>
      <c r="C289" s="18" t="s">
        <v>168</v>
      </c>
      <c r="D289" s="17" t="s">
        <v>1511</v>
      </c>
      <c r="E289" s="18" t="s">
        <v>1512</v>
      </c>
      <c r="F289" s="18" t="s">
        <v>1513</v>
      </c>
      <c r="G289" s="18" t="s">
        <v>333</v>
      </c>
      <c r="H289" s="17" t="s">
        <v>334</v>
      </c>
      <c r="I289" s="17" t="s">
        <v>63</v>
      </c>
      <c r="J289" s="17" t="s">
        <v>64</v>
      </c>
      <c r="K289" s="18" t="s">
        <v>2389</v>
      </c>
      <c r="L289" s="18" t="s">
        <v>66</v>
      </c>
      <c r="M289" s="18" t="s">
        <v>67</v>
      </c>
      <c r="N289" s="18" t="s">
        <v>68</v>
      </c>
      <c r="O289" s="17">
        <v>8</v>
      </c>
      <c r="P289" s="59">
        <v>450</v>
      </c>
      <c r="Q289" s="60">
        <v>0</v>
      </c>
      <c r="R289" s="17">
        <v>5</v>
      </c>
      <c r="S289" s="19">
        <v>3780</v>
      </c>
      <c r="T289" s="18" t="s">
        <v>153</v>
      </c>
      <c r="U289" s="18" t="s">
        <v>211</v>
      </c>
      <c r="V289" s="18" t="s">
        <v>212</v>
      </c>
    </row>
    <row r="290" spans="1:22" ht="15.75" customHeight="1">
      <c r="A290" s="13" t="s">
        <v>1514</v>
      </c>
      <c r="B290" s="14" t="s">
        <v>1503</v>
      </c>
      <c r="C290" s="14" t="s">
        <v>2402</v>
      </c>
      <c r="D290" s="13" t="s">
        <v>1516</v>
      </c>
      <c r="E290" s="14" t="s">
        <v>160</v>
      </c>
      <c r="F290" s="14" t="s">
        <v>1517</v>
      </c>
      <c r="G290" s="14" t="s">
        <v>172</v>
      </c>
      <c r="H290" s="13" t="s">
        <v>96</v>
      </c>
      <c r="I290" s="13" t="s">
        <v>63</v>
      </c>
      <c r="J290" s="13" t="s">
        <v>389</v>
      </c>
      <c r="K290" s="14" t="s">
        <v>390</v>
      </c>
      <c r="L290" s="14" t="s">
        <v>99</v>
      </c>
      <c r="M290" s="14" t="s">
        <v>164</v>
      </c>
      <c r="N290" s="14" t="s">
        <v>391</v>
      </c>
      <c r="O290" s="13">
        <v>9</v>
      </c>
      <c r="P290" s="61">
        <v>1500</v>
      </c>
      <c r="Q290" s="62">
        <v>8</v>
      </c>
      <c r="R290" s="13">
        <v>18</v>
      </c>
      <c r="S290" s="16">
        <v>14656</v>
      </c>
      <c r="T290" s="14" t="s">
        <v>465</v>
      </c>
      <c r="U290" s="14" t="s">
        <v>211</v>
      </c>
      <c r="V290" s="14" t="s">
        <v>212</v>
      </c>
    </row>
    <row r="291" spans="1:22" ht="15.75" customHeight="1">
      <c r="A291" s="17" t="s">
        <v>1518</v>
      </c>
      <c r="B291" s="18" t="s">
        <v>2496</v>
      </c>
      <c r="C291" s="18" t="s">
        <v>2453</v>
      </c>
      <c r="D291" s="17" t="s">
        <v>1520</v>
      </c>
      <c r="E291" s="18" t="s">
        <v>1521</v>
      </c>
      <c r="F291" s="18" t="s">
        <v>1522</v>
      </c>
      <c r="G291" s="18" t="s">
        <v>181</v>
      </c>
      <c r="H291" s="17" t="s">
        <v>182</v>
      </c>
      <c r="I291" s="17" t="s">
        <v>123</v>
      </c>
      <c r="J291" s="17" t="s">
        <v>275</v>
      </c>
      <c r="K291" s="18" t="s">
        <v>2423</v>
      </c>
      <c r="L291" s="18" t="s">
        <v>99</v>
      </c>
      <c r="M291" s="18" t="s">
        <v>277</v>
      </c>
      <c r="N291" s="18" t="s">
        <v>126</v>
      </c>
      <c r="O291" s="17">
        <v>5</v>
      </c>
      <c r="P291" s="59">
        <v>35000</v>
      </c>
      <c r="Q291" s="60">
        <v>5</v>
      </c>
      <c r="R291" s="17">
        <v>18</v>
      </c>
      <c r="S291" s="19">
        <v>196175</v>
      </c>
      <c r="T291" s="18" t="s">
        <v>115</v>
      </c>
      <c r="U291" s="18" t="s">
        <v>184</v>
      </c>
      <c r="V291" s="18" t="s">
        <v>212</v>
      </c>
    </row>
    <row r="292" spans="1:22" ht="15.75" customHeight="1">
      <c r="A292" s="13" t="s">
        <v>1523</v>
      </c>
      <c r="B292" s="14" t="s">
        <v>1299</v>
      </c>
      <c r="C292" s="14" t="s">
        <v>168</v>
      </c>
      <c r="D292" s="13" t="s">
        <v>1525</v>
      </c>
      <c r="E292" s="14" t="s">
        <v>688</v>
      </c>
      <c r="F292" s="14" t="s">
        <v>1526</v>
      </c>
      <c r="G292" s="14" t="s">
        <v>439</v>
      </c>
      <c r="H292" s="13" t="s">
        <v>364</v>
      </c>
      <c r="I292" s="13" t="s">
        <v>63</v>
      </c>
      <c r="J292" s="13" t="s">
        <v>97</v>
      </c>
      <c r="K292" s="14" t="s">
        <v>2395</v>
      </c>
      <c r="L292" s="14" t="s">
        <v>99</v>
      </c>
      <c r="M292" s="14" t="s">
        <v>100</v>
      </c>
      <c r="N292" s="14" t="s">
        <v>2396</v>
      </c>
      <c r="O292" s="13">
        <v>2</v>
      </c>
      <c r="P292" s="61">
        <v>28000</v>
      </c>
      <c r="Q292" s="62">
        <v>20</v>
      </c>
      <c r="R292" s="13">
        <v>18</v>
      </c>
      <c r="S292" s="16">
        <v>52864</v>
      </c>
      <c r="T292" s="14" t="s">
        <v>115</v>
      </c>
      <c r="U292" s="14" t="s">
        <v>288</v>
      </c>
      <c r="V292" s="14" t="s">
        <v>212</v>
      </c>
    </row>
    <row r="293" spans="1:22" ht="15.75" customHeight="1">
      <c r="A293" s="17" t="s">
        <v>1527</v>
      </c>
      <c r="B293" s="18" t="s">
        <v>2480</v>
      </c>
      <c r="C293" s="18" t="s">
        <v>461</v>
      </c>
      <c r="D293" s="17" t="s">
        <v>1529</v>
      </c>
      <c r="E293" s="18" t="s">
        <v>1278</v>
      </c>
      <c r="F293" s="18" t="s">
        <v>1530</v>
      </c>
      <c r="G293" s="18" t="s">
        <v>151</v>
      </c>
      <c r="H293" s="17" t="s">
        <v>152</v>
      </c>
      <c r="I293" s="17" t="s">
        <v>80</v>
      </c>
      <c r="J293" s="17" t="s">
        <v>137</v>
      </c>
      <c r="K293" s="18" t="s">
        <v>138</v>
      </c>
      <c r="L293" s="18" t="s">
        <v>139</v>
      </c>
      <c r="M293" s="18" t="s">
        <v>140</v>
      </c>
      <c r="N293" s="18" t="s">
        <v>141</v>
      </c>
      <c r="O293" s="17">
        <v>1</v>
      </c>
      <c r="P293" s="59">
        <v>12000</v>
      </c>
      <c r="Q293" s="60">
        <v>0</v>
      </c>
      <c r="R293" s="17">
        <v>18</v>
      </c>
      <c r="S293" s="19">
        <v>14160</v>
      </c>
      <c r="T293" s="18" t="s">
        <v>465</v>
      </c>
      <c r="U293" s="18" t="s">
        <v>211</v>
      </c>
      <c r="V293" s="18" t="s">
        <v>212</v>
      </c>
    </row>
    <row r="294" spans="1:22" ht="15.75" customHeight="1">
      <c r="A294" s="13" t="s">
        <v>1531</v>
      </c>
      <c r="B294" s="14" t="s">
        <v>2513</v>
      </c>
      <c r="C294" s="14" t="s">
        <v>2400</v>
      </c>
      <c r="D294" s="13" t="s">
        <v>1532</v>
      </c>
      <c r="E294" s="14" t="s">
        <v>651</v>
      </c>
      <c r="F294" s="14" t="s">
        <v>1533</v>
      </c>
      <c r="G294" s="14" t="s">
        <v>485</v>
      </c>
      <c r="H294" s="13" t="s">
        <v>305</v>
      </c>
      <c r="I294" s="13" t="s">
        <v>306</v>
      </c>
      <c r="J294" s="13" t="s">
        <v>312</v>
      </c>
      <c r="K294" s="14" t="s">
        <v>313</v>
      </c>
      <c r="L294" s="14" t="s">
        <v>66</v>
      </c>
      <c r="M294" s="14" t="s">
        <v>199</v>
      </c>
      <c r="N294" s="14" t="s">
        <v>314</v>
      </c>
      <c r="O294" s="13">
        <v>3</v>
      </c>
      <c r="P294" s="61">
        <v>40</v>
      </c>
      <c r="Q294" s="62">
        <v>20</v>
      </c>
      <c r="R294" s="13">
        <v>5</v>
      </c>
      <c r="S294" s="16">
        <v>101</v>
      </c>
      <c r="T294" s="14" t="s">
        <v>115</v>
      </c>
      <c r="U294" s="14" t="s">
        <v>211</v>
      </c>
      <c r="V294" s="14" t="s">
        <v>155</v>
      </c>
    </row>
    <row r="295" spans="1:22" ht="15.75" customHeight="1">
      <c r="A295" s="17" t="s">
        <v>1534</v>
      </c>
      <c r="B295" s="18" t="s">
        <v>1311</v>
      </c>
      <c r="C295" s="18" t="s">
        <v>2388</v>
      </c>
      <c r="D295" s="17" t="s">
        <v>1536</v>
      </c>
      <c r="E295" s="18" t="s">
        <v>584</v>
      </c>
      <c r="F295" s="18" t="s">
        <v>1537</v>
      </c>
      <c r="G295" s="18" t="s">
        <v>228</v>
      </c>
      <c r="H295" s="17" t="s">
        <v>152</v>
      </c>
      <c r="I295" s="17" t="s">
        <v>80</v>
      </c>
      <c r="J295" s="17" t="s">
        <v>81</v>
      </c>
      <c r="K295" s="18" t="s">
        <v>82</v>
      </c>
      <c r="L295" s="18" t="s">
        <v>83</v>
      </c>
      <c r="M295" s="18" t="s">
        <v>84</v>
      </c>
      <c r="N295" s="18" t="s">
        <v>85</v>
      </c>
      <c r="O295" s="17">
        <v>2</v>
      </c>
      <c r="P295" s="59">
        <v>25000</v>
      </c>
      <c r="Q295" s="60">
        <v>0</v>
      </c>
      <c r="R295" s="17">
        <v>3</v>
      </c>
      <c r="S295" s="19">
        <v>51500</v>
      </c>
      <c r="T295" s="18" t="s">
        <v>127</v>
      </c>
      <c r="U295" s="18" t="s">
        <v>143</v>
      </c>
      <c r="V295" s="18" t="s">
        <v>212</v>
      </c>
    </row>
    <row r="296" spans="1:22" ht="15.75" customHeight="1">
      <c r="A296" s="13" t="s">
        <v>1538</v>
      </c>
      <c r="B296" s="14" t="s">
        <v>2467</v>
      </c>
      <c r="C296" s="14" t="s">
        <v>2477</v>
      </c>
      <c r="D296" s="13" t="s">
        <v>1540</v>
      </c>
      <c r="E296" s="14" t="s">
        <v>1317</v>
      </c>
      <c r="F296" s="14" t="s">
        <v>1541</v>
      </c>
      <c r="G296" s="14" t="s">
        <v>439</v>
      </c>
      <c r="H296" s="13" t="s">
        <v>364</v>
      </c>
      <c r="I296" s="13" t="s">
        <v>63</v>
      </c>
      <c r="J296" s="13" t="s">
        <v>356</v>
      </c>
      <c r="K296" s="14" t="s">
        <v>2434</v>
      </c>
      <c r="L296" s="14" t="s">
        <v>139</v>
      </c>
      <c r="M296" s="14" t="s">
        <v>140</v>
      </c>
      <c r="N296" s="14" t="s">
        <v>2435</v>
      </c>
      <c r="O296" s="13">
        <v>8</v>
      </c>
      <c r="P296" s="61">
        <v>42000</v>
      </c>
      <c r="Q296" s="62">
        <v>80</v>
      </c>
      <c r="R296" s="13">
        <v>18</v>
      </c>
      <c r="S296" s="16">
        <v>79296</v>
      </c>
      <c r="T296" s="14" t="s">
        <v>102</v>
      </c>
      <c r="U296" s="14" t="s">
        <v>211</v>
      </c>
      <c r="V296" s="14" t="s">
        <v>155</v>
      </c>
    </row>
    <row r="297" spans="1:22" ht="15.75" customHeight="1">
      <c r="A297" s="17" t="s">
        <v>1542</v>
      </c>
      <c r="B297" s="18" t="s">
        <v>2499</v>
      </c>
      <c r="C297" s="18" t="s">
        <v>2487</v>
      </c>
      <c r="D297" s="17" t="s">
        <v>1544</v>
      </c>
      <c r="E297" s="18" t="s">
        <v>1023</v>
      </c>
      <c r="F297" s="18" t="s">
        <v>1545</v>
      </c>
      <c r="G297" s="18" t="s">
        <v>122</v>
      </c>
      <c r="H297" s="17" t="s">
        <v>122</v>
      </c>
      <c r="I297" s="17" t="s">
        <v>123</v>
      </c>
      <c r="J297" s="17" t="s">
        <v>376</v>
      </c>
      <c r="K297" s="18" t="s">
        <v>377</v>
      </c>
      <c r="L297" s="18" t="s">
        <v>112</v>
      </c>
      <c r="M297" s="18" t="s">
        <v>113</v>
      </c>
      <c r="N297" s="18" t="s">
        <v>378</v>
      </c>
      <c r="O297" s="17">
        <v>7</v>
      </c>
      <c r="P297" s="59">
        <v>8500</v>
      </c>
      <c r="Q297" s="60">
        <v>15</v>
      </c>
      <c r="R297" s="17">
        <v>18</v>
      </c>
      <c r="S297" s="19">
        <v>59678</v>
      </c>
      <c r="T297" s="18" t="s">
        <v>127</v>
      </c>
      <c r="U297" s="18" t="s">
        <v>70</v>
      </c>
      <c r="V297" s="18" t="s">
        <v>155</v>
      </c>
    </row>
    <row r="298" spans="1:22" ht="15.75" customHeight="1">
      <c r="A298" s="13" t="s">
        <v>1546</v>
      </c>
      <c r="B298" s="14" t="s">
        <v>2527</v>
      </c>
      <c r="C298" s="14" t="s">
        <v>639</v>
      </c>
      <c r="D298" s="13" t="s">
        <v>1548</v>
      </c>
      <c r="E298" s="14" t="s">
        <v>992</v>
      </c>
      <c r="F298" s="14" t="s">
        <v>1549</v>
      </c>
      <c r="G298" s="14" t="s">
        <v>485</v>
      </c>
      <c r="H298" s="13" t="s">
        <v>305</v>
      </c>
      <c r="I298" s="13" t="s">
        <v>306</v>
      </c>
      <c r="J298" s="13" t="s">
        <v>275</v>
      </c>
      <c r="K298" s="14" t="s">
        <v>2423</v>
      </c>
      <c r="L298" s="14" t="s">
        <v>99</v>
      </c>
      <c r="M298" s="14" t="s">
        <v>277</v>
      </c>
      <c r="N298" s="14" t="s">
        <v>126</v>
      </c>
      <c r="O298" s="13">
        <v>7</v>
      </c>
      <c r="P298" s="61">
        <v>35000</v>
      </c>
      <c r="Q298" s="62">
        <v>0</v>
      </c>
      <c r="R298" s="13">
        <v>18</v>
      </c>
      <c r="S298" s="16">
        <v>289100</v>
      </c>
      <c r="T298" s="14" t="s">
        <v>153</v>
      </c>
      <c r="U298" s="14" t="s">
        <v>211</v>
      </c>
      <c r="V298" s="14" t="s">
        <v>212</v>
      </c>
    </row>
    <row r="299" spans="1:22" ht="15.75" customHeight="1">
      <c r="A299" s="17" t="s">
        <v>1550</v>
      </c>
      <c r="B299" s="18" t="s">
        <v>1981</v>
      </c>
      <c r="C299" s="18" t="s">
        <v>728</v>
      </c>
      <c r="D299" s="17" t="s">
        <v>1552</v>
      </c>
      <c r="E299" s="18" t="s">
        <v>1348</v>
      </c>
      <c r="F299" s="18" t="s">
        <v>1553</v>
      </c>
      <c r="G299" s="18" t="s">
        <v>61</v>
      </c>
      <c r="H299" s="17" t="s">
        <v>62</v>
      </c>
      <c r="I299" s="17" t="s">
        <v>63</v>
      </c>
      <c r="J299" s="17" t="s">
        <v>275</v>
      </c>
      <c r="K299" s="18" t="s">
        <v>2423</v>
      </c>
      <c r="L299" s="18" t="s">
        <v>99</v>
      </c>
      <c r="M299" s="18" t="s">
        <v>277</v>
      </c>
      <c r="N299" s="18" t="s">
        <v>126</v>
      </c>
      <c r="O299" s="17">
        <v>10</v>
      </c>
      <c r="P299" s="59">
        <v>35000</v>
      </c>
      <c r="Q299" s="60">
        <v>15</v>
      </c>
      <c r="R299" s="17">
        <v>18</v>
      </c>
      <c r="S299" s="19">
        <v>351050</v>
      </c>
      <c r="T299" s="18" t="s">
        <v>465</v>
      </c>
      <c r="U299" s="18" t="s">
        <v>70</v>
      </c>
      <c r="V299" s="18" t="s">
        <v>155</v>
      </c>
    </row>
    <row r="300" spans="1:22" ht="15.75" customHeight="1">
      <c r="A300" s="13" t="s">
        <v>1554</v>
      </c>
      <c r="B300" s="14" t="s">
        <v>659</v>
      </c>
      <c r="C300" s="14" t="s">
        <v>291</v>
      </c>
      <c r="D300" s="13" t="s">
        <v>1555</v>
      </c>
      <c r="E300" s="14" t="s">
        <v>2528</v>
      </c>
      <c r="F300" s="14" t="s">
        <v>1556</v>
      </c>
      <c r="G300" s="14" t="s">
        <v>2422</v>
      </c>
      <c r="H300" s="13" t="s">
        <v>96</v>
      </c>
      <c r="I300" s="13" t="s">
        <v>63</v>
      </c>
      <c r="J300" s="13" t="s">
        <v>124</v>
      </c>
      <c r="K300" s="14" t="s">
        <v>125</v>
      </c>
      <c r="L300" s="14" t="s">
        <v>99</v>
      </c>
      <c r="M300" s="14" t="s">
        <v>100</v>
      </c>
      <c r="N300" s="14" t="s">
        <v>126</v>
      </c>
      <c r="O300" s="13">
        <v>5</v>
      </c>
      <c r="P300" s="61">
        <v>14000</v>
      </c>
      <c r="Q300" s="62">
        <v>12</v>
      </c>
      <c r="R300" s="13">
        <v>18</v>
      </c>
      <c r="S300" s="16">
        <v>72688</v>
      </c>
      <c r="T300" s="14" t="s">
        <v>102</v>
      </c>
      <c r="U300" s="14" t="s">
        <v>143</v>
      </c>
      <c r="V300" s="14" t="s">
        <v>212</v>
      </c>
    </row>
    <row r="301" spans="1:22" ht="15.75" customHeight="1">
      <c r="A301" s="17" t="s">
        <v>1557</v>
      </c>
      <c r="B301" s="18" t="s">
        <v>308</v>
      </c>
      <c r="C301" s="18" t="s">
        <v>2465</v>
      </c>
      <c r="D301" s="17" t="s">
        <v>1559</v>
      </c>
      <c r="E301" s="18" t="s">
        <v>971</v>
      </c>
      <c r="F301" s="18" t="s">
        <v>1560</v>
      </c>
      <c r="G301" s="18" t="s">
        <v>172</v>
      </c>
      <c r="H301" s="17" t="s">
        <v>96</v>
      </c>
      <c r="I301" s="17" t="s">
        <v>63</v>
      </c>
      <c r="J301" s="17" t="s">
        <v>347</v>
      </c>
      <c r="K301" s="18" t="s">
        <v>348</v>
      </c>
      <c r="L301" s="18" t="s">
        <v>139</v>
      </c>
      <c r="M301" s="18" t="s">
        <v>349</v>
      </c>
      <c r="N301" s="18" t="s">
        <v>350</v>
      </c>
      <c r="O301" s="17">
        <v>1</v>
      </c>
      <c r="P301" s="59">
        <v>3200</v>
      </c>
      <c r="Q301" s="60">
        <v>25</v>
      </c>
      <c r="R301" s="17">
        <v>18</v>
      </c>
      <c r="S301" s="19">
        <v>2832</v>
      </c>
      <c r="T301" s="18" t="s">
        <v>465</v>
      </c>
      <c r="U301" s="18" t="s">
        <v>211</v>
      </c>
      <c r="V301" s="18" t="s">
        <v>155</v>
      </c>
    </row>
    <row r="302" spans="1:22" ht="15.75" customHeight="1">
      <c r="A302" s="13" t="s">
        <v>1561</v>
      </c>
      <c r="B302" s="14" t="s">
        <v>546</v>
      </c>
      <c r="C302" s="14" t="s">
        <v>2417</v>
      </c>
      <c r="D302" s="13" t="s">
        <v>1562</v>
      </c>
      <c r="E302" s="14" t="s">
        <v>1223</v>
      </c>
      <c r="F302" s="14" t="s">
        <v>1563</v>
      </c>
      <c r="G302" s="14" t="s">
        <v>61</v>
      </c>
      <c r="H302" s="13" t="s">
        <v>62</v>
      </c>
      <c r="I302" s="13" t="s">
        <v>63</v>
      </c>
      <c r="J302" s="13" t="s">
        <v>275</v>
      </c>
      <c r="K302" s="14" t="s">
        <v>2423</v>
      </c>
      <c r="L302" s="14" t="s">
        <v>99</v>
      </c>
      <c r="M302" s="14" t="s">
        <v>277</v>
      </c>
      <c r="N302" s="14" t="s">
        <v>126</v>
      </c>
      <c r="O302" s="13">
        <v>2</v>
      </c>
      <c r="P302" s="61">
        <v>35000</v>
      </c>
      <c r="Q302" s="62">
        <v>10</v>
      </c>
      <c r="R302" s="13">
        <v>18</v>
      </c>
      <c r="S302" s="16">
        <v>74340</v>
      </c>
      <c r="T302" s="14" t="s">
        <v>153</v>
      </c>
      <c r="U302" s="14" t="s">
        <v>70</v>
      </c>
      <c r="V302" s="14" t="s">
        <v>155</v>
      </c>
    </row>
    <row r="303" spans="1:22" ht="15.75" customHeight="1">
      <c r="A303" s="17" t="s">
        <v>1564</v>
      </c>
      <c r="B303" s="18" t="s">
        <v>2431</v>
      </c>
      <c r="C303" s="18" t="s">
        <v>482</v>
      </c>
      <c r="D303" s="17" t="s">
        <v>1566</v>
      </c>
      <c r="E303" s="18" t="s">
        <v>966</v>
      </c>
      <c r="F303" s="18" t="s">
        <v>1567</v>
      </c>
      <c r="G303" s="18" t="s">
        <v>439</v>
      </c>
      <c r="H303" s="17" t="s">
        <v>364</v>
      </c>
      <c r="I303" s="17" t="s">
        <v>63</v>
      </c>
      <c r="J303" s="17" t="s">
        <v>97</v>
      </c>
      <c r="K303" s="18" t="s">
        <v>2395</v>
      </c>
      <c r="L303" s="18" t="s">
        <v>99</v>
      </c>
      <c r="M303" s="18" t="s">
        <v>100</v>
      </c>
      <c r="N303" s="18" t="s">
        <v>2396</v>
      </c>
      <c r="O303" s="17">
        <v>1</v>
      </c>
      <c r="P303" s="59">
        <v>28000</v>
      </c>
      <c r="Q303" s="60">
        <v>20</v>
      </c>
      <c r="R303" s="17">
        <v>18</v>
      </c>
      <c r="S303" s="19">
        <v>26432</v>
      </c>
      <c r="T303" s="18" t="s">
        <v>465</v>
      </c>
      <c r="U303" s="18" t="s">
        <v>211</v>
      </c>
      <c r="V303" s="18" t="s">
        <v>212</v>
      </c>
    </row>
    <row r="304" spans="1:22" ht="15.75" customHeight="1">
      <c r="A304" s="13" t="s">
        <v>1568</v>
      </c>
      <c r="B304" s="14" t="s">
        <v>2387</v>
      </c>
      <c r="C304" s="14" t="s">
        <v>2421</v>
      </c>
      <c r="D304" s="13" t="s">
        <v>1569</v>
      </c>
      <c r="E304" s="14" t="s">
        <v>1570</v>
      </c>
      <c r="F304" s="14" t="s">
        <v>1571</v>
      </c>
      <c r="G304" s="14" t="s">
        <v>341</v>
      </c>
      <c r="H304" s="13" t="s">
        <v>62</v>
      </c>
      <c r="I304" s="13" t="s">
        <v>63</v>
      </c>
      <c r="J304" s="13" t="s">
        <v>110</v>
      </c>
      <c r="K304" s="14" t="s">
        <v>111</v>
      </c>
      <c r="L304" s="14" t="s">
        <v>112</v>
      </c>
      <c r="M304" s="14" t="s">
        <v>113</v>
      </c>
      <c r="N304" s="14" t="s">
        <v>114</v>
      </c>
      <c r="O304" s="13">
        <v>4</v>
      </c>
      <c r="P304" s="61">
        <v>3500</v>
      </c>
      <c r="Q304" s="62">
        <v>25</v>
      </c>
      <c r="R304" s="13">
        <v>18</v>
      </c>
      <c r="S304" s="16">
        <v>12390</v>
      </c>
      <c r="T304" s="14" t="s">
        <v>465</v>
      </c>
      <c r="U304" s="14" t="s">
        <v>211</v>
      </c>
      <c r="V304" s="14" t="s">
        <v>155</v>
      </c>
    </row>
    <row r="305" spans="1:22" ht="15.75" customHeight="1">
      <c r="A305" s="17" t="s">
        <v>1572</v>
      </c>
      <c r="B305" s="18" t="s">
        <v>157</v>
      </c>
      <c r="C305" s="18" t="s">
        <v>2432</v>
      </c>
      <c r="D305" s="17" t="s">
        <v>1574</v>
      </c>
      <c r="E305" s="18" t="s">
        <v>345</v>
      </c>
      <c r="F305" s="18" t="s">
        <v>1575</v>
      </c>
      <c r="G305" s="18" t="s">
        <v>439</v>
      </c>
      <c r="H305" s="17" t="s">
        <v>364</v>
      </c>
      <c r="I305" s="17" t="s">
        <v>63</v>
      </c>
      <c r="J305" s="17" t="s">
        <v>124</v>
      </c>
      <c r="K305" s="18" t="s">
        <v>125</v>
      </c>
      <c r="L305" s="18" t="s">
        <v>99</v>
      </c>
      <c r="M305" s="18" t="s">
        <v>100</v>
      </c>
      <c r="N305" s="18" t="s">
        <v>126</v>
      </c>
      <c r="O305" s="17">
        <v>3</v>
      </c>
      <c r="P305" s="59">
        <v>14000</v>
      </c>
      <c r="Q305" s="60">
        <v>20</v>
      </c>
      <c r="R305" s="17">
        <v>18</v>
      </c>
      <c r="S305" s="19">
        <v>39648</v>
      </c>
      <c r="T305" s="18" t="s">
        <v>413</v>
      </c>
      <c r="U305" s="18" t="s">
        <v>143</v>
      </c>
      <c r="V305" s="18" t="s">
        <v>155</v>
      </c>
    </row>
    <row r="306" spans="1:22" ht="15.75" customHeight="1">
      <c r="A306" s="13" t="s">
        <v>1576</v>
      </c>
      <c r="B306" s="14" t="s">
        <v>2390</v>
      </c>
      <c r="C306" s="14" t="s">
        <v>2487</v>
      </c>
      <c r="D306" s="13" t="s">
        <v>1578</v>
      </c>
      <c r="E306" s="14" t="s">
        <v>1579</v>
      </c>
      <c r="F306" s="14" t="s">
        <v>1580</v>
      </c>
      <c r="G306" s="14" t="s">
        <v>248</v>
      </c>
      <c r="H306" s="13" t="s">
        <v>249</v>
      </c>
      <c r="I306" s="13" t="s">
        <v>123</v>
      </c>
      <c r="J306" s="13" t="s">
        <v>347</v>
      </c>
      <c r="K306" s="14" t="s">
        <v>348</v>
      </c>
      <c r="L306" s="14" t="s">
        <v>139</v>
      </c>
      <c r="M306" s="14" t="s">
        <v>349</v>
      </c>
      <c r="N306" s="14" t="s">
        <v>350</v>
      </c>
      <c r="O306" s="13">
        <v>1</v>
      </c>
      <c r="P306" s="61">
        <v>3200</v>
      </c>
      <c r="Q306" s="62">
        <v>10</v>
      </c>
      <c r="R306" s="13">
        <v>18</v>
      </c>
      <c r="S306" s="16">
        <v>3398</v>
      </c>
      <c r="T306" s="14" t="s">
        <v>465</v>
      </c>
      <c r="U306" s="14" t="s">
        <v>211</v>
      </c>
      <c r="V306" s="14" t="s">
        <v>155</v>
      </c>
    </row>
    <row r="307" spans="1:22" ht="15.75" customHeight="1">
      <c r="A307" s="17" t="s">
        <v>1581</v>
      </c>
      <c r="B307" s="18" t="s">
        <v>2508</v>
      </c>
      <c r="C307" s="18" t="s">
        <v>2450</v>
      </c>
      <c r="D307" s="17" t="s">
        <v>1583</v>
      </c>
      <c r="E307" s="18" t="s">
        <v>1584</v>
      </c>
      <c r="F307" s="18" t="s">
        <v>1585</v>
      </c>
      <c r="G307" s="18" t="s">
        <v>95</v>
      </c>
      <c r="H307" s="17" t="s">
        <v>96</v>
      </c>
      <c r="I307" s="17" t="s">
        <v>63</v>
      </c>
      <c r="J307" s="17" t="s">
        <v>97</v>
      </c>
      <c r="K307" s="18" t="s">
        <v>2395</v>
      </c>
      <c r="L307" s="18" t="s">
        <v>99</v>
      </c>
      <c r="M307" s="18" t="s">
        <v>100</v>
      </c>
      <c r="N307" s="18" t="s">
        <v>2396</v>
      </c>
      <c r="O307" s="17">
        <v>1</v>
      </c>
      <c r="P307" s="59">
        <v>28000</v>
      </c>
      <c r="Q307" s="60">
        <v>8</v>
      </c>
      <c r="R307" s="17">
        <v>18</v>
      </c>
      <c r="S307" s="19">
        <v>30397</v>
      </c>
      <c r="T307" s="18" t="s">
        <v>465</v>
      </c>
      <c r="U307" s="18" t="s">
        <v>184</v>
      </c>
      <c r="V307" s="18" t="s">
        <v>212</v>
      </c>
    </row>
    <row r="308" spans="1:22" ht="15.75" customHeight="1">
      <c r="A308" s="13" t="s">
        <v>1586</v>
      </c>
      <c r="B308" s="14" t="s">
        <v>2521</v>
      </c>
      <c r="C308" s="14" t="s">
        <v>74</v>
      </c>
      <c r="D308" s="13" t="s">
        <v>1588</v>
      </c>
      <c r="E308" s="14" t="s">
        <v>1589</v>
      </c>
      <c r="F308" s="14" t="s">
        <v>1590</v>
      </c>
      <c r="G308" s="14" t="s">
        <v>151</v>
      </c>
      <c r="H308" s="13" t="s">
        <v>152</v>
      </c>
      <c r="I308" s="13" t="s">
        <v>80</v>
      </c>
      <c r="J308" s="13" t="s">
        <v>64</v>
      </c>
      <c r="K308" s="14" t="s">
        <v>2389</v>
      </c>
      <c r="L308" s="14" t="s">
        <v>66</v>
      </c>
      <c r="M308" s="14" t="s">
        <v>67</v>
      </c>
      <c r="N308" s="14" t="s">
        <v>68</v>
      </c>
      <c r="O308" s="13">
        <v>10</v>
      </c>
      <c r="P308" s="61">
        <v>450</v>
      </c>
      <c r="Q308" s="62">
        <v>8</v>
      </c>
      <c r="R308" s="13">
        <v>5</v>
      </c>
      <c r="S308" s="16">
        <v>4347</v>
      </c>
      <c r="T308" s="14" t="s">
        <v>465</v>
      </c>
      <c r="U308" s="14" t="s">
        <v>211</v>
      </c>
      <c r="V308" s="14" t="s">
        <v>212</v>
      </c>
    </row>
    <row r="309" spans="1:22" ht="15.75" customHeight="1">
      <c r="A309" s="17" t="s">
        <v>1591</v>
      </c>
      <c r="B309" s="18" t="s">
        <v>2513</v>
      </c>
      <c r="C309" s="18" t="s">
        <v>131</v>
      </c>
      <c r="D309" s="17" t="s">
        <v>1592</v>
      </c>
      <c r="E309" s="18" t="s">
        <v>387</v>
      </c>
      <c r="F309" s="18" t="s">
        <v>1593</v>
      </c>
      <c r="G309" s="18" t="s">
        <v>248</v>
      </c>
      <c r="H309" s="17" t="s">
        <v>249</v>
      </c>
      <c r="I309" s="17" t="s">
        <v>123</v>
      </c>
      <c r="J309" s="17" t="s">
        <v>295</v>
      </c>
      <c r="K309" s="18" t="s">
        <v>2425</v>
      </c>
      <c r="L309" s="18" t="s">
        <v>66</v>
      </c>
      <c r="M309" s="18" t="s">
        <v>297</v>
      </c>
      <c r="N309" s="18" t="s">
        <v>298</v>
      </c>
      <c r="O309" s="17">
        <v>8</v>
      </c>
      <c r="P309" s="59">
        <v>280</v>
      </c>
      <c r="Q309" s="60">
        <v>5</v>
      </c>
      <c r="R309" s="17">
        <v>5</v>
      </c>
      <c r="S309" s="19">
        <v>2234</v>
      </c>
      <c r="T309" s="18" t="s">
        <v>153</v>
      </c>
      <c r="U309" s="18" t="s">
        <v>211</v>
      </c>
      <c r="V309" s="18" t="s">
        <v>155</v>
      </c>
    </row>
    <row r="310" spans="1:22" ht="15.75" customHeight="1">
      <c r="A310" s="13" t="s">
        <v>1594</v>
      </c>
      <c r="B310" s="14" t="s">
        <v>1254</v>
      </c>
      <c r="C310" s="14" t="s">
        <v>712</v>
      </c>
      <c r="D310" s="13" t="s">
        <v>1596</v>
      </c>
      <c r="E310" s="14" t="s">
        <v>1053</v>
      </c>
      <c r="F310" s="14" t="s">
        <v>1597</v>
      </c>
      <c r="G310" s="14" t="s">
        <v>78</v>
      </c>
      <c r="H310" s="13" t="s">
        <v>79</v>
      </c>
      <c r="I310" s="13" t="s">
        <v>80</v>
      </c>
      <c r="J310" s="13" t="s">
        <v>295</v>
      </c>
      <c r="K310" s="14" t="s">
        <v>2425</v>
      </c>
      <c r="L310" s="14" t="s">
        <v>66</v>
      </c>
      <c r="M310" s="14" t="s">
        <v>297</v>
      </c>
      <c r="N310" s="14" t="s">
        <v>298</v>
      </c>
      <c r="O310" s="13">
        <v>4</v>
      </c>
      <c r="P310" s="61">
        <v>280</v>
      </c>
      <c r="Q310" s="62">
        <v>20</v>
      </c>
      <c r="R310" s="13">
        <v>5</v>
      </c>
      <c r="S310" s="16">
        <v>941</v>
      </c>
      <c r="T310" s="14" t="s">
        <v>153</v>
      </c>
      <c r="U310" s="14" t="s">
        <v>143</v>
      </c>
      <c r="V310" s="14" t="s">
        <v>155</v>
      </c>
    </row>
    <row r="311" spans="1:22" ht="15.75" customHeight="1">
      <c r="A311" s="17" t="s">
        <v>1598</v>
      </c>
      <c r="B311" s="18" t="s">
        <v>403</v>
      </c>
      <c r="C311" s="18" t="s">
        <v>2415</v>
      </c>
      <c r="D311" s="17" t="s">
        <v>1599</v>
      </c>
      <c r="E311" s="18" t="s">
        <v>246</v>
      </c>
      <c r="F311" s="18" t="s">
        <v>1600</v>
      </c>
      <c r="G311" s="18" t="s">
        <v>248</v>
      </c>
      <c r="H311" s="17" t="s">
        <v>249</v>
      </c>
      <c r="I311" s="17" t="s">
        <v>123</v>
      </c>
      <c r="J311" s="17" t="s">
        <v>97</v>
      </c>
      <c r="K311" s="18" t="s">
        <v>2395</v>
      </c>
      <c r="L311" s="18" t="s">
        <v>99</v>
      </c>
      <c r="M311" s="18" t="s">
        <v>100</v>
      </c>
      <c r="N311" s="18" t="s">
        <v>2396</v>
      </c>
      <c r="O311" s="17">
        <v>1</v>
      </c>
      <c r="P311" s="59">
        <v>28000</v>
      </c>
      <c r="Q311" s="60">
        <v>5</v>
      </c>
      <c r="R311" s="17">
        <v>18</v>
      </c>
      <c r="S311" s="19">
        <v>31388</v>
      </c>
      <c r="T311" s="18" t="s">
        <v>153</v>
      </c>
      <c r="U311" s="18" t="s">
        <v>288</v>
      </c>
      <c r="V311" s="18" t="s">
        <v>155</v>
      </c>
    </row>
    <row r="312" spans="1:22" ht="15.75" customHeight="1">
      <c r="A312" s="13" t="s">
        <v>1601</v>
      </c>
      <c r="B312" s="14" t="s">
        <v>2416</v>
      </c>
      <c r="C312" s="14" t="s">
        <v>74</v>
      </c>
      <c r="D312" s="13" t="s">
        <v>1602</v>
      </c>
      <c r="E312" s="14" t="s">
        <v>1603</v>
      </c>
      <c r="F312" s="14" t="s">
        <v>1604</v>
      </c>
      <c r="G312" s="14" t="s">
        <v>78</v>
      </c>
      <c r="H312" s="13" t="s">
        <v>79</v>
      </c>
      <c r="I312" s="13" t="s">
        <v>80</v>
      </c>
      <c r="J312" s="13" t="s">
        <v>81</v>
      </c>
      <c r="K312" s="14" t="s">
        <v>82</v>
      </c>
      <c r="L312" s="14" t="s">
        <v>83</v>
      </c>
      <c r="M312" s="14" t="s">
        <v>84</v>
      </c>
      <c r="N312" s="14" t="s">
        <v>85</v>
      </c>
      <c r="O312" s="13">
        <v>1</v>
      </c>
      <c r="P312" s="61">
        <v>25000</v>
      </c>
      <c r="Q312" s="62">
        <v>20</v>
      </c>
      <c r="R312" s="13">
        <v>3</v>
      </c>
      <c r="S312" s="16">
        <v>20600</v>
      </c>
      <c r="T312" s="14" t="s">
        <v>465</v>
      </c>
      <c r="U312" s="14" t="s">
        <v>211</v>
      </c>
      <c r="V312" s="14" t="s">
        <v>212</v>
      </c>
    </row>
    <row r="313" spans="1:22" ht="15.75" customHeight="1">
      <c r="A313" s="17" t="s">
        <v>1605</v>
      </c>
      <c r="B313" s="18" t="s">
        <v>2494</v>
      </c>
      <c r="C313" s="18" t="s">
        <v>2450</v>
      </c>
      <c r="D313" s="17" t="s">
        <v>1606</v>
      </c>
      <c r="E313" s="18" t="s">
        <v>838</v>
      </c>
      <c r="F313" s="18" t="s">
        <v>1607</v>
      </c>
      <c r="G313" s="18" t="s">
        <v>341</v>
      </c>
      <c r="H313" s="17" t="s">
        <v>62</v>
      </c>
      <c r="I313" s="17" t="s">
        <v>63</v>
      </c>
      <c r="J313" s="17" t="s">
        <v>97</v>
      </c>
      <c r="K313" s="18" t="s">
        <v>2395</v>
      </c>
      <c r="L313" s="18" t="s">
        <v>99</v>
      </c>
      <c r="M313" s="18" t="s">
        <v>100</v>
      </c>
      <c r="N313" s="18" t="s">
        <v>2396</v>
      </c>
      <c r="O313" s="17">
        <v>7</v>
      </c>
      <c r="P313" s="59">
        <v>28000</v>
      </c>
      <c r="Q313" s="60">
        <v>8</v>
      </c>
      <c r="R313" s="17">
        <v>18</v>
      </c>
      <c r="S313" s="19">
        <v>212778</v>
      </c>
      <c r="T313" s="18" t="s">
        <v>102</v>
      </c>
      <c r="U313" s="18" t="s">
        <v>211</v>
      </c>
      <c r="V313" s="18" t="s">
        <v>155</v>
      </c>
    </row>
    <row r="314" spans="1:22" ht="15.75" customHeight="1">
      <c r="A314" s="13" t="s">
        <v>1608</v>
      </c>
      <c r="B314" s="14" t="s">
        <v>1012</v>
      </c>
      <c r="C314" s="14" t="s">
        <v>2465</v>
      </c>
      <c r="D314" s="13" t="s">
        <v>1610</v>
      </c>
      <c r="E314" s="14" t="s">
        <v>1150</v>
      </c>
      <c r="F314" s="14" t="s">
        <v>1611</v>
      </c>
      <c r="G314" s="14" t="s">
        <v>2422</v>
      </c>
      <c r="H314" s="13" t="s">
        <v>96</v>
      </c>
      <c r="I314" s="13" t="s">
        <v>63</v>
      </c>
      <c r="J314" s="13" t="s">
        <v>389</v>
      </c>
      <c r="K314" s="14" t="s">
        <v>390</v>
      </c>
      <c r="L314" s="14" t="s">
        <v>99</v>
      </c>
      <c r="M314" s="14" t="s">
        <v>164</v>
      </c>
      <c r="N314" s="14" t="s">
        <v>391</v>
      </c>
      <c r="O314" s="13">
        <v>10</v>
      </c>
      <c r="P314" s="61">
        <v>1500</v>
      </c>
      <c r="Q314" s="62">
        <v>20</v>
      </c>
      <c r="R314" s="13">
        <v>18</v>
      </c>
      <c r="S314" s="16">
        <v>14160</v>
      </c>
      <c r="T314" s="14" t="s">
        <v>465</v>
      </c>
      <c r="U314" s="14" t="s">
        <v>184</v>
      </c>
      <c r="V314" s="14" t="s">
        <v>155</v>
      </c>
    </row>
    <row r="315" spans="1:22" ht="15.75" customHeight="1">
      <c r="A315" s="17" t="s">
        <v>1613</v>
      </c>
      <c r="B315" s="18" t="s">
        <v>1395</v>
      </c>
      <c r="C315" s="18" t="s">
        <v>2398</v>
      </c>
      <c r="D315" s="17" t="s">
        <v>1614</v>
      </c>
      <c r="E315" s="18" t="s">
        <v>1615</v>
      </c>
      <c r="F315" s="18" t="s">
        <v>1616</v>
      </c>
      <c r="G315" s="18" t="s">
        <v>228</v>
      </c>
      <c r="H315" s="17" t="s">
        <v>152</v>
      </c>
      <c r="I315" s="17" t="s">
        <v>80</v>
      </c>
      <c r="J315" s="17" t="s">
        <v>491</v>
      </c>
      <c r="K315" s="18" t="s">
        <v>492</v>
      </c>
      <c r="L315" s="18" t="s">
        <v>112</v>
      </c>
      <c r="M315" s="18" t="s">
        <v>493</v>
      </c>
      <c r="N315" s="18" t="s">
        <v>494</v>
      </c>
      <c r="O315" s="17">
        <v>9</v>
      </c>
      <c r="P315" s="59">
        <v>4500</v>
      </c>
      <c r="Q315" s="60">
        <v>20</v>
      </c>
      <c r="R315" s="17">
        <v>5</v>
      </c>
      <c r="S315" s="19">
        <v>34020</v>
      </c>
      <c r="T315" s="18" t="s">
        <v>413</v>
      </c>
      <c r="U315" s="18" t="s">
        <v>211</v>
      </c>
      <c r="V315" s="18" t="s">
        <v>212</v>
      </c>
    </row>
    <row r="316" spans="1:22" ht="15.75" customHeight="1">
      <c r="A316" s="13" t="s">
        <v>1617</v>
      </c>
      <c r="B316" s="14" t="s">
        <v>360</v>
      </c>
      <c r="C316" s="14" t="s">
        <v>712</v>
      </c>
      <c r="D316" s="13" t="s">
        <v>1619</v>
      </c>
      <c r="E316" s="14" t="s">
        <v>714</v>
      </c>
      <c r="F316" s="14" t="s">
        <v>1620</v>
      </c>
      <c r="G316" s="14" t="s">
        <v>485</v>
      </c>
      <c r="H316" s="13" t="s">
        <v>305</v>
      </c>
      <c r="I316" s="13" t="s">
        <v>306</v>
      </c>
      <c r="J316" s="13" t="s">
        <v>365</v>
      </c>
      <c r="K316" s="14" t="s">
        <v>366</v>
      </c>
      <c r="L316" s="14" t="s">
        <v>112</v>
      </c>
      <c r="M316" s="14" t="s">
        <v>367</v>
      </c>
      <c r="N316" s="14" t="s">
        <v>368</v>
      </c>
      <c r="O316" s="13">
        <v>1</v>
      </c>
      <c r="P316" s="61">
        <v>3500</v>
      </c>
      <c r="Q316" s="62">
        <v>10</v>
      </c>
      <c r="R316" s="13">
        <v>5</v>
      </c>
      <c r="S316" s="16">
        <v>3308</v>
      </c>
      <c r="T316" s="14" t="s">
        <v>115</v>
      </c>
      <c r="U316" s="14" t="s">
        <v>211</v>
      </c>
      <c r="V316" s="14" t="s">
        <v>155</v>
      </c>
    </row>
    <row r="317" spans="1:22" ht="15.75" customHeight="1">
      <c r="A317" s="17" t="s">
        <v>1621</v>
      </c>
      <c r="B317" s="18" t="s">
        <v>2426</v>
      </c>
      <c r="C317" s="18" t="s">
        <v>2428</v>
      </c>
      <c r="D317" s="17" t="s">
        <v>1623</v>
      </c>
      <c r="E317" s="18" t="s">
        <v>1624</v>
      </c>
      <c r="F317" s="18" t="s">
        <v>1625</v>
      </c>
      <c r="G317" s="18" t="s">
        <v>333</v>
      </c>
      <c r="H317" s="17" t="s">
        <v>334</v>
      </c>
      <c r="I317" s="17" t="s">
        <v>63</v>
      </c>
      <c r="J317" s="17" t="s">
        <v>356</v>
      </c>
      <c r="K317" s="18" t="s">
        <v>2434</v>
      </c>
      <c r="L317" s="18" t="s">
        <v>139</v>
      </c>
      <c r="M317" s="18" t="s">
        <v>140</v>
      </c>
      <c r="N317" s="18" t="s">
        <v>2435</v>
      </c>
      <c r="O317" s="17">
        <v>7</v>
      </c>
      <c r="P317" s="59">
        <v>42000</v>
      </c>
      <c r="Q317" s="60">
        <v>0</v>
      </c>
      <c r="R317" s="17">
        <v>18</v>
      </c>
      <c r="S317" s="19">
        <v>346920</v>
      </c>
      <c r="T317" s="18" t="s">
        <v>102</v>
      </c>
      <c r="U317" s="18" t="s">
        <v>143</v>
      </c>
      <c r="V317" s="18" t="s">
        <v>212</v>
      </c>
    </row>
    <row r="318" spans="1:22" ht="15.75" customHeight="1">
      <c r="A318" s="13" t="s">
        <v>1626</v>
      </c>
      <c r="B318" s="14" t="s">
        <v>2011</v>
      </c>
      <c r="C318" s="14" t="s">
        <v>2450</v>
      </c>
      <c r="D318" s="13" t="s">
        <v>1627</v>
      </c>
      <c r="E318" s="14" t="s">
        <v>1584</v>
      </c>
      <c r="F318" s="14" t="s">
        <v>1628</v>
      </c>
      <c r="G318" s="14" t="s">
        <v>95</v>
      </c>
      <c r="H318" s="13" t="s">
        <v>96</v>
      </c>
      <c r="I318" s="13" t="s">
        <v>63</v>
      </c>
      <c r="J318" s="13" t="s">
        <v>491</v>
      </c>
      <c r="K318" s="14" t="s">
        <v>492</v>
      </c>
      <c r="L318" s="14" t="s">
        <v>112</v>
      </c>
      <c r="M318" s="14" t="s">
        <v>493</v>
      </c>
      <c r="N318" s="14" t="s">
        <v>494</v>
      </c>
      <c r="O318" s="13">
        <v>3</v>
      </c>
      <c r="P318" s="61">
        <v>4500</v>
      </c>
      <c r="Q318" s="62">
        <v>25</v>
      </c>
      <c r="R318" s="13">
        <v>5</v>
      </c>
      <c r="S318" s="16">
        <v>10631</v>
      </c>
      <c r="T318" s="14" t="s">
        <v>413</v>
      </c>
      <c r="U318" s="14" t="s">
        <v>211</v>
      </c>
      <c r="V318" s="14" t="s">
        <v>155</v>
      </c>
    </row>
    <row r="319" spans="1:22" ht="15.75" customHeight="1">
      <c r="A319" s="17" t="s">
        <v>1629</v>
      </c>
      <c r="B319" s="18" t="s">
        <v>582</v>
      </c>
      <c r="C319" s="18" t="s">
        <v>2404</v>
      </c>
      <c r="D319" s="17" t="s">
        <v>1630</v>
      </c>
      <c r="E319" s="18" t="s">
        <v>400</v>
      </c>
      <c r="F319" s="18" t="s">
        <v>1631</v>
      </c>
      <c r="G319" s="18" t="s">
        <v>122</v>
      </c>
      <c r="H319" s="17" t="s">
        <v>122</v>
      </c>
      <c r="I319" s="17" t="s">
        <v>123</v>
      </c>
      <c r="J319" s="17" t="s">
        <v>420</v>
      </c>
      <c r="K319" s="18" t="s">
        <v>2445</v>
      </c>
      <c r="L319" s="18" t="s">
        <v>112</v>
      </c>
      <c r="M319" s="18" t="s">
        <v>422</v>
      </c>
      <c r="N319" s="18" t="s">
        <v>2446</v>
      </c>
      <c r="O319" s="17">
        <v>1</v>
      </c>
      <c r="P319" s="59">
        <v>4800</v>
      </c>
      <c r="Q319" s="60">
        <v>20</v>
      </c>
      <c r="R319" s="17">
        <v>18</v>
      </c>
      <c r="S319" s="19">
        <v>4531</v>
      </c>
      <c r="T319" s="18" t="s">
        <v>115</v>
      </c>
      <c r="U319" s="18" t="s">
        <v>211</v>
      </c>
      <c r="V319" s="18" t="s">
        <v>155</v>
      </c>
    </row>
    <row r="320" spans="1:22" ht="15.75" customHeight="1">
      <c r="A320" s="13" t="s">
        <v>1632</v>
      </c>
      <c r="B320" s="14" t="s">
        <v>2515</v>
      </c>
      <c r="C320" s="14" t="s">
        <v>2430</v>
      </c>
      <c r="D320" s="13" t="s">
        <v>1634</v>
      </c>
      <c r="E320" s="14" t="s">
        <v>612</v>
      </c>
      <c r="F320" s="14" t="s">
        <v>1635</v>
      </c>
      <c r="G320" s="14" t="s">
        <v>95</v>
      </c>
      <c r="H320" s="13" t="s">
        <v>96</v>
      </c>
      <c r="I320" s="13" t="s">
        <v>63</v>
      </c>
      <c r="J320" s="13" t="s">
        <v>365</v>
      </c>
      <c r="K320" s="14" t="s">
        <v>366</v>
      </c>
      <c r="L320" s="14" t="s">
        <v>112</v>
      </c>
      <c r="M320" s="14" t="s">
        <v>367</v>
      </c>
      <c r="N320" s="14" t="s">
        <v>368</v>
      </c>
      <c r="O320" s="13">
        <v>4</v>
      </c>
      <c r="P320" s="61">
        <v>3500</v>
      </c>
      <c r="Q320" s="62">
        <v>80</v>
      </c>
      <c r="R320" s="13">
        <v>5</v>
      </c>
      <c r="S320" s="16">
        <v>2940</v>
      </c>
      <c r="T320" s="14" t="s">
        <v>102</v>
      </c>
      <c r="U320" s="14" t="s">
        <v>143</v>
      </c>
      <c r="V320" s="14" t="s">
        <v>155</v>
      </c>
    </row>
    <row r="321" spans="1:22" ht="15.75" customHeight="1">
      <c r="A321" s="17" t="s">
        <v>1636</v>
      </c>
      <c r="B321" s="18" t="s">
        <v>2494</v>
      </c>
      <c r="C321" s="18" t="s">
        <v>2465</v>
      </c>
      <c r="D321" s="17" t="s">
        <v>1638</v>
      </c>
      <c r="E321" s="18" t="s">
        <v>798</v>
      </c>
      <c r="F321" s="18" t="s">
        <v>1639</v>
      </c>
      <c r="G321" s="18" t="s">
        <v>439</v>
      </c>
      <c r="H321" s="17" t="s">
        <v>364</v>
      </c>
      <c r="I321" s="17" t="s">
        <v>63</v>
      </c>
      <c r="J321" s="17" t="s">
        <v>124</v>
      </c>
      <c r="K321" s="18" t="s">
        <v>125</v>
      </c>
      <c r="L321" s="18" t="s">
        <v>99</v>
      </c>
      <c r="M321" s="18" t="s">
        <v>100</v>
      </c>
      <c r="N321" s="18" t="s">
        <v>126</v>
      </c>
      <c r="O321" s="17">
        <v>4</v>
      </c>
      <c r="P321" s="17">
        <v>0</v>
      </c>
      <c r="Q321" s="60">
        <v>0</v>
      </c>
      <c r="R321" s="17">
        <v>18</v>
      </c>
      <c r="S321" s="19">
        <v>0</v>
      </c>
      <c r="T321" s="18" t="s">
        <v>127</v>
      </c>
      <c r="U321" s="18" t="s">
        <v>70</v>
      </c>
      <c r="V321" s="18" t="s">
        <v>155</v>
      </c>
    </row>
    <row r="322" spans="1:22" ht="15.75" customHeight="1">
      <c r="A322" s="13" t="s">
        <v>1640</v>
      </c>
      <c r="B322" s="14" t="s">
        <v>2399</v>
      </c>
      <c r="C322" s="14" t="s">
        <v>416</v>
      </c>
      <c r="D322" s="13" t="s">
        <v>1642</v>
      </c>
      <c r="E322" s="14" t="s">
        <v>1256</v>
      </c>
      <c r="F322" s="14" t="s">
        <v>1643</v>
      </c>
      <c r="G322" s="14" t="s">
        <v>2422</v>
      </c>
      <c r="H322" s="13" t="s">
        <v>96</v>
      </c>
      <c r="I322" s="13" t="s">
        <v>63</v>
      </c>
      <c r="J322" s="13" t="s">
        <v>477</v>
      </c>
      <c r="K322" s="14" t="s">
        <v>478</v>
      </c>
      <c r="L322" s="14" t="s">
        <v>139</v>
      </c>
      <c r="M322" s="14" t="s">
        <v>349</v>
      </c>
      <c r="N322" s="14" t="s">
        <v>479</v>
      </c>
      <c r="O322" s="13">
        <v>3</v>
      </c>
      <c r="P322" s="61">
        <v>2200</v>
      </c>
      <c r="Q322" s="62">
        <v>25</v>
      </c>
      <c r="R322" s="13">
        <v>12</v>
      </c>
      <c r="S322" s="16">
        <v>5544</v>
      </c>
      <c r="T322" s="14" t="s">
        <v>115</v>
      </c>
      <c r="U322" s="14" t="s">
        <v>211</v>
      </c>
      <c r="V322" s="14" t="s">
        <v>212</v>
      </c>
    </row>
    <row r="323" spans="1:22" ht="15.75" customHeight="1">
      <c r="A323" s="17" t="s">
        <v>1644</v>
      </c>
      <c r="B323" s="18" t="s">
        <v>2515</v>
      </c>
      <c r="C323" s="18" t="s">
        <v>2388</v>
      </c>
      <c r="D323" s="17" t="s">
        <v>1646</v>
      </c>
      <c r="E323" s="18" t="s">
        <v>1647</v>
      </c>
      <c r="F323" s="18" t="s">
        <v>1648</v>
      </c>
      <c r="G323" s="18" t="s">
        <v>181</v>
      </c>
      <c r="H323" s="17" t="s">
        <v>182</v>
      </c>
      <c r="I323" s="17" t="s">
        <v>123</v>
      </c>
      <c r="J323" s="17" t="s">
        <v>347</v>
      </c>
      <c r="K323" s="18" t="s">
        <v>348</v>
      </c>
      <c r="L323" s="18" t="s">
        <v>139</v>
      </c>
      <c r="M323" s="18" t="s">
        <v>349</v>
      </c>
      <c r="N323" s="18" t="s">
        <v>350</v>
      </c>
      <c r="O323" s="17">
        <v>5</v>
      </c>
      <c r="P323" s="59">
        <v>3200</v>
      </c>
      <c r="Q323" s="60">
        <v>25</v>
      </c>
      <c r="R323" s="17">
        <v>18</v>
      </c>
      <c r="S323" s="19">
        <v>14160</v>
      </c>
      <c r="T323" s="18" t="s">
        <v>102</v>
      </c>
      <c r="U323" s="18" t="s">
        <v>211</v>
      </c>
      <c r="V323" s="18" t="s">
        <v>212</v>
      </c>
    </row>
    <row r="324" spans="1:22" ht="15.75" customHeight="1">
      <c r="A324" s="13" t="s">
        <v>1649</v>
      </c>
      <c r="B324" s="14" t="s">
        <v>982</v>
      </c>
      <c r="C324" s="14" t="s">
        <v>2477</v>
      </c>
      <c r="D324" s="13" t="s">
        <v>1651</v>
      </c>
      <c r="E324" s="14" t="s">
        <v>975</v>
      </c>
      <c r="F324" s="14" t="s">
        <v>1652</v>
      </c>
      <c r="G324" s="14" t="s">
        <v>439</v>
      </c>
      <c r="H324" s="13" t="s">
        <v>364</v>
      </c>
      <c r="I324" s="13" t="s">
        <v>63</v>
      </c>
      <c r="J324" s="13" t="s">
        <v>420</v>
      </c>
      <c r="K324" s="14" t="s">
        <v>2445</v>
      </c>
      <c r="L324" s="14" t="s">
        <v>112</v>
      </c>
      <c r="M324" s="14" t="s">
        <v>422</v>
      </c>
      <c r="N324" s="14" t="s">
        <v>2446</v>
      </c>
      <c r="O324" s="13">
        <v>1</v>
      </c>
      <c r="P324" s="61">
        <v>4800</v>
      </c>
      <c r="Q324" s="62">
        <v>10</v>
      </c>
      <c r="R324" s="13">
        <v>18</v>
      </c>
      <c r="S324" s="16">
        <v>5098</v>
      </c>
      <c r="T324" s="14" t="s">
        <v>115</v>
      </c>
      <c r="U324" s="14" t="s">
        <v>143</v>
      </c>
      <c r="V324" s="14" t="s">
        <v>155</v>
      </c>
    </row>
    <row r="325" spans="1:22" ht="15.75" customHeight="1">
      <c r="A325" s="17" t="s">
        <v>1653</v>
      </c>
      <c r="B325" s="18" t="s">
        <v>1948</v>
      </c>
      <c r="C325" s="18" t="s">
        <v>291</v>
      </c>
      <c r="D325" s="17" t="s">
        <v>1655</v>
      </c>
      <c r="E325" s="18" t="s">
        <v>664</v>
      </c>
      <c r="F325" s="18" t="s">
        <v>1656</v>
      </c>
      <c r="G325" s="18" t="s">
        <v>744</v>
      </c>
      <c r="H325" s="17" t="s">
        <v>79</v>
      </c>
      <c r="I325" s="17" t="s">
        <v>80</v>
      </c>
      <c r="J325" s="17" t="s">
        <v>124</v>
      </c>
      <c r="K325" s="18" t="s">
        <v>125</v>
      </c>
      <c r="L325" s="18" t="s">
        <v>99</v>
      </c>
      <c r="M325" s="18" t="s">
        <v>100</v>
      </c>
      <c r="N325" s="18" t="s">
        <v>126</v>
      </c>
      <c r="O325" s="17">
        <v>5</v>
      </c>
      <c r="P325" s="59">
        <v>14000</v>
      </c>
      <c r="Q325" s="60">
        <v>20</v>
      </c>
      <c r="R325" s="17">
        <v>18</v>
      </c>
      <c r="S325" s="19">
        <v>66080</v>
      </c>
      <c r="T325" s="18" t="s">
        <v>413</v>
      </c>
      <c r="U325" s="18" t="s">
        <v>184</v>
      </c>
      <c r="V325" s="18" t="s">
        <v>155</v>
      </c>
    </row>
    <row r="326" spans="1:22" ht="15.75" customHeight="1">
      <c r="A326" s="13" t="s">
        <v>1657</v>
      </c>
      <c r="B326" s="14" t="s">
        <v>2471</v>
      </c>
      <c r="C326" s="14" t="s">
        <v>416</v>
      </c>
      <c r="D326" s="13" t="s">
        <v>1659</v>
      </c>
      <c r="E326" s="14" t="s">
        <v>559</v>
      </c>
      <c r="F326" s="14" t="s">
        <v>1660</v>
      </c>
      <c r="G326" s="14" t="s">
        <v>439</v>
      </c>
      <c r="H326" s="13" t="s">
        <v>364</v>
      </c>
      <c r="I326" s="13" t="s">
        <v>63</v>
      </c>
      <c r="J326" s="13" t="s">
        <v>356</v>
      </c>
      <c r="K326" s="14" t="s">
        <v>2434</v>
      </c>
      <c r="L326" s="14" t="s">
        <v>139</v>
      </c>
      <c r="M326" s="14" t="s">
        <v>140</v>
      </c>
      <c r="N326" s="14" t="s">
        <v>2435</v>
      </c>
      <c r="O326" s="13">
        <v>10</v>
      </c>
      <c r="P326" s="61">
        <v>42000</v>
      </c>
      <c r="Q326" s="62">
        <v>80</v>
      </c>
      <c r="R326" s="13">
        <v>18</v>
      </c>
      <c r="S326" s="16">
        <v>99120</v>
      </c>
      <c r="T326" s="14" t="s">
        <v>413</v>
      </c>
      <c r="U326" s="14" t="s">
        <v>211</v>
      </c>
      <c r="V326" s="14" t="s">
        <v>212</v>
      </c>
    </row>
    <row r="327" spans="1:22" ht="15.75" customHeight="1">
      <c r="A327" s="17" t="s">
        <v>1661</v>
      </c>
      <c r="B327" s="18" t="s">
        <v>2011</v>
      </c>
      <c r="C327" s="18" t="s">
        <v>2388</v>
      </c>
      <c r="D327" s="17" t="s">
        <v>1663</v>
      </c>
      <c r="E327" s="18" t="s">
        <v>584</v>
      </c>
      <c r="F327" s="18" t="s">
        <v>1664</v>
      </c>
      <c r="G327" s="18" t="s">
        <v>333</v>
      </c>
      <c r="H327" s="17" t="s">
        <v>334</v>
      </c>
      <c r="I327" s="17" t="s">
        <v>63</v>
      </c>
      <c r="J327" s="17" t="s">
        <v>356</v>
      </c>
      <c r="K327" s="18" t="s">
        <v>2434</v>
      </c>
      <c r="L327" s="18" t="s">
        <v>139</v>
      </c>
      <c r="M327" s="18" t="s">
        <v>140</v>
      </c>
      <c r="N327" s="18" t="s">
        <v>2435</v>
      </c>
      <c r="O327" s="17">
        <v>6</v>
      </c>
      <c r="P327" s="59">
        <v>42000</v>
      </c>
      <c r="Q327" s="60">
        <v>20</v>
      </c>
      <c r="R327" s="17">
        <v>18</v>
      </c>
      <c r="S327" s="19">
        <v>237888</v>
      </c>
      <c r="T327" s="18" t="s">
        <v>465</v>
      </c>
      <c r="U327" s="18" t="s">
        <v>211</v>
      </c>
      <c r="V327" s="18" t="s">
        <v>155</v>
      </c>
    </row>
    <row r="328" spans="1:22" ht="15.75" customHeight="1">
      <c r="A328" s="13" t="s">
        <v>1665</v>
      </c>
      <c r="B328" s="14" t="s">
        <v>2507</v>
      </c>
      <c r="C328" s="14" t="s">
        <v>2398</v>
      </c>
      <c r="D328" s="13" t="s">
        <v>1666</v>
      </c>
      <c r="E328" s="14" t="s">
        <v>405</v>
      </c>
      <c r="F328" s="14" t="s">
        <v>1667</v>
      </c>
      <c r="G328" s="14" t="s">
        <v>2422</v>
      </c>
      <c r="H328" s="13" t="s">
        <v>96</v>
      </c>
      <c r="I328" s="13" t="s">
        <v>63</v>
      </c>
      <c r="J328" s="13" t="s">
        <v>356</v>
      </c>
      <c r="K328" s="14" t="s">
        <v>2434</v>
      </c>
      <c r="L328" s="14" t="s">
        <v>99</v>
      </c>
      <c r="M328" s="14" t="s">
        <v>140</v>
      </c>
      <c r="N328" s="14" t="s">
        <v>2435</v>
      </c>
      <c r="O328" s="13">
        <v>10</v>
      </c>
      <c r="P328" s="61">
        <v>42000</v>
      </c>
      <c r="Q328" s="62">
        <v>8</v>
      </c>
      <c r="R328" s="13">
        <v>18</v>
      </c>
      <c r="S328" s="16">
        <v>455952</v>
      </c>
      <c r="T328" s="14" t="s">
        <v>153</v>
      </c>
      <c r="U328" s="14" t="s">
        <v>70</v>
      </c>
      <c r="V328" s="14" t="s">
        <v>212</v>
      </c>
    </row>
    <row r="329" spans="1:22" ht="15.75" customHeight="1">
      <c r="A329" s="17" t="s">
        <v>1668</v>
      </c>
      <c r="B329" s="18" t="s">
        <v>1721</v>
      </c>
      <c r="C329" s="18" t="s">
        <v>2449</v>
      </c>
      <c r="D329" s="17" t="s">
        <v>1670</v>
      </c>
      <c r="E329" s="18" t="s">
        <v>1671</v>
      </c>
      <c r="F329" s="18" t="s">
        <v>1672</v>
      </c>
      <c r="G329" s="18" t="s">
        <v>439</v>
      </c>
      <c r="H329" s="17" t="s">
        <v>364</v>
      </c>
      <c r="I329" s="17" t="s">
        <v>63</v>
      </c>
      <c r="J329" s="17" t="s">
        <v>238</v>
      </c>
      <c r="K329" s="18" t="s">
        <v>2412</v>
      </c>
      <c r="L329" s="18" t="s">
        <v>112</v>
      </c>
      <c r="M329" s="18" t="s">
        <v>240</v>
      </c>
      <c r="N329" s="18" t="s">
        <v>2413</v>
      </c>
      <c r="O329" s="17">
        <v>1</v>
      </c>
      <c r="P329" s="59">
        <v>2500</v>
      </c>
      <c r="Q329" s="60">
        <v>12</v>
      </c>
      <c r="R329" s="17">
        <v>5</v>
      </c>
      <c r="S329" s="19">
        <v>2310</v>
      </c>
      <c r="T329" s="18" t="s">
        <v>115</v>
      </c>
      <c r="U329" s="18" t="s">
        <v>70</v>
      </c>
      <c r="V329" s="18" t="s">
        <v>155</v>
      </c>
    </row>
    <row r="330" spans="1:22" ht="15.75" customHeight="1">
      <c r="A330" s="13" t="s">
        <v>1673</v>
      </c>
      <c r="B330" s="14" t="s">
        <v>2529</v>
      </c>
      <c r="C330" s="14" t="s">
        <v>291</v>
      </c>
      <c r="D330" s="13" t="s">
        <v>1674</v>
      </c>
      <c r="E330" s="14" t="s">
        <v>719</v>
      </c>
      <c r="F330" s="14" t="s">
        <v>1675</v>
      </c>
      <c r="G330" s="14" t="s">
        <v>78</v>
      </c>
      <c r="H330" s="13" t="s">
        <v>79</v>
      </c>
      <c r="I330" s="13" t="s">
        <v>80</v>
      </c>
      <c r="J330" s="13" t="s">
        <v>347</v>
      </c>
      <c r="K330" s="14" t="s">
        <v>348</v>
      </c>
      <c r="L330" s="14" t="s">
        <v>139</v>
      </c>
      <c r="M330" s="14" t="s">
        <v>349</v>
      </c>
      <c r="N330" s="14" t="s">
        <v>350</v>
      </c>
      <c r="O330" s="13">
        <v>2</v>
      </c>
      <c r="P330" s="61">
        <v>3200</v>
      </c>
      <c r="Q330" s="62">
        <v>10</v>
      </c>
      <c r="R330" s="13">
        <v>18</v>
      </c>
      <c r="S330" s="16">
        <v>6797</v>
      </c>
      <c r="T330" s="14" t="s">
        <v>465</v>
      </c>
      <c r="U330" s="14" t="s">
        <v>288</v>
      </c>
      <c r="V330" s="14" t="s">
        <v>155</v>
      </c>
    </row>
    <row r="331" spans="1:22" ht="15.75" customHeight="1">
      <c r="A331" s="17" t="s">
        <v>1676</v>
      </c>
      <c r="B331" s="18" t="s">
        <v>933</v>
      </c>
      <c r="C331" s="18" t="s">
        <v>264</v>
      </c>
      <c r="D331" s="17" t="s">
        <v>1678</v>
      </c>
      <c r="E331" s="18" t="s">
        <v>1679</v>
      </c>
      <c r="F331" s="18" t="s">
        <v>1680</v>
      </c>
      <c r="G331" s="18" t="s">
        <v>228</v>
      </c>
      <c r="H331" s="17" t="s">
        <v>152</v>
      </c>
      <c r="I331" s="17" t="s">
        <v>80</v>
      </c>
      <c r="J331" s="17" t="s">
        <v>897</v>
      </c>
      <c r="K331" s="18" t="s">
        <v>2491</v>
      </c>
      <c r="L331" s="18" t="s">
        <v>139</v>
      </c>
      <c r="M331" s="18" t="s">
        <v>140</v>
      </c>
      <c r="N331" s="18" t="s">
        <v>899</v>
      </c>
      <c r="O331" s="17">
        <v>6</v>
      </c>
      <c r="P331" s="59">
        <v>38000</v>
      </c>
      <c r="Q331" s="60">
        <v>0</v>
      </c>
      <c r="R331" s="17">
        <v>18</v>
      </c>
      <c r="S331" s="19">
        <v>269040</v>
      </c>
      <c r="T331" s="18" t="s">
        <v>465</v>
      </c>
      <c r="U331" s="18" t="s">
        <v>211</v>
      </c>
      <c r="V331" s="18" t="s">
        <v>212</v>
      </c>
    </row>
    <row r="332" spans="1:22" ht="15.75" customHeight="1">
      <c r="A332" s="13" t="s">
        <v>1681</v>
      </c>
      <c r="B332" s="14" t="s">
        <v>442</v>
      </c>
      <c r="C332" s="14" t="s">
        <v>372</v>
      </c>
      <c r="D332" s="13" t="s">
        <v>1683</v>
      </c>
      <c r="E332" s="14" t="s">
        <v>374</v>
      </c>
      <c r="F332" s="14" t="s">
        <v>1684</v>
      </c>
      <c r="G332" s="14" t="s">
        <v>135</v>
      </c>
      <c r="H332" s="13" t="s">
        <v>136</v>
      </c>
      <c r="I332" s="13" t="s">
        <v>63</v>
      </c>
      <c r="J332" s="13" t="s">
        <v>420</v>
      </c>
      <c r="K332" s="14" t="s">
        <v>2445</v>
      </c>
      <c r="L332" s="14" t="s">
        <v>112</v>
      </c>
      <c r="M332" s="14" t="s">
        <v>422</v>
      </c>
      <c r="N332" s="14" t="s">
        <v>2446</v>
      </c>
      <c r="O332" s="13">
        <v>1</v>
      </c>
      <c r="P332" s="61">
        <v>4800</v>
      </c>
      <c r="Q332" s="62">
        <v>25</v>
      </c>
      <c r="R332" s="13">
        <v>18</v>
      </c>
      <c r="S332" s="16">
        <v>4248</v>
      </c>
      <c r="T332" s="14" t="s">
        <v>153</v>
      </c>
      <c r="U332" s="14" t="s">
        <v>211</v>
      </c>
      <c r="V332" s="14" t="s">
        <v>212</v>
      </c>
    </row>
    <row r="333" spans="1:22" ht="15.75" customHeight="1">
      <c r="A333" s="17" t="s">
        <v>1685</v>
      </c>
      <c r="B333" s="18" t="s">
        <v>2479</v>
      </c>
      <c r="C333" s="18" t="s">
        <v>2430</v>
      </c>
      <c r="D333" s="17" t="s">
        <v>1687</v>
      </c>
      <c r="E333" s="18" t="s">
        <v>1243</v>
      </c>
      <c r="F333" s="18" t="s">
        <v>1688</v>
      </c>
      <c r="G333" s="18" t="s">
        <v>2422</v>
      </c>
      <c r="H333" s="17" t="s">
        <v>96</v>
      </c>
      <c r="I333" s="17" t="s">
        <v>63</v>
      </c>
      <c r="J333" s="17" t="s">
        <v>257</v>
      </c>
      <c r="K333" s="18" t="s">
        <v>2418</v>
      </c>
      <c r="L333" s="18" t="s">
        <v>139</v>
      </c>
      <c r="M333" s="18" t="s">
        <v>259</v>
      </c>
      <c r="N333" s="18" t="s">
        <v>260</v>
      </c>
      <c r="O333" s="17">
        <v>9</v>
      </c>
      <c r="P333" s="59">
        <v>299</v>
      </c>
      <c r="Q333" s="60">
        <v>25</v>
      </c>
      <c r="R333" s="17">
        <v>18</v>
      </c>
      <c r="S333" s="19">
        <v>2382</v>
      </c>
      <c r="T333" s="18" t="s">
        <v>102</v>
      </c>
      <c r="U333" s="18" t="s">
        <v>143</v>
      </c>
      <c r="V333" s="18" t="s">
        <v>212</v>
      </c>
    </row>
    <row r="334" spans="1:22" ht="15.75" customHeight="1">
      <c r="A334" s="13" t="s">
        <v>1689</v>
      </c>
      <c r="B334" s="14" t="s">
        <v>941</v>
      </c>
      <c r="C334" s="14" t="s">
        <v>1249</v>
      </c>
      <c r="D334" s="13" t="s">
        <v>1690</v>
      </c>
      <c r="E334" s="14" t="s">
        <v>1269</v>
      </c>
      <c r="F334" s="14" t="s">
        <v>1691</v>
      </c>
      <c r="G334" s="14" t="s">
        <v>228</v>
      </c>
      <c r="H334" s="13" t="s">
        <v>152</v>
      </c>
      <c r="I334" s="13" t="s">
        <v>80</v>
      </c>
      <c r="J334" s="13" t="s">
        <v>420</v>
      </c>
      <c r="K334" s="14" t="s">
        <v>2445</v>
      </c>
      <c r="L334" s="14" t="s">
        <v>112</v>
      </c>
      <c r="M334" s="14" t="s">
        <v>422</v>
      </c>
      <c r="N334" s="14" t="s">
        <v>2446</v>
      </c>
      <c r="O334" s="13">
        <v>2</v>
      </c>
      <c r="P334" s="61">
        <v>4800</v>
      </c>
      <c r="Q334" s="62">
        <v>5</v>
      </c>
      <c r="R334" s="13">
        <v>18</v>
      </c>
      <c r="S334" s="16">
        <v>10762</v>
      </c>
      <c r="T334" s="14" t="s">
        <v>413</v>
      </c>
      <c r="U334" s="14" t="s">
        <v>70</v>
      </c>
      <c r="V334" s="14" t="s">
        <v>212</v>
      </c>
    </row>
    <row r="335" spans="1:22" ht="15.75" customHeight="1">
      <c r="A335" s="17" t="s">
        <v>1692</v>
      </c>
      <c r="B335" s="18" t="s">
        <v>2061</v>
      </c>
      <c r="C335" s="18" t="s">
        <v>627</v>
      </c>
      <c r="D335" s="17" t="s">
        <v>1694</v>
      </c>
      <c r="E335" s="18" t="s">
        <v>2486</v>
      </c>
      <c r="F335" s="18" t="s">
        <v>1695</v>
      </c>
      <c r="G335" s="18" t="s">
        <v>151</v>
      </c>
      <c r="H335" s="17" t="s">
        <v>152</v>
      </c>
      <c r="I335" s="17" t="s">
        <v>80</v>
      </c>
      <c r="J335" s="17" t="s">
        <v>477</v>
      </c>
      <c r="K335" s="18" t="s">
        <v>478</v>
      </c>
      <c r="L335" s="18" t="s">
        <v>139</v>
      </c>
      <c r="M335" s="18" t="s">
        <v>349</v>
      </c>
      <c r="N335" s="18" t="s">
        <v>479</v>
      </c>
      <c r="O335" s="17">
        <v>1</v>
      </c>
      <c r="P335" s="59">
        <v>2200</v>
      </c>
      <c r="Q335" s="60">
        <v>20</v>
      </c>
      <c r="R335" s="17">
        <v>12</v>
      </c>
      <c r="S335" s="19">
        <v>1971</v>
      </c>
      <c r="T335" s="18" t="s">
        <v>115</v>
      </c>
      <c r="U335" s="18" t="s">
        <v>143</v>
      </c>
      <c r="V335" s="18" t="s">
        <v>155</v>
      </c>
    </row>
    <row r="336" spans="1:22" ht="15.75" customHeight="1">
      <c r="A336" s="13" t="s">
        <v>1696</v>
      </c>
      <c r="B336" s="14" t="s">
        <v>2507</v>
      </c>
      <c r="C336" s="14" t="s">
        <v>2393</v>
      </c>
      <c r="D336" s="13" t="s">
        <v>1698</v>
      </c>
      <c r="E336" s="14" t="s">
        <v>876</v>
      </c>
      <c r="F336" s="14" t="s">
        <v>1699</v>
      </c>
      <c r="G336" s="14" t="s">
        <v>228</v>
      </c>
      <c r="H336" s="13" t="s">
        <v>152</v>
      </c>
      <c r="I336" s="13" t="s">
        <v>80</v>
      </c>
      <c r="J336" s="13" t="s">
        <v>389</v>
      </c>
      <c r="K336" s="14" t="s">
        <v>390</v>
      </c>
      <c r="L336" s="14" t="s">
        <v>99</v>
      </c>
      <c r="M336" s="14" t="s">
        <v>164</v>
      </c>
      <c r="N336" s="14" t="s">
        <v>391</v>
      </c>
      <c r="O336" s="13">
        <v>1</v>
      </c>
      <c r="P336" s="61">
        <v>1500</v>
      </c>
      <c r="Q336" s="62">
        <v>25</v>
      </c>
      <c r="R336" s="13">
        <v>18</v>
      </c>
      <c r="S336" s="16">
        <v>1328</v>
      </c>
      <c r="T336" s="14" t="s">
        <v>413</v>
      </c>
      <c r="U336" s="14" t="s">
        <v>211</v>
      </c>
      <c r="V336" s="14" t="s">
        <v>155</v>
      </c>
    </row>
    <row r="337" spans="1:22" ht="15.75" customHeight="1">
      <c r="A337" s="17" t="s">
        <v>1700</v>
      </c>
      <c r="B337" s="18" t="s">
        <v>2443</v>
      </c>
      <c r="C337" s="18" t="s">
        <v>2442</v>
      </c>
      <c r="D337" s="17" t="s">
        <v>1701</v>
      </c>
      <c r="E337" s="18" t="s">
        <v>507</v>
      </c>
      <c r="F337" s="18" t="s">
        <v>1702</v>
      </c>
      <c r="G337" s="18" t="s">
        <v>228</v>
      </c>
      <c r="H337" s="17" t="s">
        <v>152</v>
      </c>
      <c r="I337" s="17" t="s">
        <v>80</v>
      </c>
      <c r="J337" s="17" t="s">
        <v>365</v>
      </c>
      <c r="K337" s="18" t="s">
        <v>366</v>
      </c>
      <c r="L337" s="18" t="s">
        <v>112</v>
      </c>
      <c r="M337" s="18" t="s">
        <v>367</v>
      </c>
      <c r="N337" s="18" t="s">
        <v>368</v>
      </c>
      <c r="O337" s="17">
        <v>9</v>
      </c>
      <c r="P337" s="59">
        <v>3500</v>
      </c>
      <c r="Q337" s="60">
        <v>20</v>
      </c>
      <c r="R337" s="17">
        <v>5</v>
      </c>
      <c r="S337" s="19">
        <v>26460</v>
      </c>
      <c r="T337" s="18" t="s">
        <v>413</v>
      </c>
      <c r="U337" s="18" t="s">
        <v>143</v>
      </c>
      <c r="V337" s="18" t="s">
        <v>212</v>
      </c>
    </row>
    <row r="338" spans="1:22" ht="15.75" customHeight="1">
      <c r="A338" s="13" t="s">
        <v>1703</v>
      </c>
      <c r="B338" s="14" t="s">
        <v>2530</v>
      </c>
      <c r="C338" s="14" t="s">
        <v>2428</v>
      </c>
      <c r="D338" s="13" t="s">
        <v>1705</v>
      </c>
      <c r="E338" s="14" t="s">
        <v>1706</v>
      </c>
      <c r="F338" s="14" t="s">
        <v>1707</v>
      </c>
      <c r="G338" s="14" t="s">
        <v>341</v>
      </c>
      <c r="H338" s="13" t="s">
        <v>62</v>
      </c>
      <c r="I338" s="13" t="s">
        <v>63</v>
      </c>
      <c r="J338" s="13" t="s">
        <v>110</v>
      </c>
      <c r="K338" s="14" t="s">
        <v>111</v>
      </c>
      <c r="L338" s="14" t="s">
        <v>112</v>
      </c>
      <c r="M338" s="14" t="s">
        <v>113</v>
      </c>
      <c r="N338" s="14" t="s">
        <v>114</v>
      </c>
      <c r="O338" s="13">
        <v>4</v>
      </c>
      <c r="P338" s="61">
        <v>3500</v>
      </c>
      <c r="Q338" s="62">
        <v>5</v>
      </c>
      <c r="R338" s="13">
        <v>18</v>
      </c>
      <c r="S338" s="16">
        <v>15694</v>
      </c>
      <c r="T338" s="14" t="s">
        <v>413</v>
      </c>
      <c r="U338" s="14" t="s">
        <v>70</v>
      </c>
      <c r="V338" s="14" t="s">
        <v>155</v>
      </c>
    </row>
    <row r="339" spans="1:22" ht="15.75" customHeight="1">
      <c r="A339" s="17" t="s">
        <v>1708</v>
      </c>
      <c r="B339" s="18" t="s">
        <v>1254</v>
      </c>
      <c r="C339" s="18" t="s">
        <v>74</v>
      </c>
      <c r="D339" s="17" t="s">
        <v>1710</v>
      </c>
      <c r="E339" s="18" t="s">
        <v>1711</v>
      </c>
      <c r="F339" s="18" t="s">
        <v>1712</v>
      </c>
      <c r="G339" s="18" t="s">
        <v>2422</v>
      </c>
      <c r="H339" s="17" t="s">
        <v>96</v>
      </c>
      <c r="I339" s="17" t="s">
        <v>63</v>
      </c>
      <c r="J339" s="17" t="s">
        <v>389</v>
      </c>
      <c r="K339" s="18" t="s">
        <v>390</v>
      </c>
      <c r="L339" s="18" t="s">
        <v>99</v>
      </c>
      <c r="M339" s="18" t="s">
        <v>164</v>
      </c>
      <c r="N339" s="18" t="s">
        <v>391</v>
      </c>
      <c r="O339" s="17">
        <v>8</v>
      </c>
      <c r="P339" s="59">
        <v>1500</v>
      </c>
      <c r="Q339" s="60">
        <v>5</v>
      </c>
      <c r="R339" s="17">
        <v>18</v>
      </c>
      <c r="S339" s="19">
        <v>13452</v>
      </c>
      <c r="T339" s="18" t="s">
        <v>127</v>
      </c>
      <c r="U339" s="18" t="s">
        <v>70</v>
      </c>
      <c r="V339" s="18" t="s">
        <v>155</v>
      </c>
    </row>
    <row r="340" spans="1:22" ht="15.75" customHeight="1">
      <c r="A340" s="13" t="s">
        <v>1713</v>
      </c>
      <c r="B340" s="14" t="s">
        <v>2015</v>
      </c>
      <c r="C340" s="14" t="s">
        <v>2405</v>
      </c>
      <c r="D340" s="13" t="s">
        <v>1715</v>
      </c>
      <c r="E340" s="14" t="s">
        <v>195</v>
      </c>
      <c r="F340" s="14" t="s">
        <v>1716</v>
      </c>
      <c r="G340" s="14" t="s">
        <v>744</v>
      </c>
      <c r="H340" s="13" t="s">
        <v>79</v>
      </c>
      <c r="I340" s="13" t="s">
        <v>80</v>
      </c>
      <c r="J340" s="13" t="s">
        <v>207</v>
      </c>
      <c r="K340" s="14" t="s">
        <v>2406</v>
      </c>
      <c r="L340" s="14" t="s">
        <v>99</v>
      </c>
      <c r="M340" s="14" t="s">
        <v>209</v>
      </c>
      <c r="N340" s="14" t="s">
        <v>2407</v>
      </c>
      <c r="O340" s="13">
        <v>7</v>
      </c>
      <c r="P340" s="61">
        <v>55000</v>
      </c>
      <c r="Q340" s="62">
        <v>8</v>
      </c>
      <c r="R340" s="13">
        <v>18</v>
      </c>
      <c r="S340" s="16">
        <v>417956</v>
      </c>
      <c r="T340" s="14" t="s">
        <v>153</v>
      </c>
      <c r="U340" s="14" t="s">
        <v>143</v>
      </c>
      <c r="V340" s="14" t="s">
        <v>155</v>
      </c>
    </row>
    <row r="341" spans="1:22" ht="15.75" customHeight="1">
      <c r="A341" s="17" t="s">
        <v>1717</v>
      </c>
      <c r="B341" s="18" t="s">
        <v>2399</v>
      </c>
      <c r="C341" s="18" t="s">
        <v>2398</v>
      </c>
      <c r="D341" s="17" t="s">
        <v>1718</v>
      </c>
      <c r="E341" s="18" t="s">
        <v>310</v>
      </c>
      <c r="F341" s="18" t="s">
        <v>1719</v>
      </c>
      <c r="G341" s="18" t="s">
        <v>485</v>
      </c>
      <c r="H341" s="17" t="s">
        <v>305</v>
      </c>
      <c r="I341" s="17" t="s">
        <v>80</v>
      </c>
      <c r="J341" s="17" t="s">
        <v>897</v>
      </c>
      <c r="K341" s="18" t="s">
        <v>2491</v>
      </c>
      <c r="L341" s="18" t="s">
        <v>139</v>
      </c>
      <c r="M341" s="18" t="s">
        <v>140</v>
      </c>
      <c r="N341" s="18" t="s">
        <v>899</v>
      </c>
      <c r="O341" s="17">
        <v>9</v>
      </c>
      <c r="P341" s="59">
        <v>38000</v>
      </c>
      <c r="Q341" s="60">
        <v>12</v>
      </c>
      <c r="R341" s="17">
        <v>18</v>
      </c>
      <c r="S341" s="19">
        <v>355133</v>
      </c>
      <c r="T341" s="18" t="s">
        <v>102</v>
      </c>
      <c r="U341" s="18" t="s">
        <v>211</v>
      </c>
      <c r="V341" s="18" t="s">
        <v>155</v>
      </c>
    </row>
    <row r="342" spans="1:22" ht="15.75" customHeight="1">
      <c r="A342" s="13" t="s">
        <v>1720</v>
      </c>
      <c r="B342" s="14" t="s">
        <v>1443</v>
      </c>
      <c r="C342" s="14" t="s">
        <v>728</v>
      </c>
      <c r="D342" s="13" t="s">
        <v>1722</v>
      </c>
      <c r="E342" s="14" t="s">
        <v>1142</v>
      </c>
      <c r="F342" s="14" t="s">
        <v>1723</v>
      </c>
      <c r="G342" s="14" t="s">
        <v>439</v>
      </c>
      <c r="H342" s="13" t="s">
        <v>364</v>
      </c>
      <c r="I342" s="13" t="s">
        <v>63</v>
      </c>
      <c r="J342" s="13" t="s">
        <v>257</v>
      </c>
      <c r="K342" s="14" t="s">
        <v>2418</v>
      </c>
      <c r="L342" s="14" t="s">
        <v>139</v>
      </c>
      <c r="M342" s="14" t="s">
        <v>259</v>
      </c>
      <c r="N342" s="14" t="s">
        <v>260</v>
      </c>
      <c r="O342" s="13">
        <v>9</v>
      </c>
      <c r="P342" s="61">
        <v>299</v>
      </c>
      <c r="Q342" s="62">
        <v>10</v>
      </c>
      <c r="R342" s="13">
        <v>18</v>
      </c>
      <c r="S342" s="16">
        <v>2858</v>
      </c>
      <c r="T342" s="14" t="s">
        <v>115</v>
      </c>
      <c r="U342" s="14" t="s">
        <v>184</v>
      </c>
      <c r="V342" s="14" t="s">
        <v>212</v>
      </c>
    </row>
    <row r="343" spans="1:22" ht="15.75" customHeight="1">
      <c r="A343" s="17" t="s">
        <v>1724</v>
      </c>
      <c r="B343" s="18" t="s">
        <v>2531</v>
      </c>
      <c r="C343" s="18" t="s">
        <v>2410</v>
      </c>
      <c r="D343" s="17" t="s">
        <v>1726</v>
      </c>
      <c r="E343" s="18" t="s">
        <v>528</v>
      </c>
      <c r="F343" s="18" t="s">
        <v>1727</v>
      </c>
      <c r="G343" s="18" t="s">
        <v>485</v>
      </c>
      <c r="H343" s="17" t="s">
        <v>305</v>
      </c>
      <c r="I343" s="17" t="s">
        <v>306</v>
      </c>
      <c r="J343" s="17" t="s">
        <v>491</v>
      </c>
      <c r="K343" s="18" t="s">
        <v>492</v>
      </c>
      <c r="L343" s="18" t="s">
        <v>112</v>
      </c>
      <c r="M343" s="18" t="s">
        <v>493</v>
      </c>
      <c r="N343" s="18" t="s">
        <v>494</v>
      </c>
      <c r="O343" s="17">
        <v>4</v>
      </c>
      <c r="P343" s="59">
        <v>4500</v>
      </c>
      <c r="Q343" s="60">
        <v>10</v>
      </c>
      <c r="R343" s="17">
        <v>5</v>
      </c>
      <c r="S343" s="19">
        <v>17010</v>
      </c>
      <c r="T343" s="18" t="s">
        <v>153</v>
      </c>
      <c r="U343" s="18" t="s">
        <v>184</v>
      </c>
      <c r="V343" s="18" t="s">
        <v>155</v>
      </c>
    </row>
    <row r="344" spans="1:22" ht="15.75" customHeight="1">
      <c r="A344" s="13" t="s">
        <v>1728</v>
      </c>
      <c r="B344" s="14" t="s">
        <v>2527</v>
      </c>
      <c r="C344" s="14" t="s">
        <v>482</v>
      </c>
      <c r="D344" s="13" t="s">
        <v>1730</v>
      </c>
      <c r="E344" s="14" t="s">
        <v>484</v>
      </c>
      <c r="F344" s="14" t="s">
        <v>1731</v>
      </c>
      <c r="G344" s="14" t="s">
        <v>78</v>
      </c>
      <c r="H344" s="13" t="s">
        <v>79</v>
      </c>
      <c r="I344" s="13" t="s">
        <v>80</v>
      </c>
      <c r="J344" s="13" t="s">
        <v>477</v>
      </c>
      <c r="K344" s="14" t="s">
        <v>478</v>
      </c>
      <c r="L344" s="14" t="s">
        <v>139</v>
      </c>
      <c r="M344" s="14" t="s">
        <v>349</v>
      </c>
      <c r="N344" s="14" t="s">
        <v>479</v>
      </c>
      <c r="O344" s="13">
        <v>6</v>
      </c>
      <c r="P344" s="61">
        <v>2200</v>
      </c>
      <c r="Q344" s="62">
        <v>5</v>
      </c>
      <c r="R344" s="13">
        <v>12</v>
      </c>
      <c r="S344" s="16">
        <v>14045</v>
      </c>
      <c r="T344" s="14" t="s">
        <v>153</v>
      </c>
      <c r="U344" s="14" t="s">
        <v>143</v>
      </c>
      <c r="V344" s="14" t="s">
        <v>155</v>
      </c>
    </row>
    <row r="345" spans="1:22" ht="15.75" customHeight="1">
      <c r="A345" s="17" t="s">
        <v>1732</v>
      </c>
      <c r="B345" s="18" t="s">
        <v>2470</v>
      </c>
      <c r="C345" s="18" t="s">
        <v>337</v>
      </c>
      <c r="D345" s="17" t="s">
        <v>1734</v>
      </c>
      <c r="E345" s="18" t="s">
        <v>574</v>
      </c>
      <c r="F345" s="18" t="s">
        <v>1735</v>
      </c>
      <c r="G345" s="18" t="s">
        <v>439</v>
      </c>
      <c r="H345" s="17" t="s">
        <v>364</v>
      </c>
      <c r="I345" s="17" t="s">
        <v>63</v>
      </c>
      <c r="J345" s="17" t="s">
        <v>477</v>
      </c>
      <c r="K345" s="18" t="s">
        <v>478</v>
      </c>
      <c r="L345" s="18" t="s">
        <v>139</v>
      </c>
      <c r="M345" s="18" t="s">
        <v>349</v>
      </c>
      <c r="N345" s="18" t="s">
        <v>479</v>
      </c>
      <c r="O345" s="17">
        <v>6</v>
      </c>
      <c r="P345" s="59">
        <v>2200</v>
      </c>
      <c r="Q345" s="60">
        <v>20</v>
      </c>
      <c r="R345" s="17">
        <v>12</v>
      </c>
      <c r="S345" s="19">
        <v>11827</v>
      </c>
      <c r="T345" s="18" t="s">
        <v>115</v>
      </c>
      <c r="U345" s="18" t="s">
        <v>70</v>
      </c>
      <c r="V345" s="18" t="s">
        <v>155</v>
      </c>
    </row>
    <row r="346" spans="1:22" ht="15.75" customHeight="1">
      <c r="A346" s="13" t="s">
        <v>1736</v>
      </c>
      <c r="B346" s="14" t="s">
        <v>2527</v>
      </c>
      <c r="C346" s="14" t="s">
        <v>372</v>
      </c>
      <c r="D346" s="13" t="s">
        <v>1738</v>
      </c>
      <c r="E346" s="14" t="s">
        <v>618</v>
      </c>
      <c r="F346" s="14" t="s">
        <v>1739</v>
      </c>
      <c r="G346" s="14" t="s">
        <v>485</v>
      </c>
      <c r="H346" s="13" t="s">
        <v>305</v>
      </c>
      <c r="I346" s="13" t="s">
        <v>306</v>
      </c>
      <c r="J346" s="13" t="s">
        <v>97</v>
      </c>
      <c r="K346" s="14" t="s">
        <v>2395</v>
      </c>
      <c r="L346" s="14" t="s">
        <v>99</v>
      </c>
      <c r="M346" s="14" t="s">
        <v>100</v>
      </c>
      <c r="N346" s="14" t="s">
        <v>2396</v>
      </c>
      <c r="O346" s="13">
        <v>5</v>
      </c>
      <c r="P346" s="61">
        <v>28000</v>
      </c>
      <c r="Q346" s="62">
        <v>10</v>
      </c>
      <c r="R346" s="13">
        <v>18</v>
      </c>
      <c r="S346" s="16">
        <v>148680</v>
      </c>
      <c r="T346" s="14" t="s">
        <v>413</v>
      </c>
      <c r="U346" s="14" t="s">
        <v>211</v>
      </c>
      <c r="V346" s="14" t="s">
        <v>212</v>
      </c>
    </row>
    <row r="347" spans="1:22" ht="15.75" customHeight="1">
      <c r="A347" s="17" t="s">
        <v>1740</v>
      </c>
      <c r="B347" s="18" t="s">
        <v>2463</v>
      </c>
      <c r="C347" s="18" t="s">
        <v>461</v>
      </c>
      <c r="D347" s="17" t="s">
        <v>1742</v>
      </c>
      <c r="E347" s="18" t="s">
        <v>656</v>
      </c>
      <c r="F347" s="18" t="s">
        <v>1743</v>
      </c>
      <c r="G347" s="18" t="s">
        <v>181</v>
      </c>
      <c r="H347" s="17" t="s">
        <v>182</v>
      </c>
      <c r="I347" s="17" t="s">
        <v>123</v>
      </c>
      <c r="J347" s="17" t="s">
        <v>595</v>
      </c>
      <c r="K347" s="18" t="s">
        <v>2441</v>
      </c>
      <c r="L347" s="18" t="s">
        <v>112</v>
      </c>
      <c r="M347" s="18" t="s">
        <v>240</v>
      </c>
      <c r="N347" s="18" t="s">
        <v>597</v>
      </c>
      <c r="O347" s="17">
        <v>3</v>
      </c>
      <c r="P347" s="59">
        <v>1200</v>
      </c>
      <c r="Q347" s="60">
        <v>5</v>
      </c>
      <c r="R347" s="17">
        <v>5</v>
      </c>
      <c r="S347" s="19">
        <v>3591</v>
      </c>
      <c r="T347" s="18" t="s">
        <v>465</v>
      </c>
      <c r="U347" s="18" t="s">
        <v>211</v>
      </c>
      <c r="V347" s="18" t="s">
        <v>212</v>
      </c>
    </row>
    <row r="348" spans="1:22" ht="15.75" customHeight="1">
      <c r="A348" s="13" t="s">
        <v>1744</v>
      </c>
      <c r="B348" s="14" t="s">
        <v>2496</v>
      </c>
      <c r="C348" s="14" t="s">
        <v>2459</v>
      </c>
      <c r="D348" s="13" t="s">
        <v>1746</v>
      </c>
      <c r="E348" s="14" t="s">
        <v>693</v>
      </c>
      <c r="F348" s="14" t="s">
        <v>1747</v>
      </c>
      <c r="G348" s="14" t="s">
        <v>122</v>
      </c>
      <c r="H348" s="13" t="s">
        <v>122</v>
      </c>
      <c r="I348" s="13" t="s">
        <v>123</v>
      </c>
      <c r="J348" s="13" t="s">
        <v>356</v>
      </c>
      <c r="K348" s="14" t="s">
        <v>2434</v>
      </c>
      <c r="L348" s="14" t="s">
        <v>139</v>
      </c>
      <c r="M348" s="14" t="s">
        <v>140</v>
      </c>
      <c r="N348" s="14" t="s">
        <v>2435</v>
      </c>
      <c r="O348" s="13">
        <v>7</v>
      </c>
      <c r="P348" s="61">
        <v>42000</v>
      </c>
      <c r="Q348" s="62">
        <v>10</v>
      </c>
      <c r="R348" s="13">
        <v>18</v>
      </c>
      <c r="S348" s="16">
        <v>312228</v>
      </c>
      <c r="T348" s="14" t="s">
        <v>127</v>
      </c>
      <c r="U348" s="14" t="s">
        <v>288</v>
      </c>
      <c r="V348" s="14" t="s">
        <v>155</v>
      </c>
    </row>
    <row r="349" spans="1:22" ht="15.75" customHeight="1">
      <c r="A349" s="17" t="s">
        <v>1748</v>
      </c>
      <c r="B349" s="18" t="s">
        <v>1503</v>
      </c>
      <c r="C349" s="18" t="s">
        <v>2432</v>
      </c>
      <c r="D349" s="17" t="s">
        <v>1749</v>
      </c>
      <c r="E349" s="18" t="s">
        <v>489</v>
      </c>
      <c r="F349" s="18" t="s">
        <v>1750</v>
      </c>
      <c r="G349" s="18" t="s">
        <v>228</v>
      </c>
      <c r="H349" s="17" t="s">
        <v>152</v>
      </c>
      <c r="I349" s="17" t="s">
        <v>80</v>
      </c>
      <c r="J349" s="17" t="s">
        <v>124</v>
      </c>
      <c r="K349" s="18" t="s">
        <v>125</v>
      </c>
      <c r="L349" s="18" t="s">
        <v>99</v>
      </c>
      <c r="M349" s="18" t="s">
        <v>100</v>
      </c>
      <c r="N349" s="18" t="s">
        <v>126</v>
      </c>
      <c r="O349" s="17">
        <v>1</v>
      </c>
      <c r="P349" s="59">
        <v>14000</v>
      </c>
      <c r="Q349" s="60">
        <v>80</v>
      </c>
      <c r="R349" s="17">
        <v>18</v>
      </c>
      <c r="S349" s="19">
        <v>3304</v>
      </c>
      <c r="T349" s="18" t="s">
        <v>153</v>
      </c>
      <c r="U349" s="18" t="s">
        <v>184</v>
      </c>
      <c r="V349" s="18" t="s">
        <v>212</v>
      </c>
    </row>
    <row r="350" spans="1:22" ht="15.75" customHeight="1">
      <c r="A350" s="13" t="s">
        <v>1751</v>
      </c>
      <c r="B350" s="14" t="s">
        <v>2527</v>
      </c>
      <c r="C350" s="14" t="s">
        <v>2428</v>
      </c>
      <c r="D350" s="13" t="s">
        <v>1753</v>
      </c>
      <c r="E350" s="14" t="s">
        <v>1211</v>
      </c>
      <c r="F350" s="14" t="s">
        <v>1754</v>
      </c>
      <c r="G350" s="14" t="s">
        <v>135</v>
      </c>
      <c r="H350" s="13" t="s">
        <v>136</v>
      </c>
      <c r="I350" s="13" t="s">
        <v>63</v>
      </c>
      <c r="J350" s="13" t="s">
        <v>356</v>
      </c>
      <c r="K350" s="14" t="s">
        <v>2434</v>
      </c>
      <c r="L350" s="14" t="s">
        <v>139</v>
      </c>
      <c r="M350" s="14" t="s">
        <v>140</v>
      </c>
      <c r="N350" s="14" t="s">
        <v>2435</v>
      </c>
      <c r="O350" s="13">
        <v>8</v>
      </c>
      <c r="P350" s="61">
        <v>42000</v>
      </c>
      <c r="Q350" s="62">
        <v>10</v>
      </c>
      <c r="R350" s="13">
        <v>18</v>
      </c>
      <c r="S350" s="16">
        <v>356832</v>
      </c>
      <c r="T350" s="14" t="s">
        <v>413</v>
      </c>
      <c r="U350" s="14" t="s">
        <v>211</v>
      </c>
      <c r="V350" s="14" t="s">
        <v>155</v>
      </c>
    </row>
    <row r="351" spans="1:22" ht="15.75" customHeight="1">
      <c r="A351" s="17" t="s">
        <v>1755</v>
      </c>
      <c r="B351" s="18" t="s">
        <v>2513</v>
      </c>
      <c r="C351" s="18" t="s">
        <v>168</v>
      </c>
      <c r="D351" s="17" t="s">
        <v>1756</v>
      </c>
      <c r="E351" s="18" t="s">
        <v>688</v>
      </c>
      <c r="F351" s="18" t="s">
        <v>1757</v>
      </c>
      <c r="G351" s="18" t="s">
        <v>248</v>
      </c>
      <c r="H351" s="17" t="s">
        <v>249</v>
      </c>
      <c r="I351" s="17" t="s">
        <v>123</v>
      </c>
      <c r="J351" s="17" t="s">
        <v>81</v>
      </c>
      <c r="K351" s="18" t="s">
        <v>82</v>
      </c>
      <c r="L351" s="18" t="s">
        <v>83</v>
      </c>
      <c r="M351" s="18" t="s">
        <v>84</v>
      </c>
      <c r="N351" s="18" t="s">
        <v>85</v>
      </c>
      <c r="O351" s="17">
        <v>7</v>
      </c>
      <c r="P351" s="59">
        <v>25000</v>
      </c>
      <c r="Q351" s="60">
        <v>15</v>
      </c>
      <c r="R351" s="17">
        <v>3</v>
      </c>
      <c r="S351" s="19">
        <v>153212</v>
      </c>
      <c r="T351" s="18" t="s">
        <v>102</v>
      </c>
      <c r="U351" s="18" t="s">
        <v>211</v>
      </c>
      <c r="V351" s="18" t="s">
        <v>212</v>
      </c>
    </row>
    <row r="352" spans="1:22" ht="15.75" customHeight="1">
      <c r="A352" s="13" t="s">
        <v>1758</v>
      </c>
      <c r="B352" s="14" t="s">
        <v>2505</v>
      </c>
      <c r="C352" s="14" t="s">
        <v>372</v>
      </c>
      <c r="D352" s="13" t="s">
        <v>1759</v>
      </c>
      <c r="E352" s="14" t="s">
        <v>427</v>
      </c>
      <c r="F352" s="14" t="s">
        <v>1760</v>
      </c>
      <c r="G352" s="14" t="s">
        <v>485</v>
      </c>
      <c r="H352" s="13" t="s">
        <v>305</v>
      </c>
      <c r="I352" s="13" t="s">
        <v>306</v>
      </c>
      <c r="J352" s="13" t="s">
        <v>312</v>
      </c>
      <c r="K352" s="14" t="s">
        <v>313</v>
      </c>
      <c r="L352" s="14" t="s">
        <v>66</v>
      </c>
      <c r="M352" s="14" t="s">
        <v>199</v>
      </c>
      <c r="N352" s="14" t="s">
        <v>314</v>
      </c>
      <c r="O352" s="13">
        <v>4</v>
      </c>
      <c r="P352" s="61">
        <v>40</v>
      </c>
      <c r="Q352" s="62">
        <v>5</v>
      </c>
      <c r="R352" s="13">
        <v>5</v>
      </c>
      <c r="S352" s="16">
        <v>160</v>
      </c>
      <c r="T352" s="14" t="s">
        <v>465</v>
      </c>
      <c r="U352" s="14" t="s">
        <v>70</v>
      </c>
      <c r="V352" s="14" t="s">
        <v>155</v>
      </c>
    </row>
    <row r="353" spans="1:22" ht="15.75" customHeight="1">
      <c r="A353" s="17" t="s">
        <v>1761</v>
      </c>
      <c r="B353" s="18" t="s">
        <v>884</v>
      </c>
      <c r="C353" s="18" t="s">
        <v>2400</v>
      </c>
      <c r="D353" s="17" t="s">
        <v>1762</v>
      </c>
      <c r="E353" s="18" t="s">
        <v>908</v>
      </c>
      <c r="F353" s="18" t="s">
        <v>1763</v>
      </c>
      <c r="G353" s="18" t="s">
        <v>61</v>
      </c>
      <c r="H353" s="17" t="s">
        <v>62</v>
      </c>
      <c r="I353" s="17" t="s">
        <v>63</v>
      </c>
      <c r="J353" s="17" t="s">
        <v>491</v>
      </c>
      <c r="K353" s="18" t="s">
        <v>492</v>
      </c>
      <c r="L353" s="18" t="s">
        <v>112</v>
      </c>
      <c r="M353" s="18" t="s">
        <v>493</v>
      </c>
      <c r="N353" s="18" t="s">
        <v>494</v>
      </c>
      <c r="O353" s="17">
        <v>4</v>
      </c>
      <c r="P353" s="59">
        <v>4500</v>
      </c>
      <c r="Q353" s="60">
        <v>0</v>
      </c>
      <c r="R353" s="17">
        <v>5</v>
      </c>
      <c r="S353" s="19">
        <v>18900</v>
      </c>
      <c r="T353" s="18" t="s">
        <v>465</v>
      </c>
      <c r="U353" s="18" t="s">
        <v>211</v>
      </c>
      <c r="V353" s="18" t="s">
        <v>155</v>
      </c>
    </row>
    <row r="354" spans="1:22" ht="15.75" customHeight="1">
      <c r="A354" s="13" t="s">
        <v>1764</v>
      </c>
      <c r="B354" s="14" t="s">
        <v>2452</v>
      </c>
      <c r="C354" s="14" t="s">
        <v>337</v>
      </c>
      <c r="D354" s="13" t="s">
        <v>1766</v>
      </c>
      <c r="E354" s="14" t="s">
        <v>339</v>
      </c>
      <c r="F354" s="14" t="s">
        <v>1767</v>
      </c>
      <c r="G354" s="14" t="s">
        <v>228</v>
      </c>
      <c r="H354" s="13" t="s">
        <v>152</v>
      </c>
      <c r="I354" s="13" t="s">
        <v>80</v>
      </c>
      <c r="J354" s="13" t="s">
        <v>124</v>
      </c>
      <c r="K354" s="14" t="s">
        <v>125</v>
      </c>
      <c r="L354" s="14" t="s">
        <v>99</v>
      </c>
      <c r="M354" s="14" t="s">
        <v>100</v>
      </c>
      <c r="N354" s="14" t="s">
        <v>126</v>
      </c>
      <c r="O354" s="13">
        <v>5</v>
      </c>
      <c r="P354" s="61">
        <v>14000</v>
      </c>
      <c r="Q354" s="62">
        <v>8</v>
      </c>
      <c r="R354" s="13">
        <v>18</v>
      </c>
      <c r="S354" s="16">
        <v>75992</v>
      </c>
      <c r="T354" s="14" t="s">
        <v>465</v>
      </c>
      <c r="U354" s="14" t="s">
        <v>143</v>
      </c>
      <c r="V354" s="14" t="s">
        <v>155</v>
      </c>
    </row>
    <row r="355" spans="1:22" ht="15.75" customHeight="1">
      <c r="A355" s="17" t="s">
        <v>1768</v>
      </c>
      <c r="B355" s="18" t="s">
        <v>2027</v>
      </c>
      <c r="C355" s="18" t="s">
        <v>2398</v>
      </c>
      <c r="D355" s="17" t="s">
        <v>1769</v>
      </c>
      <c r="E355" s="18" t="s">
        <v>405</v>
      </c>
      <c r="F355" s="18" t="s">
        <v>1770</v>
      </c>
      <c r="G355" s="18" t="s">
        <v>95</v>
      </c>
      <c r="H355" s="17" t="s">
        <v>96</v>
      </c>
      <c r="I355" s="17" t="s">
        <v>63</v>
      </c>
      <c r="J355" s="17" t="s">
        <v>238</v>
      </c>
      <c r="K355" s="18" t="s">
        <v>2412</v>
      </c>
      <c r="L355" s="18" t="s">
        <v>112</v>
      </c>
      <c r="M355" s="18" t="s">
        <v>240</v>
      </c>
      <c r="N355" s="18" t="s">
        <v>2413</v>
      </c>
      <c r="O355" s="17">
        <v>6</v>
      </c>
      <c r="P355" s="59">
        <v>2500</v>
      </c>
      <c r="Q355" s="60">
        <v>8</v>
      </c>
      <c r="R355" s="17">
        <v>5</v>
      </c>
      <c r="S355" s="19">
        <v>14490</v>
      </c>
      <c r="T355" s="18" t="s">
        <v>127</v>
      </c>
      <c r="U355" s="18" t="s">
        <v>143</v>
      </c>
      <c r="V355" s="18" t="s">
        <v>155</v>
      </c>
    </row>
    <row r="356" spans="1:22" ht="15.75" customHeight="1">
      <c r="A356" s="13" t="s">
        <v>1771</v>
      </c>
      <c r="B356" s="14" t="s">
        <v>2493</v>
      </c>
      <c r="C356" s="14" t="s">
        <v>2430</v>
      </c>
      <c r="D356" s="13" t="s">
        <v>1773</v>
      </c>
      <c r="E356" s="14" t="s">
        <v>1243</v>
      </c>
      <c r="F356" s="14" t="s">
        <v>2394</v>
      </c>
      <c r="G356" s="14" t="s">
        <v>122</v>
      </c>
      <c r="H356" s="13" t="s">
        <v>122</v>
      </c>
      <c r="I356" s="13" t="s">
        <v>123</v>
      </c>
      <c r="J356" s="13" t="s">
        <v>356</v>
      </c>
      <c r="K356" s="14" t="s">
        <v>2434</v>
      </c>
      <c r="L356" s="14" t="s">
        <v>139</v>
      </c>
      <c r="M356" s="14" t="s">
        <v>140</v>
      </c>
      <c r="N356" s="14" t="s">
        <v>2435</v>
      </c>
      <c r="O356" s="13">
        <v>10</v>
      </c>
      <c r="P356" s="61">
        <v>42000</v>
      </c>
      <c r="Q356" s="62">
        <v>25</v>
      </c>
      <c r="R356" s="13">
        <v>18</v>
      </c>
      <c r="S356" s="16">
        <v>371700</v>
      </c>
      <c r="T356" s="14" t="s">
        <v>115</v>
      </c>
      <c r="U356" s="14" t="s">
        <v>211</v>
      </c>
      <c r="V356" s="14" t="s">
        <v>212</v>
      </c>
    </row>
    <row r="357" spans="1:22" ht="15.75" customHeight="1">
      <c r="A357" s="17" t="s">
        <v>1775</v>
      </c>
      <c r="B357" s="18" t="s">
        <v>2426</v>
      </c>
      <c r="C357" s="18" t="s">
        <v>627</v>
      </c>
      <c r="D357" s="17" t="s">
        <v>1776</v>
      </c>
      <c r="E357" s="18" t="s">
        <v>1330</v>
      </c>
      <c r="F357" s="18" t="s">
        <v>2394</v>
      </c>
      <c r="G357" s="18" t="s">
        <v>61</v>
      </c>
      <c r="H357" s="17" t="s">
        <v>62</v>
      </c>
      <c r="I357" s="17" t="s">
        <v>63</v>
      </c>
      <c r="J357" s="17" t="s">
        <v>312</v>
      </c>
      <c r="K357" s="18" t="s">
        <v>313</v>
      </c>
      <c r="L357" s="18" t="s">
        <v>66</v>
      </c>
      <c r="M357" s="18" t="s">
        <v>199</v>
      </c>
      <c r="N357" s="18" t="s">
        <v>314</v>
      </c>
      <c r="O357" s="17">
        <v>4</v>
      </c>
      <c r="P357" s="59">
        <v>40</v>
      </c>
      <c r="Q357" s="60">
        <v>10</v>
      </c>
      <c r="R357" s="17">
        <v>5</v>
      </c>
      <c r="S357" s="19">
        <v>151</v>
      </c>
      <c r="T357" s="18" t="s">
        <v>127</v>
      </c>
      <c r="U357" s="18" t="s">
        <v>184</v>
      </c>
      <c r="V357" s="18" t="s">
        <v>212</v>
      </c>
    </row>
    <row r="358" spans="1:22" ht="15.75" customHeight="1">
      <c r="A358" s="13" t="s">
        <v>1778</v>
      </c>
      <c r="B358" s="14" t="s">
        <v>2508</v>
      </c>
      <c r="C358" s="14" t="s">
        <v>2398</v>
      </c>
      <c r="D358" s="13" t="s">
        <v>1779</v>
      </c>
      <c r="E358" s="14" t="s">
        <v>120</v>
      </c>
      <c r="F358" s="14" t="s">
        <v>1780</v>
      </c>
      <c r="G358" s="14" t="s">
        <v>135</v>
      </c>
      <c r="H358" s="13" t="s">
        <v>136</v>
      </c>
      <c r="I358" s="13" t="s">
        <v>63</v>
      </c>
      <c r="J358" s="13" t="s">
        <v>257</v>
      </c>
      <c r="K358" s="14" t="s">
        <v>2418</v>
      </c>
      <c r="L358" s="14" t="s">
        <v>139</v>
      </c>
      <c r="M358" s="14" t="s">
        <v>259</v>
      </c>
      <c r="N358" s="14" t="s">
        <v>260</v>
      </c>
      <c r="O358" s="13">
        <v>5</v>
      </c>
      <c r="P358" s="61">
        <v>299</v>
      </c>
      <c r="Q358" s="62">
        <v>10</v>
      </c>
      <c r="R358" s="13">
        <v>18</v>
      </c>
      <c r="S358" s="16">
        <v>1588</v>
      </c>
      <c r="T358" s="14" t="s">
        <v>465</v>
      </c>
      <c r="U358" s="14" t="s">
        <v>143</v>
      </c>
      <c r="V358" s="14" t="s">
        <v>212</v>
      </c>
    </row>
    <row r="359" spans="1:22" ht="15.75" customHeight="1">
      <c r="A359" s="17" t="s">
        <v>1781</v>
      </c>
      <c r="B359" s="18" t="s">
        <v>403</v>
      </c>
      <c r="C359" s="18" t="s">
        <v>2477</v>
      </c>
      <c r="D359" s="17" t="s">
        <v>1782</v>
      </c>
      <c r="E359" s="18" t="s">
        <v>2532</v>
      </c>
      <c r="F359" s="18" t="s">
        <v>1783</v>
      </c>
      <c r="G359" s="18" t="s">
        <v>341</v>
      </c>
      <c r="H359" s="17" t="s">
        <v>62</v>
      </c>
      <c r="I359" s="17" t="s">
        <v>63</v>
      </c>
      <c r="J359" s="17" t="s">
        <v>207</v>
      </c>
      <c r="K359" s="18" t="s">
        <v>2406</v>
      </c>
      <c r="L359" s="18" t="s">
        <v>99</v>
      </c>
      <c r="M359" s="18" t="s">
        <v>209</v>
      </c>
      <c r="N359" s="18" t="s">
        <v>2407</v>
      </c>
      <c r="O359" s="17">
        <v>8</v>
      </c>
      <c r="P359" s="59">
        <v>55000</v>
      </c>
      <c r="Q359" s="60">
        <v>5</v>
      </c>
      <c r="R359" s="17">
        <v>18</v>
      </c>
      <c r="S359" s="19">
        <v>493240</v>
      </c>
      <c r="T359" s="18" t="s">
        <v>115</v>
      </c>
      <c r="U359" s="18" t="s">
        <v>70</v>
      </c>
      <c r="V359" s="18" t="s">
        <v>155</v>
      </c>
    </row>
    <row r="360" spans="1:22" ht="15.75" customHeight="1">
      <c r="A360" s="13" t="s">
        <v>1784</v>
      </c>
      <c r="B360" s="14" t="s">
        <v>2301</v>
      </c>
      <c r="C360" s="14" t="s">
        <v>2398</v>
      </c>
      <c r="D360" s="13" t="s">
        <v>1785</v>
      </c>
      <c r="E360" s="14" t="s">
        <v>310</v>
      </c>
      <c r="F360" s="14" t="s">
        <v>2394</v>
      </c>
      <c r="G360" s="14" t="s">
        <v>151</v>
      </c>
      <c r="H360" s="13" t="s">
        <v>152</v>
      </c>
      <c r="I360" s="13" t="s">
        <v>80</v>
      </c>
      <c r="J360" s="13" t="s">
        <v>491</v>
      </c>
      <c r="K360" s="14" t="s">
        <v>492</v>
      </c>
      <c r="L360" s="14" t="s">
        <v>112</v>
      </c>
      <c r="M360" s="14" t="s">
        <v>493</v>
      </c>
      <c r="N360" s="14" t="s">
        <v>494</v>
      </c>
      <c r="O360" s="13">
        <v>9</v>
      </c>
      <c r="P360" s="13">
        <v>0</v>
      </c>
      <c r="Q360" s="62">
        <v>80</v>
      </c>
      <c r="R360" s="13">
        <v>5</v>
      </c>
      <c r="S360" s="16">
        <v>0</v>
      </c>
      <c r="T360" s="14" t="s">
        <v>465</v>
      </c>
      <c r="U360" s="14" t="s">
        <v>184</v>
      </c>
      <c r="V360" s="14" t="s">
        <v>155</v>
      </c>
    </row>
    <row r="361" spans="1:22" ht="15.75" customHeight="1">
      <c r="A361" s="17" t="s">
        <v>1786</v>
      </c>
      <c r="B361" s="18" t="s">
        <v>2101</v>
      </c>
      <c r="C361" s="18" t="s">
        <v>639</v>
      </c>
      <c r="D361" s="17" t="s">
        <v>1788</v>
      </c>
      <c r="E361" s="18" t="s">
        <v>1789</v>
      </c>
      <c r="F361" s="18" t="s">
        <v>2394</v>
      </c>
      <c r="G361" s="18" t="s">
        <v>95</v>
      </c>
      <c r="H361" s="17" t="s">
        <v>96</v>
      </c>
      <c r="I361" s="17" t="s">
        <v>63</v>
      </c>
      <c r="J361" s="17" t="s">
        <v>897</v>
      </c>
      <c r="K361" s="18" t="s">
        <v>2491</v>
      </c>
      <c r="L361" s="18" t="s">
        <v>139</v>
      </c>
      <c r="M361" s="18" t="s">
        <v>140</v>
      </c>
      <c r="N361" s="18" t="s">
        <v>899</v>
      </c>
      <c r="O361" s="17">
        <v>8</v>
      </c>
      <c r="P361" s="59">
        <v>38000</v>
      </c>
      <c r="Q361" s="60">
        <v>12</v>
      </c>
      <c r="R361" s="17">
        <v>18</v>
      </c>
      <c r="S361" s="19">
        <v>315674</v>
      </c>
      <c r="T361" s="18" t="s">
        <v>153</v>
      </c>
      <c r="U361" s="18" t="s">
        <v>143</v>
      </c>
      <c r="V361" s="18" t="s">
        <v>212</v>
      </c>
    </row>
    <row r="362" spans="1:22" ht="15.75" customHeight="1">
      <c r="A362" s="13" t="s">
        <v>1790</v>
      </c>
      <c r="B362" s="14" t="s">
        <v>2516</v>
      </c>
      <c r="C362" s="14" t="s">
        <v>2400</v>
      </c>
      <c r="D362" s="13" t="s">
        <v>1792</v>
      </c>
      <c r="E362" s="14" t="s">
        <v>757</v>
      </c>
      <c r="F362" s="14" t="s">
        <v>1793</v>
      </c>
      <c r="G362" s="14" t="s">
        <v>333</v>
      </c>
      <c r="H362" s="13" t="s">
        <v>334</v>
      </c>
      <c r="I362" s="13" t="s">
        <v>63</v>
      </c>
      <c r="J362" s="13" t="s">
        <v>295</v>
      </c>
      <c r="K362" s="14" t="s">
        <v>2425</v>
      </c>
      <c r="L362" s="14" t="s">
        <v>66</v>
      </c>
      <c r="M362" s="14" t="s">
        <v>297</v>
      </c>
      <c r="N362" s="14" t="s">
        <v>298</v>
      </c>
      <c r="O362" s="13">
        <v>2</v>
      </c>
      <c r="P362" s="61">
        <v>280</v>
      </c>
      <c r="Q362" s="62">
        <v>12</v>
      </c>
      <c r="R362" s="13">
        <v>5</v>
      </c>
      <c r="S362" s="16">
        <v>517</v>
      </c>
      <c r="T362" s="14" t="s">
        <v>153</v>
      </c>
      <c r="U362" s="14" t="s">
        <v>211</v>
      </c>
      <c r="V362" s="14" t="s">
        <v>155</v>
      </c>
    </row>
    <row r="363" spans="1:22" ht="15.75" customHeight="1">
      <c r="A363" s="17" t="s">
        <v>1794</v>
      </c>
      <c r="B363" s="18" t="s">
        <v>2531</v>
      </c>
      <c r="C363" s="18" t="s">
        <v>2428</v>
      </c>
      <c r="D363" s="17" t="s">
        <v>1796</v>
      </c>
      <c r="E363" s="18" t="s">
        <v>1211</v>
      </c>
      <c r="F363" s="18" t="s">
        <v>1797</v>
      </c>
      <c r="G363" s="18" t="s">
        <v>485</v>
      </c>
      <c r="H363" s="17" t="s">
        <v>305</v>
      </c>
      <c r="I363" s="17" t="s">
        <v>306</v>
      </c>
      <c r="J363" s="17" t="s">
        <v>197</v>
      </c>
      <c r="K363" s="18" t="s">
        <v>198</v>
      </c>
      <c r="L363" s="18" t="s">
        <v>66</v>
      </c>
      <c r="M363" s="18" t="s">
        <v>199</v>
      </c>
      <c r="N363" s="18" t="s">
        <v>200</v>
      </c>
      <c r="O363" s="17">
        <v>5</v>
      </c>
      <c r="P363" s="59">
        <v>50</v>
      </c>
      <c r="Q363" s="60">
        <v>8</v>
      </c>
      <c r="R363" s="17">
        <v>5</v>
      </c>
      <c r="S363" s="19">
        <v>242</v>
      </c>
      <c r="T363" s="18" t="s">
        <v>115</v>
      </c>
      <c r="U363" s="18" t="s">
        <v>211</v>
      </c>
      <c r="V363" s="18" t="s">
        <v>212</v>
      </c>
    </row>
    <row r="364" spans="1:22" ht="15.75" customHeight="1">
      <c r="A364" s="13" t="s">
        <v>1799</v>
      </c>
      <c r="B364" s="14" t="s">
        <v>2409</v>
      </c>
      <c r="C364" s="14" t="s">
        <v>2442</v>
      </c>
      <c r="D364" s="13" t="s">
        <v>1801</v>
      </c>
      <c r="E364" s="14" t="s">
        <v>469</v>
      </c>
      <c r="F364" s="14" t="s">
        <v>1802</v>
      </c>
      <c r="G364" s="14" t="s">
        <v>333</v>
      </c>
      <c r="H364" s="13" t="s">
        <v>334</v>
      </c>
      <c r="I364" s="13" t="s">
        <v>63</v>
      </c>
      <c r="J364" s="13" t="s">
        <v>595</v>
      </c>
      <c r="K364" s="14" t="s">
        <v>596</v>
      </c>
      <c r="L364" s="14" t="s">
        <v>112</v>
      </c>
      <c r="M364" s="14" t="s">
        <v>240</v>
      </c>
      <c r="N364" s="14" t="s">
        <v>597</v>
      </c>
      <c r="O364" s="13">
        <v>6</v>
      </c>
      <c r="P364" s="61">
        <v>1200</v>
      </c>
      <c r="Q364" s="62">
        <v>25</v>
      </c>
      <c r="R364" s="13">
        <v>5</v>
      </c>
      <c r="S364" s="16">
        <v>5670</v>
      </c>
      <c r="T364" s="14" t="s">
        <v>413</v>
      </c>
      <c r="U364" s="14" t="s">
        <v>211</v>
      </c>
      <c r="V364" s="14" t="s">
        <v>212</v>
      </c>
    </row>
    <row r="365" spans="1:22" ht="15.75" customHeight="1">
      <c r="A365" s="17" t="s">
        <v>1803</v>
      </c>
      <c r="B365" s="18" t="s">
        <v>2403</v>
      </c>
      <c r="C365" s="18" t="s">
        <v>2477</v>
      </c>
      <c r="D365" s="17" t="s">
        <v>1805</v>
      </c>
      <c r="E365" s="18" t="s">
        <v>749</v>
      </c>
      <c r="F365" s="18" t="s">
        <v>1806</v>
      </c>
      <c r="G365" s="18" t="s">
        <v>61</v>
      </c>
      <c r="H365" s="17" t="s">
        <v>62</v>
      </c>
      <c r="I365" s="17" t="s">
        <v>63</v>
      </c>
      <c r="J365" s="17" t="s">
        <v>595</v>
      </c>
      <c r="K365" s="18" t="s">
        <v>596</v>
      </c>
      <c r="L365" s="18" t="s">
        <v>112</v>
      </c>
      <c r="M365" s="18" t="s">
        <v>240</v>
      </c>
      <c r="N365" s="18" t="s">
        <v>597</v>
      </c>
      <c r="O365" s="17">
        <v>3</v>
      </c>
      <c r="P365" s="59">
        <v>1200</v>
      </c>
      <c r="Q365" s="60">
        <v>20</v>
      </c>
      <c r="R365" s="17">
        <v>5</v>
      </c>
      <c r="S365" s="19">
        <v>3024</v>
      </c>
      <c r="T365" s="18" t="s">
        <v>115</v>
      </c>
      <c r="U365" s="18" t="s">
        <v>143</v>
      </c>
      <c r="V365" s="18" t="s">
        <v>155</v>
      </c>
    </row>
    <row r="366" spans="1:22" ht="15.75" customHeight="1">
      <c r="A366" s="13" t="s">
        <v>1807</v>
      </c>
      <c r="B366" s="14" t="s">
        <v>2452</v>
      </c>
      <c r="C366" s="14" t="s">
        <v>627</v>
      </c>
      <c r="D366" s="13" t="s">
        <v>1809</v>
      </c>
      <c r="E366" s="14" t="s">
        <v>489</v>
      </c>
      <c r="F366" s="14" t="s">
        <v>2394</v>
      </c>
      <c r="G366" s="14" t="s">
        <v>122</v>
      </c>
      <c r="H366" s="13" t="s">
        <v>122</v>
      </c>
      <c r="I366" s="13" t="s">
        <v>123</v>
      </c>
      <c r="J366" s="13" t="s">
        <v>124</v>
      </c>
      <c r="K366" s="14" t="s">
        <v>125</v>
      </c>
      <c r="L366" s="14" t="s">
        <v>99</v>
      </c>
      <c r="M366" s="14" t="s">
        <v>100</v>
      </c>
      <c r="N366" s="14" t="s">
        <v>126</v>
      </c>
      <c r="O366" s="13">
        <v>1</v>
      </c>
      <c r="P366" s="61">
        <v>14000</v>
      </c>
      <c r="Q366" s="62">
        <v>12</v>
      </c>
      <c r="R366" s="13">
        <v>18</v>
      </c>
      <c r="S366" s="16">
        <v>14538</v>
      </c>
      <c r="T366" s="14" t="s">
        <v>102</v>
      </c>
      <c r="U366" s="14" t="s">
        <v>211</v>
      </c>
      <c r="V366" s="14" t="s">
        <v>212</v>
      </c>
    </row>
    <row r="367" spans="1:22" ht="15.75" customHeight="1">
      <c r="A367" s="17" t="s">
        <v>1810</v>
      </c>
      <c r="B367" s="18" t="s">
        <v>1443</v>
      </c>
      <c r="C367" s="18" t="s">
        <v>2442</v>
      </c>
      <c r="D367" s="17" t="s">
        <v>1811</v>
      </c>
      <c r="E367" s="18" t="s">
        <v>469</v>
      </c>
      <c r="F367" s="18" t="s">
        <v>1812</v>
      </c>
      <c r="G367" s="18" t="s">
        <v>122</v>
      </c>
      <c r="H367" s="17" t="s">
        <v>122</v>
      </c>
      <c r="I367" s="17" t="s">
        <v>123</v>
      </c>
      <c r="J367" s="17" t="s">
        <v>376</v>
      </c>
      <c r="K367" s="18" t="s">
        <v>377</v>
      </c>
      <c r="L367" s="18" t="s">
        <v>112</v>
      </c>
      <c r="M367" s="18" t="s">
        <v>113</v>
      </c>
      <c r="N367" s="18" t="s">
        <v>378</v>
      </c>
      <c r="O367" s="17">
        <v>5</v>
      </c>
      <c r="P367" s="59">
        <v>8500</v>
      </c>
      <c r="Q367" s="60">
        <v>8</v>
      </c>
      <c r="R367" s="17">
        <v>18</v>
      </c>
      <c r="S367" s="19">
        <v>46138</v>
      </c>
      <c r="T367" s="18" t="s">
        <v>115</v>
      </c>
      <c r="U367" s="18" t="s">
        <v>70</v>
      </c>
      <c r="V367" s="18" t="s">
        <v>212</v>
      </c>
    </row>
    <row r="368" spans="1:22" ht="15.75" customHeight="1">
      <c r="A368" s="13" t="s">
        <v>1813</v>
      </c>
      <c r="B368" s="14" t="s">
        <v>452</v>
      </c>
      <c r="C368" s="14" t="s">
        <v>482</v>
      </c>
      <c r="D368" s="13" t="s">
        <v>1815</v>
      </c>
      <c r="E368" s="14" t="s">
        <v>776</v>
      </c>
      <c r="F368" s="14" t="s">
        <v>1816</v>
      </c>
      <c r="G368" s="14" t="s">
        <v>341</v>
      </c>
      <c r="H368" s="13" t="s">
        <v>62</v>
      </c>
      <c r="I368" s="13" t="s">
        <v>63</v>
      </c>
      <c r="J368" s="13" t="s">
        <v>295</v>
      </c>
      <c r="K368" s="14" t="s">
        <v>2425</v>
      </c>
      <c r="L368" s="14" t="s">
        <v>66</v>
      </c>
      <c r="M368" s="14" t="s">
        <v>297</v>
      </c>
      <c r="N368" s="14" t="s">
        <v>298</v>
      </c>
      <c r="O368" s="13">
        <v>7</v>
      </c>
      <c r="P368" s="61">
        <v>280</v>
      </c>
      <c r="Q368" s="62">
        <v>80</v>
      </c>
      <c r="R368" s="13">
        <v>5</v>
      </c>
      <c r="S368" s="16">
        <v>412</v>
      </c>
      <c r="T368" s="14" t="s">
        <v>413</v>
      </c>
      <c r="U368" s="14" t="s">
        <v>184</v>
      </c>
      <c r="V368" s="14" t="s">
        <v>155</v>
      </c>
    </row>
    <row r="369" spans="1:22" ht="15.75" customHeight="1">
      <c r="A369" s="17" t="s">
        <v>1817</v>
      </c>
      <c r="B369" s="18" t="s">
        <v>2200</v>
      </c>
      <c r="C369" s="18" t="s">
        <v>2487</v>
      </c>
      <c r="D369" s="17" t="s">
        <v>2502</v>
      </c>
      <c r="E369" s="18" t="s">
        <v>827</v>
      </c>
      <c r="F369" s="18" t="s">
        <v>2394</v>
      </c>
      <c r="G369" s="18" t="s">
        <v>228</v>
      </c>
      <c r="H369" s="17" t="s">
        <v>152</v>
      </c>
      <c r="I369" s="17" t="s">
        <v>80</v>
      </c>
      <c r="J369" s="17" t="s">
        <v>595</v>
      </c>
      <c r="K369" s="18" t="s">
        <v>596</v>
      </c>
      <c r="L369" s="18" t="s">
        <v>112</v>
      </c>
      <c r="M369" s="18" t="s">
        <v>240</v>
      </c>
      <c r="N369" s="18" t="s">
        <v>597</v>
      </c>
      <c r="O369" s="17">
        <v>6</v>
      </c>
      <c r="P369" s="59">
        <v>1200</v>
      </c>
      <c r="Q369" s="60">
        <v>20</v>
      </c>
      <c r="R369" s="17">
        <v>5</v>
      </c>
      <c r="S369" s="19">
        <v>6048</v>
      </c>
      <c r="T369" s="18" t="s">
        <v>153</v>
      </c>
      <c r="U369" s="18" t="s">
        <v>211</v>
      </c>
      <c r="V369" s="18" t="s">
        <v>212</v>
      </c>
    </row>
    <row r="370" spans="1:22" ht="15.75" customHeight="1">
      <c r="A370" s="13" t="s">
        <v>1818</v>
      </c>
      <c r="B370" s="14" t="s">
        <v>2427</v>
      </c>
      <c r="C370" s="14" t="s">
        <v>2410</v>
      </c>
      <c r="D370" s="13" t="s">
        <v>1819</v>
      </c>
      <c r="E370" s="14" t="s">
        <v>226</v>
      </c>
      <c r="F370" s="14" t="s">
        <v>1820</v>
      </c>
      <c r="G370" s="14" t="s">
        <v>228</v>
      </c>
      <c r="H370" s="13" t="s">
        <v>152</v>
      </c>
      <c r="I370" s="13" t="s">
        <v>80</v>
      </c>
      <c r="J370" s="13" t="s">
        <v>219</v>
      </c>
      <c r="K370" s="14" t="s">
        <v>2408</v>
      </c>
      <c r="L370" s="14" t="s">
        <v>99</v>
      </c>
      <c r="M370" s="14" t="s">
        <v>100</v>
      </c>
      <c r="N370" s="14" t="s">
        <v>221</v>
      </c>
      <c r="O370" s="13">
        <v>2</v>
      </c>
      <c r="P370" s="61">
        <v>89000</v>
      </c>
      <c r="Q370" s="62">
        <v>8</v>
      </c>
      <c r="R370" s="13">
        <v>18</v>
      </c>
      <c r="S370" s="16">
        <v>193237</v>
      </c>
      <c r="T370" s="14" t="s">
        <v>153</v>
      </c>
      <c r="U370" s="14" t="s">
        <v>184</v>
      </c>
      <c r="V370" s="14" t="s">
        <v>212</v>
      </c>
    </row>
    <row r="371" spans="1:22" ht="15.75" customHeight="1">
      <c r="A371" s="17" t="s">
        <v>1821</v>
      </c>
      <c r="B371" s="18" t="s">
        <v>706</v>
      </c>
      <c r="C371" s="18" t="s">
        <v>2278</v>
      </c>
      <c r="D371" s="17" t="s">
        <v>1823</v>
      </c>
      <c r="E371" s="18" t="s">
        <v>1098</v>
      </c>
      <c r="F371" s="18" t="s">
        <v>1824</v>
      </c>
      <c r="G371" s="18" t="s">
        <v>333</v>
      </c>
      <c r="H371" s="17" t="s">
        <v>334</v>
      </c>
      <c r="I371" s="17" t="s">
        <v>63</v>
      </c>
      <c r="J371" s="17" t="s">
        <v>124</v>
      </c>
      <c r="K371" s="18" t="s">
        <v>125</v>
      </c>
      <c r="L371" s="18" t="s">
        <v>99</v>
      </c>
      <c r="M371" s="18" t="s">
        <v>100</v>
      </c>
      <c r="N371" s="18" t="s">
        <v>126</v>
      </c>
      <c r="O371" s="17">
        <v>2</v>
      </c>
      <c r="P371" s="59">
        <v>14000</v>
      </c>
      <c r="Q371" s="60">
        <v>5</v>
      </c>
      <c r="R371" s="17">
        <v>18</v>
      </c>
      <c r="S371" s="19">
        <v>31388</v>
      </c>
      <c r="T371" s="18" t="s">
        <v>127</v>
      </c>
      <c r="U371" s="18" t="s">
        <v>184</v>
      </c>
      <c r="V371" s="18" t="s">
        <v>212</v>
      </c>
    </row>
    <row r="372" spans="1:22" ht="15.75" customHeight="1">
      <c r="A372" s="13" t="s">
        <v>1825</v>
      </c>
      <c r="B372" s="14" t="s">
        <v>2530</v>
      </c>
      <c r="C372" s="14" t="s">
        <v>712</v>
      </c>
      <c r="D372" s="13" t="s">
        <v>1826</v>
      </c>
      <c r="E372" s="14" t="s">
        <v>1053</v>
      </c>
      <c r="F372" s="14" t="s">
        <v>1827</v>
      </c>
      <c r="G372" s="14" t="s">
        <v>78</v>
      </c>
      <c r="H372" s="13" t="s">
        <v>79</v>
      </c>
      <c r="I372" s="13" t="s">
        <v>80</v>
      </c>
      <c r="J372" s="13" t="s">
        <v>97</v>
      </c>
      <c r="K372" s="14" t="s">
        <v>2395</v>
      </c>
      <c r="L372" s="14" t="s">
        <v>99</v>
      </c>
      <c r="M372" s="14" t="s">
        <v>100</v>
      </c>
      <c r="N372" s="14" t="s">
        <v>2396</v>
      </c>
      <c r="O372" s="13">
        <v>1</v>
      </c>
      <c r="P372" s="61">
        <v>28000</v>
      </c>
      <c r="Q372" s="62">
        <v>8</v>
      </c>
      <c r="R372" s="13">
        <v>18</v>
      </c>
      <c r="S372" s="16">
        <v>30397</v>
      </c>
      <c r="T372" s="14" t="s">
        <v>465</v>
      </c>
      <c r="U372" s="14" t="s">
        <v>211</v>
      </c>
      <c r="V372" s="14" t="s">
        <v>212</v>
      </c>
    </row>
    <row r="373" spans="1:22" ht="15.75" customHeight="1">
      <c r="A373" s="17" t="s">
        <v>1828</v>
      </c>
      <c r="B373" s="18" t="s">
        <v>1046</v>
      </c>
      <c r="C373" s="18" t="s">
        <v>2415</v>
      </c>
      <c r="D373" s="17" t="s">
        <v>1830</v>
      </c>
      <c r="E373" s="18" t="s">
        <v>498</v>
      </c>
      <c r="F373" s="18" t="s">
        <v>1831</v>
      </c>
      <c r="G373" s="18" t="s">
        <v>228</v>
      </c>
      <c r="H373" s="17" t="s">
        <v>152</v>
      </c>
      <c r="I373" s="17" t="s">
        <v>80</v>
      </c>
      <c r="J373" s="17" t="s">
        <v>64</v>
      </c>
      <c r="K373" s="18" t="s">
        <v>2389</v>
      </c>
      <c r="L373" s="18" t="s">
        <v>66</v>
      </c>
      <c r="M373" s="18" t="s">
        <v>67</v>
      </c>
      <c r="N373" s="18" t="s">
        <v>68</v>
      </c>
      <c r="O373" s="17">
        <v>7</v>
      </c>
      <c r="P373" s="59">
        <v>450</v>
      </c>
      <c r="Q373" s="60">
        <v>25</v>
      </c>
      <c r="R373" s="17">
        <v>5</v>
      </c>
      <c r="S373" s="19">
        <v>2481</v>
      </c>
      <c r="T373" s="18" t="s">
        <v>153</v>
      </c>
      <c r="U373" s="18" t="s">
        <v>211</v>
      </c>
      <c r="V373" s="18" t="s">
        <v>212</v>
      </c>
    </row>
    <row r="374" spans="1:22" ht="15.75" customHeight="1">
      <c r="A374" s="13" t="s">
        <v>1832</v>
      </c>
      <c r="B374" s="14" t="s">
        <v>1729</v>
      </c>
      <c r="C374" s="14" t="s">
        <v>482</v>
      </c>
      <c r="D374" s="13" t="s">
        <v>1834</v>
      </c>
      <c r="E374" s="14" t="s">
        <v>776</v>
      </c>
      <c r="F374" s="14" t="s">
        <v>1835</v>
      </c>
      <c r="G374" s="14" t="s">
        <v>248</v>
      </c>
      <c r="H374" s="13" t="s">
        <v>249</v>
      </c>
      <c r="I374" s="13" t="s">
        <v>123</v>
      </c>
      <c r="J374" s="13" t="s">
        <v>124</v>
      </c>
      <c r="K374" s="14" t="s">
        <v>125</v>
      </c>
      <c r="L374" s="14" t="s">
        <v>99</v>
      </c>
      <c r="M374" s="14" t="s">
        <v>100</v>
      </c>
      <c r="N374" s="14" t="s">
        <v>126</v>
      </c>
      <c r="O374" s="13">
        <v>1</v>
      </c>
      <c r="P374" s="61">
        <v>14000</v>
      </c>
      <c r="Q374" s="62">
        <v>0</v>
      </c>
      <c r="R374" s="13">
        <v>18</v>
      </c>
      <c r="S374" s="16">
        <v>16520</v>
      </c>
      <c r="T374" s="14" t="s">
        <v>465</v>
      </c>
      <c r="U374" s="14" t="s">
        <v>211</v>
      </c>
      <c r="V374" s="14" t="s">
        <v>155</v>
      </c>
    </row>
    <row r="375" spans="1:22" ht="15.75" customHeight="1">
      <c r="A375" s="17" t="s">
        <v>1836</v>
      </c>
      <c r="B375" s="18" t="s">
        <v>2109</v>
      </c>
      <c r="C375" s="18" t="s">
        <v>1249</v>
      </c>
      <c r="D375" s="17" t="s">
        <v>1838</v>
      </c>
      <c r="E375" s="18" t="s">
        <v>1839</v>
      </c>
      <c r="F375" s="18" t="s">
        <v>1840</v>
      </c>
      <c r="G375" s="18" t="s">
        <v>485</v>
      </c>
      <c r="H375" s="17" t="s">
        <v>305</v>
      </c>
      <c r="I375" s="17" t="s">
        <v>306</v>
      </c>
      <c r="J375" s="17" t="s">
        <v>491</v>
      </c>
      <c r="K375" s="18" t="s">
        <v>492</v>
      </c>
      <c r="L375" s="18" t="s">
        <v>112</v>
      </c>
      <c r="M375" s="18" t="s">
        <v>493</v>
      </c>
      <c r="N375" s="18" t="s">
        <v>494</v>
      </c>
      <c r="O375" s="17">
        <v>7</v>
      </c>
      <c r="P375" s="59">
        <v>4500</v>
      </c>
      <c r="Q375" s="60">
        <v>5</v>
      </c>
      <c r="R375" s="17">
        <v>5</v>
      </c>
      <c r="S375" s="19">
        <v>31421</v>
      </c>
      <c r="T375" s="18" t="s">
        <v>127</v>
      </c>
      <c r="U375" s="18" t="s">
        <v>184</v>
      </c>
      <c r="V375" s="18" t="s">
        <v>155</v>
      </c>
    </row>
    <row r="376" spans="1:22" ht="15.75" customHeight="1">
      <c r="A376" s="13" t="s">
        <v>1841</v>
      </c>
      <c r="B376" s="14" t="s">
        <v>2519</v>
      </c>
      <c r="C376" s="14" t="s">
        <v>2400</v>
      </c>
      <c r="D376" s="13" t="s">
        <v>1842</v>
      </c>
      <c r="E376" s="14" t="s">
        <v>651</v>
      </c>
      <c r="F376" s="14" t="s">
        <v>1843</v>
      </c>
      <c r="G376" s="14" t="s">
        <v>135</v>
      </c>
      <c r="H376" s="13" t="s">
        <v>136</v>
      </c>
      <c r="I376" s="13" t="s">
        <v>63</v>
      </c>
      <c r="J376" s="13" t="s">
        <v>110</v>
      </c>
      <c r="K376" s="14" t="s">
        <v>2441</v>
      </c>
      <c r="L376" s="14" t="s">
        <v>112</v>
      </c>
      <c r="M376" s="14" t="s">
        <v>113</v>
      </c>
      <c r="N376" s="14" t="s">
        <v>114</v>
      </c>
      <c r="O376" s="13">
        <v>2</v>
      </c>
      <c r="P376" s="61">
        <v>3500</v>
      </c>
      <c r="Q376" s="62">
        <v>80</v>
      </c>
      <c r="R376" s="13">
        <v>18</v>
      </c>
      <c r="S376" s="16">
        <v>1652</v>
      </c>
      <c r="T376" s="14" t="s">
        <v>465</v>
      </c>
      <c r="U376" s="14" t="s">
        <v>143</v>
      </c>
      <c r="V376" s="14" t="s">
        <v>212</v>
      </c>
    </row>
    <row r="377" spans="1:22" ht="15.75" customHeight="1">
      <c r="A377" s="17" t="s">
        <v>1844</v>
      </c>
      <c r="B377" s="18" t="s">
        <v>2466</v>
      </c>
      <c r="C377" s="18" t="s">
        <v>2417</v>
      </c>
      <c r="D377" s="17" t="s">
        <v>1845</v>
      </c>
      <c r="E377" s="18" t="s">
        <v>395</v>
      </c>
      <c r="F377" s="18" t="s">
        <v>1846</v>
      </c>
      <c r="G377" s="18" t="s">
        <v>228</v>
      </c>
      <c r="H377" s="17" t="s">
        <v>152</v>
      </c>
      <c r="I377" s="17" t="s">
        <v>80</v>
      </c>
      <c r="J377" s="17" t="s">
        <v>238</v>
      </c>
      <c r="K377" s="18" t="s">
        <v>2412</v>
      </c>
      <c r="L377" s="18" t="s">
        <v>112</v>
      </c>
      <c r="M377" s="18" t="s">
        <v>240</v>
      </c>
      <c r="N377" s="18" t="s">
        <v>2413</v>
      </c>
      <c r="O377" s="17">
        <v>6</v>
      </c>
      <c r="P377" s="59">
        <v>2500</v>
      </c>
      <c r="Q377" s="60">
        <v>15</v>
      </c>
      <c r="R377" s="17">
        <v>5</v>
      </c>
      <c r="S377" s="19">
        <v>13388</v>
      </c>
      <c r="T377" s="18" t="s">
        <v>153</v>
      </c>
      <c r="U377" s="18" t="s">
        <v>143</v>
      </c>
      <c r="V377" s="18" t="s">
        <v>155</v>
      </c>
    </row>
    <row r="378" spans="1:22" ht="15.75" customHeight="1">
      <c r="A378" s="13" t="s">
        <v>1847</v>
      </c>
      <c r="B378" s="14" t="s">
        <v>2438</v>
      </c>
      <c r="C378" s="14" t="s">
        <v>74</v>
      </c>
      <c r="D378" s="13" t="s">
        <v>1848</v>
      </c>
      <c r="E378" s="14" t="s">
        <v>1589</v>
      </c>
      <c r="F378" s="14" t="s">
        <v>1849</v>
      </c>
      <c r="G378" s="14" t="s">
        <v>95</v>
      </c>
      <c r="H378" s="13" t="s">
        <v>96</v>
      </c>
      <c r="I378" s="13" t="s">
        <v>63</v>
      </c>
      <c r="J378" s="13" t="s">
        <v>97</v>
      </c>
      <c r="K378" s="14" t="s">
        <v>2395</v>
      </c>
      <c r="L378" s="14" t="s">
        <v>99</v>
      </c>
      <c r="M378" s="14" t="s">
        <v>100</v>
      </c>
      <c r="N378" s="14" t="s">
        <v>2396</v>
      </c>
      <c r="O378" s="13">
        <v>7</v>
      </c>
      <c r="P378" s="61">
        <v>28000</v>
      </c>
      <c r="Q378" s="62">
        <v>5</v>
      </c>
      <c r="R378" s="13">
        <v>18</v>
      </c>
      <c r="S378" s="16">
        <v>219716</v>
      </c>
      <c r="T378" s="14" t="s">
        <v>102</v>
      </c>
      <c r="U378" s="14" t="s">
        <v>211</v>
      </c>
      <c r="V378" s="14" t="s">
        <v>212</v>
      </c>
    </row>
    <row r="379" spans="1:22" ht="15.75" customHeight="1">
      <c r="A379" s="17" t="s">
        <v>1850</v>
      </c>
      <c r="B379" s="18" t="s">
        <v>2101</v>
      </c>
      <c r="C379" s="18" t="s">
        <v>2405</v>
      </c>
      <c r="D379" s="17" t="s">
        <v>1851</v>
      </c>
      <c r="E379" s="18" t="s">
        <v>1852</v>
      </c>
      <c r="F379" s="18" t="s">
        <v>1853</v>
      </c>
      <c r="G379" s="18" t="s">
        <v>2422</v>
      </c>
      <c r="H379" s="17" t="s">
        <v>96</v>
      </c>
      <c r="I379" s="17" t="s">
        <v>63</v>
      </c>
      <c r="J379" s="17" t="s">
        <v>420</v>
      </c>
      <c r="K379" s="18" t="s">
        <v>2445</v>
      </c>
      <c r="L379" s="18" t="s">
        <v>112</v>
      </c>
      <c r="M379" s="18" t="s">
        <v>422</v>
      </c>
      <c r="N379" s="18" t="s">
        <v>2446</v>
      </c>
      <c r="O379" s="17">
        <v>7</v>
      </c>
      <c r="P379" s="59">
        <v>4800</v>
      </c>
      <c r="Q379" s="60">
        <v>25</v>
      </c>
      <c r="R379" s="17">
        <v>18</v>
      </c>
      <c r="S379" s="19">
        <v>29736</v>
      </c>
      <c r="T379" s="18" t="s">
        <v>413</v>
      </c>
      <c r="U379" s="18" t="s">
        <v>211</v>
      </c>
      <c r="V379" s="18" t="s">
        <v>155</v>
      </c>
    </row>
    <row r="380" spans="1:22" ht="15.75" customHeight="1">
      <c r="A380" s="13" t="s">
        <v>1854</v>
      </c>
      <c r="B380" s="14" t="s">
        <v>592</v>
      </c>
      <c r="C380" s="14" t="s">
        <v>2456</v>
      </c>
      <c r="D380" s="13" t="s">
        <v>1855</v>
      </c>
      <c r="E380" s="14" t="s">
        <v>867</v>
      </c>
      <c r="F380" s="14" t="s">
        <v>1856</v>
      </c>
      <c r="G380" s="14" t="s">
        <v>744</v>
      </c>
      <c r="H380" s="13" t="s">
        <v>79</v>
      </c>
      <c r="I380" s="13" t="s">
        <v>80</v>
      </c>
      <c r="J380" s="13" t="s">
        <v>219</v>
      </c>
      <c r="K380" s="14" t="s">
        <v>2408</v>
      </c>
      <c r="L380" s="14" t="s">
        <v>99</v>
      </c>
      <c r="M380" s="14" t="s">
        <v>100</v>
      </c>
      <c r="N380" s="14" t="s">
        <v>221</v>
      </c>
      <c r="O380" s="13">
        <v>10</v>
      </c>
      <c r="P380" s="61">
        <v>89000</v>
      </c>
      <c r="Q380" s="62">
        <v>20</v>
      </c>
      <c r="R380" s="13">
        <v>18</v>
      </c>
      <c r="S380" s="16">
        <v>840160</v>
      </c>
      <c r="T380" s="14" t="s">
        <v>465</v>
      </c>
      <c r="U380" s="14" t="s">
        <v>211</v>
      </c>
      <c r="V380" s="14" t="s">
        <v>155</v>
      </c>
    </row>
    <row r="381" spans="1:22" ht="15.75" customHeight="1">
      <c r="A381" s="17" t="s">
        <v>1857</v>
      </c>
      <c r="B381" s="18" t="s">
        <v>1395</v>
      </c>
      <c r="C381" s="18" t="s">
        <v>2400</v>
      </c>
      <c r="D381" s="17" t="s">
        <v>1859</v>
      </c>
      <c r="E381" s="18" t="s">
        <v>489</v>
      </c>
      <c r="F381" s="18" t="s">
        <v>1860</v>
      </c>
      <c r="G381" s="18" t="s">
        <v>744</v>
      </c>
      <c r="H381" s="17" t="s">
        <v>79</v>
      </c>
      <c r="I381" s="17" t="s">
        <v>80</v>
      </c>
      <c r="J381" s="17" t="s">
        <v>389</v>
      </c>
      <c r="K381" s="18" t="s">
        <v>390</v>
      </c>
      <c r="L381" s="18" t="s">
        <v>99</v>
      </c>
      <c r="M381" s="18" t="s">
        <v>164</v>
      </c>
      <c r="N381" s="18" t="s">
        <v>391</v>
      </c>
      <c r="O381" s="17">
        <v>5</v>
      </c>
      <c r="P381" s="59">
        <v>1500</v>
      </c>
      <c r="Q381" s="60">
        <v>0</v>
      </c>
      <c r="R381" s="17">
        <v>18</v>
      </c>
      <c r="S381" s="19">
        <v>8850</v>
      </c>
      <c r="T381" s="18" t="s">
        <v>465</v>
      </c>
      <c r="U381" s="18" t="s">
        <v>184</v>
      </c>
      <c r="V381" s="18" t="s">
        <v>212</v>
      </c>
    </row>
    <row r="382" spans="1:22" ht="15.75" customHeight="1">
      <c r="A382" s="13" t="s">
        <v>1861</v>
      </c>
      <c r="B382" s="14" t="s">
        <v>2427</v>
      </c>
      <c r="C382" s="14" t="s">
        <v>2449</v>
      </c>
      <c r="D382" s="13" t="s">
        <v>1862</v>
      </c>
      <c r="E382" s="14" t="s">
        <v>1671</v>
      </c>
      <c r="F382" s="14" t="s">
        <v>1863</v>
      </c>
      <c r="G382" s="14" t="s">
        <v>485</v>
      </c>
      <c r="H382" s="13" t="s">
        <v>305</v>
      </c>
      <c r="I382" s="13" t="s">
        <v>306</v>
      </c>
      <c r="J382" s="13" t="s">
        <v>64</v>
      </c>
      <c r="K382" s="14" t="s">
        <v>2389</v>
      </c>
      <c r="L382" s="14" t="s">
        <v>66</v>
      </c>
      <c r="M382" s="14" t="s">
        <v>67</v>
      </c>
      <c r="N382" s="14" t="s">
        <v>68</v>
      </c>
      <c r="O382" s="13">
        <v>7</v>
      </c>
      <c r="P382" s="61">
        <v>450</v>
      </c>
      <c r="Q382" s="62">
        <v>0</v>
      </c>
      <c r="R382" s="13">
        <v>5</v>
      </c>
      <c r="S382" s="16">
        <v>3308</v>
      </c>
      <c r="T382" s="14" t="s">
        <v>115</v>
      </c>
      <c r="U382" s="14" t="s">
        <v>184</v>
      </c>
      <c r="V382" s="14" t="s">
        <v>212</v>
      </c>
    </row>
    <row r="383" spans="1:22" ht="15.75" customHeight="1">
      <c r="A383" s="17" t="s">
        <v>1864</v>
      </c>
      <c r="B383" s="18" t="s">
        <v>2470</v>
      </c>
      <c r="C383" s="18" t="s">
        <v>2477</v>
      </c>
      <c r="D383" s="17" t="s">
        <v>1865</v>
      </c>
      <c r="E383" s="18" t="s">
        <v>749</v>
      </c>
      <c r="F383" s="18" t="s">
        <v>1866</v>
      </c>
      <c r="G383" s="18" t="s">
        <v>333</v>
      </c>
      <c r="H383" s="17" t="s">
        <v>334</v>
      </c>
      <c r="I383" s="17" t="s">
        <v>63</v>
      </c>
      <c r="J383" s="17" t="s">
        <v>275</v>
      </c>
      <c r="K383" s="18" t="s">
        <v>2423</v>
      </c>
      <c r="L383" s="18" t="s">
        <v>99</v>
      </c>
      <c r="M383" s="18" t="s">
        <v>277</v>
      </c>
      <c r="N383" s="18" t="s">
        <v>126</v>
      </c>
      <c r="O383" s="17">
        <v>7</v>
      </c>
      <c r="P383" s="59">
        <v>35000</v>
      </c>
      <c r="Q383" s="60">
        <v>8</v>
      </c>
      <c r="R383" s="17">
        <v>18</v>
      </c>
      <c r="S383" s="19">
        <v>265972</v>
      </c>
      <c r="T383" s="18" t="s">
        <v>102</v>
      </c>
      <c r="U383" s="18" t="s">
        <v>184</v>
      </c>
      <c r="V383" s="18" t="s">
        <v>155</v>
      </c>
    </row>
    <row r="384" spans="1:22" ht="15.75" customHeight="1">
      <c r="A384" s="13" t="s">
        <v>1867</v>
      </c>
      <c r="B384" s="14" t="s">
        <v>2516</v>
      </c>
      <c r="C384" s="14" t="s">
        <v>2432</v>
      </c>
      <c r="D384" s="13" t="s">
        <v>1869</v>
      </c>
      <c r="E384" s="14" t="s">
        <v>952</v>
      </c>
      <c r="F384" s="14" t="s">
        <v>1870</v>
      </c>
      <c r="G384" s="14" t="s">
        <v>122</v>
      </c>
      <c r="H384" s="13" t="s">
        <v>122</v>
      </c>
      <c r="I384" s="13" t="s">
        <v>123</v>
      </c>
      <c r="J384" s="13" t="s">
        <v>477</v>
      </c>
      <c r="K384" s="14" t="s">
        <v>2441</v>
      </c>
      <c r="L384" s="14" t="s">
        <v>139</v>
      </c>
      <c r="M384" s="14" t="s">
        <v>349</v>
      </c>
      <c r="N384" s="14" t="s">
        <v>479</v>
      </c>
      <c r="O384" s="13">
        <v>3</v>
      </c>
      <c r="P384" s="61">
        <v>2200</v>
      </c>
      <c r="Q384" s="62">
        <v>8</v>
      </c>
      <c r="R384" s="13">
        <v>12</v>
      </c>
      <c r="S384" s="16">
        <v>6801</v>
      </c>
      <c r="T384" s="14" t="s">
        <v>127</v>
      </c>
      <c r="U384" s="14" t="s">
        <v>288</v>
      </c>
      <c r="V384" s="14" t="s">
        <v>155</v>
      </c>
    </row>
    <row r="385" spans="1:22" ht="15.75" customHeight="1">
      <c r="A385" s="17" t="s">
        <v>1871</v>
      </c>
      <c r="B385" s="18" t="s">
        <v>2510</v>
      </c>
      <c r="C385" s="18" t="s">
        <v>2402</v>
      </c>
      <c r="D385" s="17" t="s">
        <v>1872</v>
      </c>
      <c r="E385" s="18" t="s">
        <v>324</v>
      </c>
      <c r="F385" s="18" t="s">
        <v>1873</v>
      </c>
      <c r="G385" s="18" t="s">
        <v>172</v>
      </c>
      <c r="H385" s="17" t="s">
        <v>96</v>
      </c>
      <c r="I385" s="17" t="s">
        <v>63</v>
      </c>
      <c r="J385" s="17" t="s">
        <v>376</v>
      </c>
      <c r="K385" s="18" t="s">
        <v>377</v>
      </c>
      <c r="L385" s="18" t="s">
        <v>112</v>
      </c>
      <c r="M385" s="18" t="s">
        <v>113</v>
      </c>
      <c r="N385" s="18" t="s">
        <v>378</v>
      </c>
      <c r="O385" s="17">
        <v>5</v>
      </c>
      <c r="P385" s="59">
        <v>8500</v>
      </c>
      <c r="Q385" s="60">
        <v>8</v>
      </c>
      <c r="R385" s="17">
        <v>18</v>
      </c>
      <c r="S385" s="19">
        <v>46138</v>
      </c>
      <c r="T385" s="18" t="s">
        <v>115</v>
      </c>
      <c r="U385" s="18" t="s">
        <v>211</v>
      </c>
      <c r="V385" s="18" t="s">
        <v>212</v>
      </c>
    </row>
    <row r="386" spans="1:22" ht="15.75" customHeight="1">
      <c r="A386" s="13" t="s">
        <v>1874</v>
      </c>
      <c r="B386" s="14" t="s">
        <v>1547</v>
      </c>
      <c r="C386" s="14" t="s">
        <v>482</v>
      </c>
      <c r="D386" s="13" t="s">
        <v>1876</v>
      </c>
      <c r="E386" s="14" t="s">
        <v>776</v>
      </c>
      <c r="F386" s="14" t="s">
        <v>1877</v>
      </c>
      <c r="G386" s="14" t="s">
        <v>341</v>
      </c>
      <c r="H386" s="13" t="s">
        <v>62</v>
      </c>
      <c r="I386" s="13" t="s">
        <v>63</v>
      </c>
      <c r="J386" s="13" t="s">
        <v>219</v>
      </c>
      <c r="K386" s="14" t="s">
        <v>2408</v>
      </c>
      <c r="L386" s="14" t="s">
        <v>99</v>
      </c>
      <c r="M386" s="14" t="s">
        <v>100</v>
      </c>
      <c r="N386" s="14" t="s">
        <v>221</v>
      </c>
      <c r="O386" s="13">
        <v>9</v>
      </c>
      <c r="P386" s="61">
        <v>89000</v>
      </c>
      <c r="Q386" s="62">
        <v>8</v>
      </c>
      <c r="R386" s="13">
        <v>18</v>
      </c>
      <c r="S386" s="16">
        <v>869566</v>
      </c>
      <c r="T386" s="14" t="s">
        <v>465</v>
      </c>
      <c r="U386" s="14" t="s">
        <v>184</v>
      </c>
      <c r="V386" s="14" t="s">
        <v>155</v>
      </c>
    </row>
    <row r="387" spans="1:22" ht="15.75" customHeight="1">
      <c r="A387" s="17" t="s">
        <v>1878</v>
      </c>
      <c r="B387" s="18" t="s">
        <v>2483</v>
      </c>
      <c r="C387" s="18" t="s">
        <v>2465</v>
      </c>
      <c r="D387" s="17" t="s">
        <v>1880</v>
      </c>
      <c r="E387" s="18" t="s">
        <v>2506</v>
      </c>
      <c r="F387" s="18" t="s">
        <v>1881</v>
      </c>
      <c r="G387" s="18" t="s">
        <v>744</v>
      </c>
      <c r="H387" s="17" t="s">
        <v>79</v>
      </c>
      <c r="I387" s="17" t="s">
        <v>80</v>
      </c>
      <c r="J387" s="17" t="s">
        <v>376</v>
      </c>
      <c r="K387" s="18" t="s">
        <v>377</v>
      </c>
      <c r="L387" s="18" t="s">
        <v>112</v>
      </c>
      <c r="M387" s="18" t="s">
        <v>113</v>
      </c>
      <c r="N387" s="18" t="s">
        <v>378</v>
      </c>
      <c r="O387" s="17">
        <v>10</v>
      </c>
      <c r="P387" s="59">
        <v>8500</v>
      </c>
      <c r="Q387" s="60">
        <v>20</v>
      </c>
      <c r="R387" s="17">
        <v>18</v>
      </c>
      <c r="S387" s="19">
        <v>80240</v>
      </c>
      <c r="T387" s="18" t="s">
        <v>413</v>
      </c>
      <c r="U387" s="18" t="s">
        <v>70</v>
      </c>
      <c r="V387" s="18" t="s">
        <v>155</v>
      </c>
    </row>
    <row r="388" spans="1:22" ht="15.75" customHeight="1">
      <c r="A388" s="13" t="s">
        <v>1882</v>
      </c>
      <c r="B388" s="14" t="s">
        <v>2419</v>
      </c>
      <c r="C388" s="14" t="s">
        <v>2398</v>
      </c>
      <c r="D388" s="13" t="s">
        <v>1884</v>
      </c>
      <c r="E388" s="14" t="s">
        <v>310</v>
      </c>
      <c r="F388" s="14" t="s">
        <v>1885</v>
      </c>
      <c r="G388" s="14" t="s">
        <v>248</v>
      </c>
      <c r="H388" s="13" t="s">
        <v>249</v>
      </c>
      <c r="I388" s="13" t="s">
        <v>123</v>
      </c>
      <c r="J388" s="13" t="s">
        <v>64</v>
      </c>
      <c r="K388" s="14" t="s">
        <v>2389</v>
      </c>
      <c r="L388" s="14" t="s">
        <v>66</v>
      </c>
      <c r="M388" s="14" t="s">
        <v>67</v>
      </c>
      <c r="N388" s="14" t="s">
        <v>68</v>
      </c>
      <c r="O388" s="13">
        <v>1</v>
      </c>
      <c r="P388" s="61">
        <v>450</v>
      </c>
      <c r="Q388" s="62">
        <v>0</v>
      </c>
      <c r="R388" s="13">
        <v>5</v>
      </c>
      <c r="S388" s="16">
        <v>472</v>
      </c>
      <c r="T388" s="14" t="s">
        <v>413</v>
      </c>
      <c r="U388" s="14" t="s">
        <v>288</v>
      </c>
      <c r="V388" s="14" t="s">
        <v>212</v>
      </c>
    </row>
    <row r="389" spans="1:22" ht="15.75" customHeight="1">
      <c r="A389" s="17" t="s">
        <v>1887</v>
      </c>
      <c r="B389" s="18" t="s">
        <v>2467</v>
      </c>
      <c r="C389" s="18" t="s">
        <v>106</v>
      </c>
      <c r="D389" s="17" t="s">
        <v>1889</v>
      </c>
      <c r="E389" s="18" t="s">
        <v>1038</v>
      </c>
      <c r="F389" s="18" t="s">
        <v>1890</v>
      </c>
      <c r="G389" s="18" t="s">
        <v>181</v>
      </c>
      <c r="H389" s="17" t="s">
        <v>182</v>
      </c>
      <c r="I389" s="17" t="s">
        <v>123</v>
      </c>
      <c r="J389" s="17" t="s">
        <v>97</v>
      </c>
      <c r="K389" s="18" t="s">
        <v>2395</v>
      </c>
      <c r="L389" s="18" t="s">
        <v>99</v>
      </c>
      <c r="M389" s="18" t="s">
        <v>100</v>
      </c>
      <c r="N389" s="18" t="s">
        <v>2396</v>
      </c>
      <c r="O389" s="17">
        <v>10</v>
      </c>
      <c r="P389" s="59">
        <v>28000</v>
      </c>
      <c r="Q389" s="60">
        <v>15</v>
      </c>
      <c r="R389" s="17">
        <v>18</v>
      </c>
      <c r="S389" s="19">
        <v>280840</v>
      </c>
      <c r="T389" s="18" t="s">
        <v>153</v>
      </c>
      <c r="U389" s="18" t="s">
        <v>70</v>
      </c>
      <c r="V389" s="18" t="s">
        <v>155</v>
      </c>
    </row>
    <row r="390" spans="1:22" ht="15.75" customHeight="1">
      <c r="A390" s="13" t="s">
        <v>1891</v>
      </c>
      <c r="B390" s="14" t="s">
        <v>2499</v>
      </c>
      <c r="C390" s="14" t="s">
        <v>2268</v>
      </c>
      <c r="D390" s="13" t="s">
        <v>1893</v>
      </c>
      <c r="E390" s="14" t="s">
        <v>1093</v>
      </c>
      <c r="F390" s="14" t="s">
        <v>1894</v>
      </c>
      <c r="G390" s="14" t="s">
        <v>181</v>
      </c>
      <c r="H390" s="13" t="s">
        <v>182</v>
      </c>
      <c r="I390" s="13" t="s">
        <v>123</v>
      </c>
      <c r="J390" s="13" t="s">
        <v>897</v>
      </c>
      <c r="K390" s="14" t="s">
        <v>2491</v>
      </c>
      <c r="L390" s="14" t="s">
        <v>139</v>
      </c>
      <c r="M390" s="14" t="s">
        <v>140</v>
      </c>
      <c r="N390" s="14" t="s">
        <v>899</v>
      </c>
      <c r="O390" s="13">
        <v>3</v>
      </c>
      <c r="P390" s="61">
        <v>38000</v>
      </c>
      <c r="Q390" s="62">
        <v>20</v>
      </c>
      <c r="R390" s="13">
        <v>18</v>
      </c>
      <c r="S390" s="16">
        <v>107616</v>
      </c>
      <c r="T390" s="14" t="s">
        <v>413</v>
      </c>
      <c r="U390" s="14" t="s">
        <v>184</v>
      </c>
      <c r="V390" s="14" t="s">
        <v>155</v>
      </c>
    </row>
    <row r="391" spans="1:22" ht="15.75" customHeight="1">
      <c r="A391" s="17" t="s">
        <v>1895</v>
      </c>
      <c r="B391" s="18" t="s">
        <v>1618</v>
      </c>
      <c r="C391" s="18" t="s">
        <v>1249</v>
      </c>
      <c r="D391" s="17" t="s">
        <v>1897</v>
      </c>
      <c r="E391" s="18" t="s">
        <v>1898</v>
      </c>
      <c r="F391" s="18" t="s">
        <v>1899</v>
      </c>
      <c r="G391" s="18" t="s">
        <v>181</v>
      </c>
      <c r="H391" s="17" t="s">
        <v>182</v>
      </c>
      <c r="I391" s="17" t="s">
        <v>123</v>
      </c>
      <c r="J391" s="17" t="s">
        <v>197</v>
      </c>
      <c r="K391" s="18" t="s">
        <v>198</v>
      </c>
      <c r="L391" s="18" t="s">
        <v>66</v>
      </c>
      <c r="M391" s="18" t="s">
        <v>199</v>
      </c>
      <c r="N391" s="18" t="s">
        <v>200</v>
      </c>
      <c r="O391" s="17">
        <v>4</v>
      </c>
      <c r="P391" s="59">
        <v>50</v>
      </c>
      <c r="Q391" s="60">
        <v>10</v>
      </c>
      <c r="R391" s="17">
        <v>5</v>
      </c>
      <c r="S391" s="19">
        <v>189</v>
      </c>
      <c r="T391" s="18" t="s">
        <v>465</v>
      </c>
      <c r="U391" s="18" t="s">
        <v>70</v>
      </c>
      <c r="V391" s="18" t="s">
        <v>212</v>
      </c>
    </row>
    <row r="392" spans="1:22" ht="15.75" customHeight="1">
      <c r="A392" s="13" t="s">
        <v>1900</v>
      </c>
      <c r="B392" s="14" t="s">
        <v>2527</v>
      </c>
      <c r="C392" s="14" t="s">
        <v>2405</v>
      </c>
      <c r="D392" s="13" t="s">
        <v>1901</v>
      </c>
      <c r="E392" s="14" t="s">
        <v>195</v>
      </c>
      <c r="F392" s="14" t="s">
        <v>1902</v>
      </c>
      <c r="G392" s="14" t="s">
        <v>95</v>
      </c>
      <c r="H392" s="13" t="s">
        <v>96</v>
      </c>
      <c r="I392" s="13" t="s">
        <v>63</v>
      </c>
      <c r="J392" s="13" t="s">
        <v>64</v>
      </c>
      <c r="K392" s="14" t="s">
        <v>2389</v>
      </c>
      <c r="L392" s="14" t="s">
        <v>66</v>
      </c>
      <c r="M392" s="14" t="s">
        <v>67</v>
      </c>
      <c r="N392" s="14" t="s">
        <v>68</v>
      </c>
      <c r="O392" s="13">
        <v>4</v>
      </c>
      <c r="P392" s="61">
        <v>450</v>
      </c>
      <c r="Q392" s="62">
        <v>12</v>
      </c>
      <c r="R392" s="13">
        <v>5</v>
      </c>
      <c r="S392" s="16">
        <v>1663</v>
      </c>
      <c r="T392" s="14" t="s">
        <v>115</v>
      </c>
      <c r="U392" s="14" t="s">
        <v>143</v>
      </c>
      <c r="V392" s="14" t="s">
        <v>212</v>
      </c>
    </row>
    <row r="393" spans="1:22" ht="15.75" customHeight="1">
      <c r="A393" s="17" t="s">
        <v>1903</v>
      </c>
      <c r="B393" s="18" t="s">
        <v>2533</v>
      </c>
      <c r="C393" s="18" t="s">
        <v>728</v>
      </c>
      <c r="D393" s="17" t="s">
        <v>1905</v>
      </c>
      <c r="E393" s="18" t="s">
        <v>849</v>
      </c>
      <c r="F393" s="18" t="s">
        <v>1906</v>
      </c>
      <c r="G393" s="18" t="s">
        <v>135</v>
      </c>
      <c r="H393" s="17" t="s">
        <v>136</v>
      </c>
      <c r="I393" s="17" t="s">
        <v>63</v>
      </c>
      <c r="J393" s="17" t="s">
        <v>137</v>
      </c>
      <c r="K393" s="18" t="s">
        <v>138</v>
      </c>
      <c r="L393" s="18" t="s">
        <v>139</v>
      </c>
      <c r="M393" s="18" t="s">
        <v>140</v>
      </c>
      <c r="N393" s="18" t="s">
        <v>141</v>
      </c>
      <c r="O393" s="17">
        <v>9</v>
      </c>
      <c r="P393" s="59">
        <v>12000</v>
      </c>
      <c r="Q393" s="60">
        <v>20</v>
      </c>
      <c r="R393" s="17">
        <v>18</v>
      </c>
      <c r="S393" s="19">
        <v>101952</v>
      </c>
      <c r="T393" s="18" t="s">
        <v>413</v>
      </c>
      <c r="U393" s="18" t="s">
        <v>184</v>
      </c>
      <c r="V393" s="18" t="s">
        <v>212</v>
      </c>
    </row>
    <row r="394" spans="1:22" ht="15.75" customHeight="1">
      <c r="A394" s="13" t="s">
        <v>1907</v>
      </c>
      <c r="B394" s="14" t="s">
        <v>2521</v>
      </c>
      <c r="C394" s="14" t="s">
        <v>2393</v>
      </c>
      <c r="D394" s="13" t="s">
        <v>1909</v>
      </c>
      <c r="E394" s="14" t="s">
        <v>1126</v>
      </c>
      <c r="F394" s="14" t="s">
        <v>1910</v>
      </c>
      <c r="G394" s="14" t="s">
        <v>95</v>
      </c>
      <c r="H394" s="13" t="s">
        <v>96</v>
      </c>
      <c r="I394" s="13" t="s">
        <v>63</v>
      </c>
      <c r="J394" s="13" t="s">
        <v>110</v>
      </c>
      <c r="K394" s="14" t="s">
        <v>111</v>
      </c>
      <c r="L394" s="14" t="s">
        <v>112</v>
      </c>
      <c r="M394" s="14" t="s">
        <v>113</v>
      </c>
      <c r="N394" s="14" t="s">
        <v>114</v>
      </c>
      <c r="O394" s="13">
        <v>10</v>
      </c>
      <c r="P394" s="61">
        <v>3500</v>
      </c>
      <c r="Q394" s="62">
        <v>12</v>
      </c>
      <c r="R394" s="13">
        <v>18</v>
      </c>
      <c r="S394" s="16">
        <v>36344</v>
      </c>
      <c r="T394" s="14" t="s">
        <v>102</v>
      </c>
      <c r="U394" s="14" t="s">
        <v>288</v>
      </c>
      <c r="V394" s="14" t="s">
        <v>212</v>
      </c>
    </row>
    <row r="395" spans="1:22" ht="15.75" customHeight="1">
      <c r="A395" s="17" t="s">
        <v>1911</v>
      </c>
      <c r="B395" s="18" t="s">
        <v>2534</v>
      </c>
      <c r="C395" s="18" t="s">
        <v>372</v>
      </c>
      <c r="D395" s="17" t="s">
        <v>1913</v>
      </c>
      <c r="E395" s="18" t="s">
        <v>427</v>
      </c>
      <c r="F395" s="18" t="s">
        <v>1914</v>
      </c>
      <c r="G395" s="18" t="s">
        <v>485</v>
      </c>
      <c r="H395" s="17" t="s">
        <v>305</v>
      </c>
      <c r="I395" s="17" t="s">
        <v>306</v>
      </c>
      <c r="J395" s="17" t="s">
        <v>491</v>
      </c>
      <c r="K395" s="18" t="s">
        <v>492</v>
      </c>
      <c r="L395" s="18" t="s">
        <v>112</v>
      </c>
      <c r="M395" s="18" t="s">
        <v>493</v>
      </c>
      <c r="N395" s="18" t="s">
        <v>494</v>
      </c>
      <c r="O395" s="17">
        <v>8</v>
      </c>
      <c r="P395" s="59">
        <v>4500</v>
      </c>
      <c r="Q395" s="60">
        <v>8</v>
      </c>
      <c r="R395" s="17">
        <v>5</v>
      </c>
      <c r="S395" s="19">
        <v>34776</v>
      </c>
      <c r="T395" s="18" t="s">
        <v>115</v>
      </c>
      <c r="U395" s="18" t="s">
        <v>184</v>
      </c>
      <c r="V395" s="18" t="s">
        <v>155</v>
      </c>
    </row>
    <row r="396" spans="1:22" ht="15.75" customHeight="1">
      <c r="A396" s="13" t="s">
        <v>1915</v>
      </c>
      <c r="B396" s="14" t="s">
        <v>2527</v>
      </c>
      <c r="C396" s="14" t="s">
        <v>2393</v>
      </c>
      <c r="D396" s="13" t="s">
        <v>1917</v>
      </c>
      <c r="E396" s="14" t="s">
        <v>93</v>
      </c>
      <c r="F396" s="14" t="s">
        <v>1918</v>
      </c>
      <c r="G396" s="14" t="s">
        <v>122</v>
      </c>
      <c r="H396" s="13" t="s">
        <v>122</v>
      </c>
      <c r="I396" s="13" t="s">
        <v>123</v>
      </c>
      <c r="J396" s="13" t="s">
        <v>81</v>
      </c>
      <c r="K396" s="14" t="s">
        <v>82</v>
      </c>
      <c r="L396" s="14" t="s">
        <v>83</v>
      </c>
      <c r="M396" s="14" t="s">
        <v>84</v>
      </c>
      <c r="N396" s="14" t="s">
        <v>85</v>
      </c>
      <c r="O396" s="13">
        <v>8</v>
      </c>
      <c r="P396" s="61">
        <v>25000</v>
      </c>
      <c r="Q396" s="62">
        <v>12</v>
      </c>
      <c r="R396" s="13">
        <v>3</v>
      </c>
      <c r="S396" s="16">
        <v>181280</v>
      </c>
      <c r="T396" s="14" t="s">
        <v>465</v>
      </c>
      <c r="U396" s="14" t="s">
        <v>143</v>
      </c>
      <c r="V396" s="14" t="s">
        <v>155</v>
      </c>
    </row>
    <row r="397" spans="1:22" ht="15.75" customHeight="1">
      <c r="A397" s="17" t="s">
        <v>1920</v>
      </c>
      <c r="B397" s="18" t="s">
        <v>2475</v>
      </c>
      <c r="C397" s="18" t="s">
        <v>131</v>
      </c>
      <c r="D397" s="17" t="s">
        <v>1922</v>
      </c>
      <c r="E397" s="18" t="s">
        <v>387</v>
      </c>
      <c r="F397" s="18" t="s">
        <v>1923</v>
      </c>
      <c r="G397" s="18" t="s">
        <v>135</v>
      </c>
      <c r="H397" s="17" t="s">
        <v>136</v>
      </c>
      <c r="I397" s="17" t="s">
        <v>63</v>
      </c>
      <c r="J397" s="17" t="s">
        <v>64</v>
      </c>
      <c r="K397" s="18" t="s">
        <v>2389</v>
      </c>
      <c r="L397" s="18" t="s">
        <v>66</v>
      </c>
      <c r="M397" s="18" t="s">
        <v>67</v>
      </c>
      <c r="N397" s="18" t="s">
        <v>68</v>
      </c>
      <c r="O397" s="17">
        <v>2</v>
      </c>
      <c r="P397" s="59">
        <v>450</v>
      </c>
      <c r="Q397" s="60">
        <v>25</v>
      </c>
      <c r="R397" s="17">
        <v>5</v>
      </c>
      <c r="S397" s="19">
        <v>709</v>
      </c>
      <c r="T397" s="18" t="s">
        <v>102</v>
      </c>
      <c r="U397" s="18" t="s">
        <v>211</v>
      </c>
      <c r="V397" s="18" t="s">
        <v>155</v>
      </c>
    </row>
    <row r="398" spans="1:22" ht="15.75" customHeight="1">
      <c r="A398" s="13" t="s">
        <v>1924</v>
      </c>
      <c r="B398" s="14" t="s">
        <v>2455</v>
      </c>
      <c r="C398" s="14" t="s">
        <v>74</v>
      </c>
      <c r="D398" s="13" t="s">
        <v>1925</v>
      </c>
      <c r="E398" s="14" t="s">
        <v>2391</v>
      </c>
      <c r="F398" s="14" t="s">
        <v>1926</v>
      </c>
      <c r="G398" s="14" t="s">
        <v>485</v>
      </c>
      <c r="H398" s="13" t="s">
        <v>305</v>
      </c>
      <c r="I398" s="13" t="s">
        <v>306</v>
      </c>
      <c r="J398" s="13" t="s">
        <v>97</v>
      </c>
      <c r="K398" s="14" t="s">
        <v>2395</v>
      </c>
      <c r="L398" s="14" t="s">
        <v>99</v>
      </c>
      <c r="M398" s="14" t="s">
        <v>100</v>
      </c>
      <c r="N398" s="14" t="s">
        <v>2396</v>
      </c>
      <c r="O398" s="13">
        <v>1</v>
      </c>
      <c r="P398" s="61">
        <v>28000</v>
      </c>
      <c r="Q398" s="62">
        <v>12</v>
      </c>
      <c r="R398" s="13">
        <v>18</v>
      </c>
      <c r="S398" s="16">
        <v>29075</v>
      </c>
      <c r="T398" s="14" t="s">
        <v>127</v>
      </c>
      <c r="U398" s="14" t="s">
        <v>143</v>
      </c>
      <c r="V398" s="14" t="s">
        <v>212</v>
      </c>
    </row>
    <row r="399" spans="1:22" ht="15.75" customHeight="1">
      <c r="A399" s="17" t="s">
        <v>1927</v>
      </c>
      <c r="B399" s="18" t="s">
        <v>2480</v>
      </c>
      <c r="C399" s="18" t="s">
        <v>2428</v>
      </c>
      <c r="D399" s="17" t="s">
        <v>1929</v>
      </c>
      <c r="E399" s="18" t="s">
        <v>1624</v>
      </c>
      <c r="F399" s="18" t="s">
        <v>1930</v>
      </c>
      <c r="G399" s="18" t="s">
        <v>61</v>
      </c>
      <c r="H399" s="17" t="s">
        <v>62</v>
      </c>
      <c r="I399" s="17" t="s">
        <v>63</v>
      </c>
      <c r="J399" s="17" t="s">
        <v>420</v>
      </c>
      <c r="K399" s="18" t="s">
        <v>2445</v>
      </c>
      <c r="L399" s="18" t="s">
        <v>112</v>
      </c>
      <c r="M399" s="18" t="s">
        <v>422</v>
      </c>
      <c r="N399" s="18" t="s">
        <v>2446</v>
      </c>
      <c r="O399" s="17">
        <v>9</v>
      </c>
      <c r="P399" s="59">
        <v>4800</v>
      </c>
      <c r="Q399" s="60">
        <v>12</v>
      </c>
      <c r="R399" s="17">
        <v>18</v>
      </c>
      <c r="S399" s="19">
        <v>44859</v>
      </c>
      <c r="T399" s="18" t="s">
        <v>153</v>
      </c>
      <c r="U399" s="18" t="s">
        <v>288</v>
      </c>
      <c r="V399" s="18" t="s">
        <v>155</v>
      </c>
    </row>
    <row r="400" spans="1:22" ht="15.75" customHeight="1">
      <c r="A400" s="13" t="s">
        <v>1931</v>
      </c>
      <c r="B400" s="14" t="s">
        <v>2438</v>
      </c>
      <c r="C400" s="14" t="s">
        <v>106</v>
      </c>
      <c r="D400" s="13" t="s">
        <v>1933</v>
      </c>
      <c r="E400" s="14" t="s">
        <v>708</v>
      </c>
      <c r="F400" s="14" t="s">
        <v>1934</v>
      </c>
      <c r="G400" s="14" t="s">
        <v>95</v>
      </c>
      <c r="H400" s="13" t="s">
        <v>96</v>
      </c>
      <c r="I400" s="13" t="s">
        <v>63</v>
      </c>
      <c r="J400" s="13" t="s">
        <v>365</v>
      </c>
      <c r="K400" s="14" t="s">
        <v>366</v>
      </c>
      <c r="L400" s="14" t="s">
        <v>112</v>
      </c>
      <c r="M400" s="14" t="s">
        <v>367</v>
      </c>
      <c r="N400" s="14" t="s">
        <v>368</v>
      </c>
      <c r="O400" s="13">
        <v>10</v>
      </c>
      <c r="P400" s="61">
        <v>3500</v>
      </c>
      <c r="Q400" s="62">
        <v>10</v>
      </c>
      <c r="R400" s="13">
        <v>5</v>
      </c>
      <c r="S400" s="16">
        <v>33075</v>
      </c>
      <c r="T400" s="14" t="s">
        <v>102</v>
      </c>
      <c r="U400" s="14" t="s">
        <v>211</v>
      </c>
      <c r="V400" s="14" t="s">
        <v>212</v>
      </c>
    </row>
    <row r="401" spans="1:22" ht="15.75" customHeight="1">
      <c r="A401" s="17" t="s">
        <v>1935</v>
      </c>
      <c r="B401" s="18" t="s">
        <v>2510</v>
      </c>
      <c r="C401" s="18" t="s">
        <v>2465</v>
      </c>
      <c r="D401" s="17" t="s">
        <v>1937</v>
      </c>
      <c r="E401" s="18" t="s">
        <v>2506</v>
      </c>
      <c r="F401" s="18" t="s">
        <v>1938</v>
      </c>
      <c r="G401" s="18" t="s">
        <v>122</v>
      </c>
      <c r="H401" s="17" t="s">
        <v>122</v>
      </c>
      <c r="I401" s="17" t="s">
        <v>123</v>
      </c>
      <c r="J401" s="17" t="s">
        <v>257</v>
      </c>
      <c r="K401" s="18" t="s">
        <v>2418</v>
      </c>
      <c r="L401" s="18" t="s">
        <v>139</v>
      </c>
      <c r="M401" s="18" t="s">
        <v>259</v>
      </c>
      <c r="N401" s="18" t="s">
        <v>260</v>
      </c>
      <c r="O401" s="17">
        <v>1</v>
      </c>
      <c r="P401" s="59">
        <v>299</v>
      </c>
      <c r="Q401" s="60">
        <v>8</v>
      </c>
      <c r="R401" s="17">
        <v>18</v>
      </c>
      <c r="S401" s="19">
        <v>325</v>
      </c>
      <c r="T401" s="18" t="s">
        <v>153</v>
      </c>
      <c r="U401" s="18" t="s">
        <v>211</v>
      </c>
      <c r="V401" s="18" t="s">
        <v>155</v>
      </c>
    </row>
    <row r="402" spans="1:22" ht="15.75" customHeight="1">
      <c r="A402" s="13" t="s">
        <v>1939</v>
      </c>
      <c r="B402" s="14" t="s">
        <v>2426</v>
      </c>
      <c r="C402" s="14" t="s">
        <v>2430</v>
      </c>
      <c r="D402" s="13" t="s">
        <v>1940</v>
      </c>
      <c r="E402" s="14" t="s">
        <v>1941</v>
      </c>
      <c r="F402" s="14" t="s">
        <v>1942</v>
      </c>
      <c r="G402" s="14" t="s">
        <v>341</v>
      </c>
      <c r="H402" s="13" t="s">
        <v>62</v>
      </c>
      <c r="I402" s="13" t="s">
        <v>63</v>
      </c>
      <c r="J402" s="13" t="s">
        <v>491</v>
      </c>
      <c r="K402" s="14" t="s">
        <v>492</v>
      </c>
      <c r="L402" s="14" t="s">
        <v>112</v>
      </c>
      <c r="M402" s="14" t="s">
        <v>493</v>
      </c>
      <c r="N402" s="14" t="s">
        <v>494</v>
      </c>
      <c r="O402" s="13">
        <v>2</v>
      </c>
      <c r="P402" s="61">
        <v>4500</v>
      </c>
      <c r="Q402" s="62">
        <v>5</v>
      </c>
      <c r="R402" s="13">
        <v>5</v>
      </c>
      <c r="S402" s="16">
        <v>8978</v>
      </c>
      <c r="T402" s="14" t="s">
        <v>465</v>
      </c>
      <c r="U402" s="14" t="s">
        <v>70</v>
      </c>
      <c r="V402" s="14" t="s">
        <v>212</v>
      </c>
    </row>
    <row r="403" spans="1:22" ht="15.75" customHeight="1">
      <c r="A403" s="17" t="s">
        <v>1943</v>
      </c>
      <c r="B403" s="18" t="s">
        <v>2513</v>
      </c>
      <c r="C403" s="18" t="s">
        <v>2402</v>
      </c>
      <c r="D403" s="17" t="s">
        <v>1945</v>
      </c>
      <c r="E403" s="18" t="s">
        <v>1457</v>
      </c>
      <c r="F403" s="18" t="s">
        <v>1946</v>
      </c>
      <c r="G403" s="18" t="s">
        <v>485</v>
      </c>
      <c r="H403" s="17" t="s">
        <v>305</v>
      </c>
      <c r="I403" s="17" t="s">
        <v>306</v>
      </c>
      <c r="J403" s="17" t="s">
        <v>477</v>
      </c>
      <c r="K403" s="18" t="s">
        <v>478</v>
      </c>
      <c r="L403" s="18" t="s">
        <v>139</v>
      </c>
      <c r="M403" s="18" t="s">
        <v>349</v>
      </c>
      <c r="N403" s="18" t="s">
        <v>479</v>
      </c>
      <c r="O403" s="17">
        <v>4</v>
      </c>
      <c r="P403" s="59">
        <v>2200</v>
      </c>
      <c r="Q403" s="60">
        <v>0</v>
      </c>
      <c r="R403" s="17">
        <v>12</v>
      </c>
      <c r="S403" s="19">
        <v>9856</v>
      </c>
      <c r="T403" s="18" t="s">
        <v>115</v>
      </c>
      <c r="U403" s="18" t="s">
        <v>70</v>
      </c>
      <c r="V403" s="18" t="s">
        <v>212</v>
      </c>
    </row>
    <row r="404" spans="1:22" ht="15.75" customHeight="1">
      <c r="A404" s="13" t="s">
        <v>1947</v>
      </c>
      <c r="B404" s="14" t="s">
        <v>2433</v>
      </c>
      <c r="C404" s="14" t="s">
        <v>2442</v>
      </c>
      <c r="D404" s="13" t="s">
        <v>1949</v>
      </c>
      <c r="E404" s="14" t="s">
        <v>507</v>
      </c>
      <c r="F404" s="14" t="s">
        <v>1950</v>
      </c>
      <c r="G404" s="14" t="s">
        <v>439</v>
      </c>
      <c r="H404" s="13" t="s">
        <v>364</v>
      </c>
      <c r="I404" s="13" t="s">
        <v>63</v>
      </c>
      <c r="J404" s="13" t="s">
        <v>420</v>
      </c>
      <c r="K404" s="14" t="s">
        <v>2445</v>
      </c>
      <c r="L404" s="14" t="s">
        <v>112</v>
      </c>
      <c r="M404" s="14" t="s">
        <v>422</v>
      </c>
      <c r="N404" s="14" t="s">
        <v>2446</v>
      </c>
      <c r="O404" s="13">
        <v>8</v>
      </c>
      <c r="P404" s="61">
        <v>4800</v>
      </c>
      <c r="Q404" s="62">
        <v>12</v>
      </c>
      <c r="R404" s="13">
        <v>18</v>
      </c>
      <c r="S404" s="16">
        <v>39875</v>
      </c>
      <c r="T404" s="14" t="s">
        <v>413</v>
      </c>
      <c r="U404" s="14" t="s">
        <v>211</v>
      </c>
      <c r="V404" s="14" t="s">
        <v>155</v>
      </c>
    </row>
    <row r="405" spans="1:22" ht="15.75" customHeight="1">
      <c r="A405" s="17" t="s">
        <v>1951</v>
      </c>
      <c r="B405" s="18" t="s">
        <v>1194</v>
      </c>
      <c r="C405" s="18" t="s">
        <v>2415</v>
      </c>
      <c r="D405" s="17" t="s">
        <v>1953</v>
      </c>
      <c r="E405" s="18" t="s">
        <v>784</v>
      </c>
      <c r="F405" s="18" t="s">
        <v>1954</v>
      </c>
      <c r="G405" s="18" t="s">
        <v>341</v>
      </c>
      <c r="H405" s="17" t="s">
        <v>62</v>
      </c>
      <c r="I405" s="17" t="s">
        <v>306</v>
      </c>
      <c r="J405" s="17" t="s">
        <v>389</v>
      </c>
      <c r="K405" s="18" t="s">
        <v>390</v>
      </c>
      <c r="L405" s="18" t="s">
        <v>99</v>
      </c>
      <c r="M405" s="18" t="s">
        <v>164</v>
      </c>
      <c r="N405" s="18" t="s">
        <v>391</v>
      </c>
      <c r="O405" s="17">
        <v>6</v>
      </c>
      <c r="P405" s="59">
        <v>1500</v>
      </c>
      <c r="Q405" s="60">
        <v>20</v>
      </c>
      <c r="R405" s="17">
        <v>18</v>
      </c>
      <c r="S405" s="19">
        <v>8496</v>
      </c>
      <c r="T405" s="18" t="s">
        <v>102</v>
      </c>
      <c r="U405" s="18" t="s">
        <v>184</v>
      </c>
      <c r="V405" s="18" t="s">
        <v>155</v>
      </c>
    </row>
    <row r="406" spans="1:22" ht="15.75" customHeight="1">
      <c r="A406" s="13" t="s">
        <v>1955</v>
      </c>
      <c r="B406" s="14" t="s">
        <v>2490</v>
      </c>
      <c r="C406" s="14" t="s">
        <v>712</v>
      </c>
      <c r="D406" s="13" t="s">
        <v>1957</v>
      </c>
      <c r="E406" s="14" t="s">
        <v>1137</v>
      </c>
      <c r="F406" s="14" t="s">
        <v>1958</v>
      </c>
      <c r="G406" s="14" t="s">
        <v>333</v>
      </c>
      <c r="H406" s="13" t="s">
        <v>334</v>
      </c>
      <c r="I406" s="13" t="s">
        <v>63</v>
      </c>
      <c r="J406" s="13" t="s">
        <v>124</v>
      </c>
      <c r="K406" s="14" t="s">
        <v>125</v>
      </c>
      <c r="L406" s="14" t="s">
        <v>99</v>
      </c>
      <c r="M406" s="14" t="s">
        <v>100</v>
      </c>
      <c r="N406" s="14" t="s">
        <v>126</v>
      </c>
      <c r="O406" s="13">
        <v>9</v>
      </c>
      <c r="P406" s="61">
        <v>14000</v>
      </c>
      <c r="Q406" s="62">
        <v>20</v>
      </c>
      <c r="R406" s="13">
        <v>18</v>
      </c>
      <c r="S406" s="16">
        <v>118944</v>
      </c>
      <c r="T406" s="14" t="s">
        <v>413</v>
      </c>
      <c r="U406" s="14" t="s">
        <v>143</v>
      </c>
      <c r="V406" s="14" t="s">
        <v>212</v>
      </c>
    </row>
    <row r="407" spans="1:22" ht="15.75" customHeight="1">
      <c r="A407" s="17" t="s">
        <v>1959</v>
      </c>
      <c r="B407" s="18" t="s">
        <v>1443</v>
      </c>
      <c r="C407" s="18" t="s">
        <v>372</v>
      </c>
      <c r="D407" s="17" t="s">
        <v>1961</v>
      </c>
      <c r="E407" s="18" t="s">
        <v>1048</v>
      </c>
      <c r="F407" s="18" t="s">
        <v>1962</v>
      </c>
      <c r="G407" s="18" t="s">
        <v>95</v>
      </c>
      <c r="H407" s="17" t="s">
        <v>96</v>
      </c>
      <c r="I407" s="17" t="s">
        <v>63</v>
      </c>
      <c r="J407" s="17" t="s">
        <v>356</v>
      </c>
      <c r="K407" s="18" t="s">
        <v>2434</v>
      </c>
      <c r="L407" s="18" t="s">
        <v>139</v>
      </c>
      <c r="M407" s="18" t="s">
        <v>140</v>
      </c>
      <c r="N407" s="18" t="s">
        <v>2435</v>
      </c>
      <c r="O407" s="17">
        <v>1</v>
      </c>
      <c r="P407" s="59">
        <v>42000</v>
      </c>
      <c r="Q407" s="60">
        <v>15</v>
      </c>
      <c r="R407" s="17">
        <v>18</v>
      </c>
      <c r="S407" s="19">
        <v>42126</v>
      </c>
      <c r="T407" s="18" t="s">
        <v>465</v>
      </c>
      <c r="U407" s="18" t="s">
        <v>143</v>
      </c>
      <c r="V407" s="18" t="s">
        <v>155</v>
      </c>
    </row>
    <row r="408" spans="1:22" ht="15.75" customHeight="1">
      <c r="A408" s="13" t="s">
        <v>1963</v>
      </c>
      <c r="B408" s="14" t="s">
        <v>2461</v>
      </c>
      <c r="C408" s="14" t="s">
        <v>728</v>
      </c>
      <c r="D408" s="13" t="s">
        <v>1964</v>
      </c>
      <c r="E408" s="14" t="s">
        <v>1142</v>
      </c>
      <c r="F408" s="14" t="s">
        <v>1965</v>
      </c>
      <c r="G408" s="14" t="s">
        <v>181</v>
      </c>
      <c r="H408" s="13" t="s">
        <v>182</v>
      </c>
      <c r="I408" s="13" t="s">
        <v>123</v>
      </c>
      <c r="J408" s="13" t="s">
        <v>162</v>
      </c>
      <c r="K408" s="14" t="s">
        <v>163</v>
      </c>
      <c r="L408" s="14" t="s">
        <v>99</v>
      </c>
      <c r="M408" s="14" t="s">
        <v>164</v>
      </c>
      <c r="N408" s="14" t="s">
        <v>165</v>
      </c>
      <c r="O408" s="13">
        <v>1</v>
      </c>
      <c r="P408" s="61">
        <v>2800</v>
      </c>
      <c r="Q408" s="62">
        <v>15</v>
      </c>
      <c r="R408" s="13">
        <v>18</v>
      </c>
      <c r="S408" s="16">
        <v>2808</v>
      </c>
      <c r="T408" s="14" t="s">
        <v>465</v>
      </c>
      <c r="U408" s="14" t="s">
        <v>184</v>
      </c>
      <c r="V408" s="14" t="s">
        <v>212</v>
      </c>
    </row>
    <row r="409" spans="1:22" ht="15.75" customHeight="1">
      <c r="A409" s="17" t="s">
        <v>1966</v>
      </c>
      <c r="B409" s="18" t="s">
        <v>857</v>
      </c>
      <c r="C409" s="18" t="s">
        <v>2415</v>
      </c>
      <c r="D409" s="17" t="s">
        <v>1967</v>
      </c>
      <c r="E409" s="18" t="s">
        <v>589</v>
      </c>
      <c r="F409" s="18" t="s">
        <v>1968</v>
      </c>
      <c r="G409" s="18" t="s">
        <v>439</v>
      </c>
      <c r="H409" s="17" t="s">
        <v>364</v>
      </c>
      <c r="I409" s="17" t="s">
        <v>63</v>
      </c>
      <c r="J409" s="17" t="s">
        <v>491</v>
      </c>
      <c r="K409" s="18" t="s">
        <v>492</v>
      </c>
      <c r="L409" s="18" t="s">
        <v>112</v>
      </c>
      <c r="M409" s="18" t="s">
        <v>493</v>
      </c>
      <c r="N409" s="18" t="s">
        <v>494</v>
      </c>
      <c r="O409" s="17">
        <v>3</v>
      </c>
      <c r="P409" s="59">
        <v>4500</v>
      </c>
      <c r="Q409" s="60">
        <v>80</v>
      </c>
      <c r="R409" s="17">
        <v>5</v>
      </c>
      <c r="S409" s="19">
        <v>2835</v>
      </c>
      <c r="T409" s="18" t="s">
        <v>465</v>
      </c>
      <c r="U409" s="18" t="s">
        <v>143</v>
      </c>
      <c r="V409" s="18" t="s">
        <v>155</v>
      </c>
    </row>
    <row r="410" spans="1:22" ht="15.75" customHeight="1">
      <c r="A410" s="13" t="s">
        <v>1969</v>
      </c>
      <c r="B410" s="14" t="s">
        <v>1254</v>
      </c>
      <c r="C410" s="14" t="s">
        <v>2428</v>
      </c>
      <c r="D410" s="13" t="s">
        <v>1970</v>
      </c>
      <c r="E410" s="14" t="s">
        <v>1063</v>
      </c>
      <c r="F410" s="14" t="s">
        <v>1971</v>
      </c>
      <c r="G410" s="14" t="s">
        <v>333</v>
      </c>
      <c r="H410" s="13" t="s">
        <v>334</v>
      </c>
      <c r="I410" s="13" t="s">
        <v>63</v>
      </c>
      <c r="J410" s="13" t="s">
        <v>137</v>
      </c>
      <c r="K410" s="14" t="s">
        <v>138</v>
      </c>
      <c r="L410" s="14" t="s">
        <v>139</v>
      </c>
      <c r="M410" s="14" t="s">
        <v>140</v>
      </c>
      <c r="N410" s="14" t="s">
        <v>141</v>
      </c>
      <c r="O410" s="13">
        <v>5</v>
      </c>
      <c r="P410" s="61">
        <v>12000</v>
      </c>
      <c r="Q410" s="62">
        <v>0</v>
      </c>
      <c r="R410" s="13">
        <v>18</v>
      </c>
      <c r="S410" s="16">
        <v>70800</v>
      </c>
      <c r="T410" s="14" t="s">
        <v>102</v>
      </c>
      <c r="U410" s="14" t="s">
        <v>211</v>
      </c>
      <c r="V410" s="14" t="s">
        <v>155</v>
      </c>
    </row>
    <row r="411" spans="1:22" ht="15.75" customHeight="1">
      <c r="A411" s="17" t="s">
        <v>1972</v>
      </c>
      <c r="B411" s="18" t="s">
        <v>857</v>
      </c>
      <c r="C411" s="18" t="s">
        <v>2278</v>
      </c>
      <c r="D411" s="17" t="s">
        <v>1973</v>
      </c>
      <c r="E411" s="18" t="s">
        <v>635</v>
      </c>
      <c r="F411" s="18" t="s">
        <v>1974</v>
      </c>
      <c r="G411" s="18" t="s">
        <v>135</v>
      </c>
      <c r="H411" s="17" t="s">
        <v>136</v>
      </c>
      <c r="I411" s="17" t="s">
        <v>63</v>
      </c>
      <c r="J411" s="17" t="s">
        <v>347</v>
      </c>
      <c r="K411" s="18" t="s">
        <v>348</v>
      </c>
      <c r="L411" s="18" t="s">
        <v>139</v>
      </c>
      <c r="M411" s="18" t="s">
        <v>349</v>
      </c>
      <c r="N411" s="18" t="s">
        <v>350</v>
      </c>
      <c r="O411" s="17">
        <v>3</v>
      </c>
      <c r="P411" s="17">
        <v>0</v>
      </c>
      <c r="Q411" s="60">
        <v>15</v>
      </c>
      <c r="R411" s="17">
        <v>18</v>
      </c>
      <c r="S411" s="19">
        <v>0</v>
      </c>
      <c r="T411" s="18" t="s">
        <v>413</v>
      </c>
      <c r="U411" s="18" t="s">
        <v>211</v>
      </c>
      <c r="V411" s="18" t="s">
        <v>155</v>
      </c>
    </row>
    <row r="412" spans="1:22" ht="15.75" customHeight="1">
      <c r="A412" s="13" t="s">
        <v>1975</v>
      </c>
      <c r="B412" s="14" t="s">
        <v>857</v>
      </c>
      <c r="C412" s="14" t="s">
        <v>712</v>
      </c>
      <c r="D412" s="13" t="s">
        <v>1977</v>
      </c>
      <c r="E412" s="14" t="s">
        <v>1978</v>
      </c>
      <c r="F412" s="14" t="s">
        <v>1979</v>
      </c>
      <c r="G412" s="14" t="s">
        <v>228</v>
      </c>
      <c r="H412" s="13" t="s">
        <v>152</v>
      </c>
      <c r="I412" s="13" t="s">
        <v>80</v>
      </c>
      <c r="J412" s="13" t="s">
        <v>376</v>
      </c>
      <c r="K412" s="14" t="s">
        <v>377</v>
      </c>
      <c r="L412" s="14" t="s">
        <v>112</v>
      </c>
      <c r="M412" s="14" t="s">
        <v>113</v>
      </c>
      <c r="N412" s="14" t="s">
        <v>378</v>
      </c>
      <c r="O412" s="13">
        <v>8</v>
      </c>
      <c r="P412" s="61">
        <v>8500</v>
      </c>
      <c r="Q412" s="62">
        <v>15</v>
      </c>
      <c r="R412" s="13">
        <v>18</v>
      </c>
      <c r="S412" s="16">
        <v>68204</v>
      </c>
      <c r="T412" s="14" t="s">
        <v>465</v>
      </c>
      <c r="U412" s="14" t="s">
        <v>211</v>
      </c>
      <c r="V412" s="14" t="s">
        <v>155</v>
      </c>
    </row>
    <row r="413" spans="1:22" ht="15.75" customHeight="1">
      <c r="A413" s="17" t="s">
        <v>1980</v>
      </c>
      <c r="B413" s="18" t="s">
        <v>1153</v>
      </c>
      <c r="C413" s="18" t="s">
        <v>482</v>
      </c>
      <c r="D413" s="17" t="s">
        <v>1982</v>
      </c>
      <c r="E413" s="18" t="s">
        <v>962</v>
      </c>
      <c r="F413" s="18" t="s">
        <v>1983</v>
      </c>
      <c r="G413" s="18" t="s">
        <v>228</v>
      </c>
      <c r="H413" s="17" t="s">
        <v>152</v>
      </c>
      <c r="I413" s="17" t="s">
        <v>80</v>
      </c>
      <c r="J413" s="17" t="s">
        <v>356</v>
      </c>
      <c r="K413" s="18" t="s">
        <v>2434</v>
      </c>
      <c r="L413" s="18" t="s">
        <v>139</v>
      </c>
      <c r="M413" s="18" t="s">
        <v>140</v>
      </c>
      <c r="N413" s="18" t="s">
        <v>2435</v>
      </c>
      <c r="O413" s="17">
        <v>5</v>
      </c>
      <c r="P413" s="59">
        <v>42000</v>
      </c>
      <c r="Q413" s="60">
        <v>5</v>
      </c>
      <c r="R413" s="17">
        <v>18</v>
      </c>
      <c r="S413" s="19">
        <v>235410</v>
      </c>
      <c r="T413" s="18" t="s">
        <v>465</v>
      </c>
      <c r="U413" s="18" t="s">
        <v>70</v>
      </c>
      <c r="V413" s="18" t="s">
        <v>155</v>
      </c>
    </row>
    <row r="414" spans="1:22" ht="15.75" customHeight="1">
      <c r="A414" s="13" t="s">
        <v>1984</v>
      </c>
      <c r="B414" s="14" t="s">
        <v>2467</v>
      </c>
      <c r="C414" s="14" t="s">
        <v>264</v>
      </c>
      <c r="D414" s="13" t="s">
        <v>1986</v>
      </c>
      <c r="E414" s="14" t="s">
        <v>266</v>
      </c>
      <c r="F414" s="14" t="s">
        <v>2394</v>
      </c>
      <c r="G414" s="14" t="s">
        <v>248</v>
      </c>
      <c r="H414" s="13" t="s">
        <v>249</v>
      </c>
      <c r="I414" s="13" t="s">
        <v>123</v>
      </c>
      <c r="J414" s="13" t="s">
        <v>312</v>
      </c>
      <c r="K414" s="14" t="s">
        <v>313</v>
      </c>
      <c r="L414" s="14" t="s">
        <v>66</v>
      </c>
      <c r="M414" s="14" t="s">
        <v>199</v>
      </c>
      <c r="N414" s="14" t="s">
        <v>314</v>
      </c>
      <c r="O414" s="13">
        <v>8</v>
      </c>
      <c r="P414" s="61">
        <v>40</v>
      </c>
      <c r="Q414" s="62">
        <v>10</v>
      </c>
      <c r="R414" s="13">
        <v>5</v>
      </c>
      <c r="S414" s="16">
        <v>302</v>
      </c>
      <c r="T414" s="14" t="s">
        <v>115</v>
      </c>
      <c r="U414" s="14" t="s">
        <v>211</v>
      </c>
      <c r="V414" s="14" t="s">
        <v>155</v>
      </c>
    </row>
    <row r="415" spans="1:22" ht="15.75" customHeight="1">
      <c r="A415" s="17" t="s">
        <v>1988</v>
      </c>
      <c r="B415" s="18" t="s">
        <v>2416</v>
      </c>
      <c r="C415" s="18" t="s">
        <v>264</v>
      </c>
      <c r="D415" s="17" t="s">
        <v>1989</v>
      </c>
      <c r="E415" s="18" t="s">
        <v>302</v>
      </c>
      <c r="F415" s="18" t="s">
        <v>1990</v>
      </c>
      <c r="G415" s="18" t="s">
        <v>78</v>
      </c>
      <c r="H415" s="17" t="s">
        <v>79</v>
      </c>
      <c r="I415" s="17" t="s">
        <v>80</v>
      </c>
      <c r="J415" s="17" t="s">
        <v>365</v>
      </c>
      <c r="K415" s="18" t="s">
        <v>366</v>
      </c>
      <c r="L415" s="18" t="s">
        <v>112</v>
      </c>
      <c r="M415" s="18" t="s">
        <v>367</v>
      </c>
      <c r="N415" s="18" t="s">
        <v>368</v>
      </c>
      <c r="O415" s="17">
        <v>1</v>
      </c>
      <c r="P415" s="59">
        <v>3500</v>
      </c>
      <c r="Q415" s="60">
        <v>8</v>
      </c>
      <c r="R415" s="17">
        <v>5</v>
      </c>
      <c r="S415" s="19">
        <v>3381</v>
      </c>
      <c r="T415" s="18" t="s">
        <v>465</v>
      </c>
      <c r="U415" s="18" t="s">
        <v>143</v>
      </c>
      <c r="V415" s="18" t="s">
        <v>155</v>
      </c>
    </row>
    <row r="416" spans="1:22" ht="15.75" customHeight="1">
      <c r="A416" s="13" t="s">
        <v>1991</v>
      </c>
      <c r="B416" s="14" t="s">
        <v>2529</v>
      </c>
      <c r="C416" s="14" t="s">
        <v>2421</v>
      </c>
      <c r="D416" s="13" t="s">
        <v>1993</v>
      </c>
      <c r="E416" s="14" t="s">
        <v>1994</v>
      </c>
      <c r="F416" s="14" t="s">
        <v>1995</v>
      </c>
      <c r="G416" s="14" t="s">
        <v>248</v>
      </c>
      <c r="H416" s="13" t="s">
        <v>249</v>
      </c>
      <c r="I416" s="13" t="s">
        <v>123</v>
      </c>
      <c r="J416" s="13" t="s">
        <v>124</v>
      </c>
      <c r="K416" s="14" t="s">
        <v>125</v>
      </c>
      <c r="L416" s="14" t="s">
        <v>99</v>
      </c>
      <c r="M416" s="14" t="s">
        <v>100</v>
      </c>
      <c r="N416" s="14" t="s">
        <v>126</v>
      </c>
      <c r="O416" s="13">
        <v>1</v>
      </c>
      <c r="P416" s="61">
        <v>14000</v>
      </c>
      <c r="Q416" s="62">
        <v>12</v>
      </c>
      <c r="R416" s="13">
        <v>18</v>
      </c>
      <c r="S416" s="16">
        <v>14538</v>
      </c>
      <c r="T416" s="14" t="s">
        <v>465</v>
      </c>
      <c r="U416" s="14" t="s">
        <v>184</v>
      </c>
      <c r="V416" s="14" t="s">
        <v>212</v>
      </c>
    </row>
    <row r="417" spans="1:22" ht="15.75" customHeight="1">
      <c r="A417" s="17" t="s">
        <v>1996</v>
      </c>
      <c r="B417" s="18" t="s">
        <v>982</v>
      </c>
      <c r="C417" s="18" t="s">
        <v>639</v>
      </c>
      <c r="D417" s="17" t="s">
        <v>1998</v>
      </c>
      <c r="E417" s="18" t="s">
        <v>641</v>
      </c>
      <c r="F417" s="18" t="s">
        <v>2394</v>
      </c>
      <c r="G417" s="18" t="s">
        <v>78</v>
      </c>
      <c r="H417" s="17" t="s">
        <v>79</v>
      </c>
      <c r="I417" s="17" t="s">
        <v>80</v>
      </c>
      <c r="J417" s="17" t="s">
        <v>207</v>
      </c>
      <c r="K417" s="18" t="s">
        <v>2406</v>
      </c>
      <c r="L417" s="18" t="s">
        <v>99</v>
      </c>
      <c r="M417" s="18" t="s">
        <v>209</v>
      </c>
      <c r="N417" s="18" t="s">
        <v>2407</v>
      </c>
      <c r="O417" s="17">
        <v>7</v>
      </c>
      <c r="P417" s="59">
        <v>55000</v>
      </c>
      <c r="Q417" s="60">
        <v>0</v>
      </c>
      <c r="R417" s="17">
        <v>18</v>
      </c>
      <c r="S417" s="19">
        <v>454300</v>
      </c>
      <c r="T417" s="18" t="s">
        <v>127</v>
      </c>
      <c r="U417" s="18" t="s">
        <v>184</v>
      </c>
      <c r="V417" s="18" t="s">
        <v>155</v>
      </c>
    </row>
    <row r="418" spans="1:22" ht="15.75" customHeight="1">
      <c r="A418" s="13" t="s">
        <v>1999</v>
      </c>
      <c r="B418" s="14" t="s">
        <v>1033</v>
      </c>
      <c r="C418" s="14" t="s">
        <v>2449</v>
      </c>
      <c r="D418" s="13" t="s">
        <v>2001</v>
      </c>
      <c r="E418" s="14" t="s">
        <v>1671</v>
      </c>
      <c r="F418" s="14" t="s">
        <v>2002</v>
      </c>
      <c r="G418" s="14" t="s">
        <v>228</v>
      </c>
      <c r="H418" s="13" t="s">
        <v>152</v>
      </c>
      <c r="I418" s="13" t="s">
        <v>80</v>
      </c>
      <c r="J418" s="13" t="s">
        <v>137</v>
      </c>
      <c r="K418" s="14" t="s">
        <v>138</v>
      </c>
      <c r="L418" s="14" t="s">
        <v>139</v>
      </c>
      <c r="M418" s="14" t="s">
        <v>140</v>
      </c>
      <c r="N418" s="14" t="s">
        <v>141</v>
      </c>
      <c r="O418" s="13">
        <v>10</v>
      </c>
      <c r="P418" s="61">
        <v>12000</v>
      </c>
      <c r="Q418" s="62">
        <v>12</v>
      </c>
      <c r="R418" s="13">
        <v>18</v>
      </c>
      <c r="S418" s="16">
        <v>124608</v>
      </c>
      <c r="T418" s="14" t="s">
        <v>115</v>
      </c>
      <c r="U418" s="14" t="s">
        <v>184</v>
      </c>
      <c r="V418" s="14" t="s">
        <v>155</v>
      </c>
    </row>
    <row r="419" spans="1:22" ht="15.75" customHeight="1">
      <c r="A419" s="17" t="s">
        <v>2003</v>
      </c>
      <c r="B419" s="18" t="s">
        <v>2481</v>
      </c>
      <c r="C419" s="18" t="s">
        <v>2465</v>
      </c>
      <c r="D419" s="17" t="s">
        <v>2005</v>
      </c>
      <c r="E419" s="18" t="s">
        <v>971</v>
      </c>
      <c r="F419" s="18" t="s">
        <v>2394</v>
      </c>
      <c r="G419" s="18" t="s">
        <v>228</v>
      </c>
      <c r="H419" s="17" t="s">
        <v>152</v>
      </c>
      <c r="I419" s="17" t="s">
        <v>80</v>
      </c>
      <c r="J419" s="17" t="s">
        <v>64</v>
      </c>
      <c r="K419" s="18" t="s">
        <v>2389</v>
      </c>
      <c r="L419" s="18" t="s">
        <v>66</v>
      </c>
      <c r="M419" s="18" t="s">
        <v>67</v>
      </c>
      <c r="N419" s="18" t="s">
        <v>68</v>
      </c>
      <c r="O419" s="17">
        <v>6</v>
      </c>
      <c r="P419" s="59">
        <v>450</v>
      </c>
      <c r="Q419" s="60">
        <v>25</v>
      </c>
      <c r="R419" s="17">
        <v>5</v>
      </c>
      <c r="S419" s="19">
        <v>2126</v>
      </c>
      <c r="T419" s="18" t="s">
        <v>465</v>
      </c>
      <c r="U419" s="18" t="s">
        <v>211</v>
      </c>
      <c r="V419" s="18" t="s">
        <v>212</v>
      </c>
    </row>
    <row r="420" spans="1:22" ht="15.75" customHeight="1">
      <c r="A420" s="13" t="s">
        <v>2006</v>
      </c>
      <c r="B420" s="14" t="s">
        <v>2510</v>
      </c>
      <c r="C420" s="14" t="s">
        <v>2398</v>
      </c>
      <c r="D420" s="13" t="s">
        <v>2008</v>
      </c>
      <c r="E420" s="14" t="s">
        <v>405</v>
      </c>
      <c r="F420" s="14" t="s">
        <v>2009</v>
      </c>
      <c r="G420" s="14" t="s">
        <v>135</v>
      </c>
      <c r="H420" s="13" t="s">
        <v>136</v>
      </c>
      <c r="I420" s="13" t="s">
        <v>63</v>
      </c>
      <c r="J420" s="13" t="s">
        <v>347</v>
      </c>
      <c r="K420" s="14" t="s">
        <v>348</v>
      </c>
      <c r="L420" s="14" t="s">
        <v>139</v>
      </c>
      <c r="M420" s="14" t="s">
        <v>349</v>
      </c>
      <c r="N420" s="14" t="s">
        <v>350</v>
      </c>
      <c r="O420" s="13">
        <v>1</v>
      </c>
      <c r="P420" s="61">
        <v>3200</v>
      </c>
      <c r="Q420" s="62">
        <v>0</v>
      </c>
      <c r="R420" s="13">
        <v>18</v>
      </c>
      <c r="S420" s="16">
        <v>3776</v>
      </c>
      <c r="T420" s="14" t="s">
        <v>153</v>
      </c>
      <c r="U420" s="14" t="s">
        <v>184</v>
      </c>
      <c r="V420" s="14" t="s">
        <v>155</v>
      </c>
    </row>
    <row r="421" spans="1:22" ht="15.75" customHeight="1">
      <c r="A421" s="17" t="s">
        <v>2010</v>
      </c>
      <c r="B421" s="18" t="s">
        <v>2463</v>
      </c>
      <c r="C421" s="18" t="s">
        <v>461</v>
      </c>
      <c r="D421" s="17" t="s">
        <v>2012</v>
      </c>
      <c r="E421" s="18" t="s">
        <v>463</v>
      </c>
      <c r="F421" s="18" t="s">
        <v>2013</v>
      </c>
      <c r="G421" s="18" t="s">
        <v>122</v>
      </c>
      <c r="H421" s="17" t="s">
        <v>122</v>
      </c>
      <c r="I421" s="17" t="s">
        <v>123</v>
      </c>
      <c r="J421" s="17" t="s">
        <v>64</v>
      </c>
      <c r="K421" s="18" t="s">
        <v>2389</v>
      </c>
      <c r="L421" s="18" t="s">
        <v>66</v>
      </c>
      <c r="M421" s="18" t="s">
        <v>67</v>
      </c>
      <c r="N421" s="18" t="s">
        <v>68</v>
      </c>
      <c r="O421" s="17">
        <v>9</v>
      </c>
      <c r="P421" s="59">
        <v>450</v>
      </c>
      <c r="Q421" s="60">
        <v>25</v>
      </c>
      <c r="R421" s="17">
        <v>5</v>
      </c>
      <c r="S421" s="19">
        <v>3189</v>
      </c>
      <c r="T421" s="18" t="s">
        <v>413</v>
      </c>
      <c r="U421" s="18" t="s">
        <v>184</v>
      </c>
      <c r="V421" s="18" t="s">
        <v>212</v>
      </c>
    </row>
    <row r="422" spans="1:22" ht="15.75" customHeight="1">
      <c r="A422" s="13" t="s">
        <v>2014</v>
      </c>
      <c r="B422" s="14" t="s">
        <v>2493</v>
      </c>
      <c r="C422" s="14" t="s">
        <v>372</v>
      </c>
      <c r="D422" s="13" t="s">
        <v>2016</v>
      </c>
      <c r="E422" s="14" t="s">
        <v>374</v>
      </c>
      <c r="F422" s="14" t="s">
        <v>2017</v>
      </c>
      <c r="G422" s="14" t="s">
        <v>341</v>
      </c>
      <c r="H422" s="13" t="s">
        <v>62</v>
      </c>
      <c r="I422" s="13" t="s">
        <v>63</v>
      </c>
      <c r="J422" s="13" t="s">
        <v>347</v>
      </c>
      <c r="K422" s="14" t="s">
        <v>348</v>
      </c>
      <c r="L422" s="14" t="s">
        <v>139</v>
      </c>
      <c r="M422" s="14" t="s">
        <v>349</v>
      </c>
      <c r="N422" s="14" t="s">
        <v>350</v>
      </c>
      <c r="O422" s="13">
        <v>8</v>
      </c>
      <c r="P422" s="61">
        <v>3200</v>
      </c>
      <c r="Q422" s="62">
        <v>8</v>
      </c>
      <c r="R422" s="13">
        <v>18</v>
      </c>
      <c r="S422" s="16">
        <v>27791</v>
      </c>
      <c r="T422" s="14" t="s">
        <v>102</v>
      </c>
      <c r="U422" s="14" t="s">
        <v>184</v>
      </c>
      <c r="V422" s="14" t="s">
        <v>155</v>
      </c>
    </row>
    <row r="423" spans="1:22" ht="15.75" customHeight="1">
      <c r="A423" s="17" t="s">
        <v>2018</v>
      </c>
      <c r="B423" s="18" t="s">
        <v>2507</v>
      </c>
      <c r="C423" s="18" t="s">
        <v>2405</v>
      </c>
      <c r="D423" s="17" t="s">
        <v>2020</v>
      </c>
      <c r="E423" s="18" t="s">
        <v>1852</v>
      </c>
      <c r="F423" s="18" t="s">
        <v>2021</v>
      </c>
      <c r="G423" s="18" t="s">
        <v>439</v>
      </c>
      <c r="H423" s="17" t="s">
        <v>364</v>
      </c>
      <c r="I423" s="17" t="s">
        <v>63</v>
      </c>
      <c r="J423" s="17" t="s">
        <v>295</v>
      </c>
      <c r="K423" s="18" t="s">
        <v>2425</v>
      </c>
      <c r="L423" s="18" t="s">
        <v>66</v>
      </c>
      <c r="M423" s="18" t="s">
        <v>297</v>
      </c>
      <c r="N423" s="18" t="s">
        <v>298</v>
      </c>
      <c r="O423" s="17">
        <v>3</v>
      </c>
      <c r="P423" s="59">
        <v>280</v>
      </c>
      <c r="Q423" s="60">
        <v>5</v>
      </c>
      <c r="R423" s="17">
        <v>5</v>
      </c>
      <c r="S423" s="19">
        <v>838</v>
      </c>
      <c r="T423" s="18" t="s">
        <v>115</v>
      </c>
      <c r="U423" s="18" t="s">
        <v>143</v>
      </c>
      <c r="V423" s="18" t="s">
        <v>155</v>
      </c>
    </row>
    <row r="424" spans="1:22" ht="15.75" customHeight="1">
      <c r="A424" s="13" t="s">
        <v>2022</v>
      </c>
      <c r="B424" s="14" t="s">
        <v>2531</v>
      </c>
      <c r="C424" s="14" t="s">
        <v>337</v>
      </c>
      <c r="D424" s="13" t="s">
        <v>2023</v>
      </c>
      <c r="E424" s="14" t="s">
        <v>2024</v>
      </c>
      <c r="F424" s="14" t="s">
        <v>2025</v>
      </c>
      <c r="G424" s="14" t="s">
        <v>95</v>
      </c>
      <c r="H424" s="13" t="s">
        <v>96</v>
      </c>
      <c r="I424" s="13" t="s">
        <v>63</v>
      </c>
      <c r="J424" s="13" t="s">
        <v>897</v>
      </c>
      <c r="K424" s="14" t="s">
        <v>2491</v>
      </c>
      <c r="L424" s="14" t="s">
        <v>139</v>
      </c>
      <c r="M424" s="14" t="s">
        <v>140</v>
      </c>
      <c r="N424" s="14" t="s">
        <v>899</v>
      </c>
      <c r="O424" s="13">
        <v>6</v>
      </c>
      <c r="P424" s="61">
        <v>38000</v>
      </c>
      <c r="Q424" s="62">
        <v>20</v>
      </c>
      <c r="R424" s="13">
        <v>18</v>
      </c>
      <c r="S424" s="16">
        <v>215232</v>
      </c>
      <c r="T424" s="14" t="s">
        <v>115</v>
      </c>
      <c r="U424" s="14" t="s">
        <v>184</v>
      </c>
      <c r="V424" s="14" t="s">
        <v>212</v>
      </c>
    </row>
    <row r="425" spans="1:22" ht="15.75" customHeight="1">
      <c r="A425" s="17" t="s">
        <v>2026</v>
      </c>
      <c r="B425" s="18" t="s">
        <v>933</v>
      </c>
      <c r="C425" s="18" t="s">
        <v>2410</v>
      </c>
      <c r="D425" s="17" t="s">
        <v>2028</v>
      </c>
      <c r="E425" s="18" t="s">
        <v>569</v>
      </c>
      <c r="F425" s="18" t="s">
        <v>2029</v>
      </c>
      <c r="G425" s="18" t="s">
        <v>248</v>
      </c>
      <c r="H425" s="17" t="s">
        <v>249</v>
      </c>
      <c r="I425" s="17" t="s">
        <v>123</v>
      </c>
      <c r="J425" s="17" t="s">
        <v>312</v>
      </c>
      <c r="K425" s="18" t="s">
        <v>313</v>
      </c>
      <c r="L425" s="18" t="s">
        <v>66</v>
      </c>
      <c r="M425" s="18" t="s">
        <v>199</v>
      </c>
      <c r="N425" s="18" t="s">
        <v>314</v>
      </c>
      <c r="O425" s="17">
        <v>8</v>
      </c>
      <c r="P425" s="59">
        <v>40</v>
      </c>
      <c r="Q425" s="60">
        <v>20</v>
      </c>
      <c r="R425" s="17">
        <v>5</v>
      </c>
      <c r="S425" s="19">
        <v>269</v>
      </c>
      <c r="T425" s="18" t="s">
        <v>115</v>
      </c>
      <c r="U425" s="18" t="s">
        <v>211</v>
      </c>
      <c r="V425" s="18" t="s">
        <v>155</v>
      </c>
    </row>
    <row r="426" spans="1:22" ht="15.75" customHeight="1">
      <c r="A426" s="13" t="s">
        <v>2030</v>
      </c>
      <c r="B426" s="14" t="s">
        <v>1645</v>
      </c>
      <c r="C426" s="14" t="s">
        <v>2388</v>
      </c>
      <c r="D426" s="13" t="s">
        <v>2032</v>
      </c>
      <c r="E426" s="14" t="s">
        <v>2523</v>
      </c>
      <c r="F426" s="14" t="s">
        <v>2033</v>
      </c>
      <c r="G426" s="14" t="s">
        <v>181</v>
      </c>
      <c r="H426" s="13" t="s">
        <v>182</v>
      </c>
      <c r="I426" s="13" t="s">
        <v>123</v>
      </c>
      <c r="J426" s="13" t="s">
        <v>97</v>
      </c>
      <c r="K426" s="14" t="s">
        <v>2395</v>
      </c>
      <c r="L426" s="14" t="s">
        <v>99</v>
      </c>
      <c r="M426" s="14" t="s">
        <v>100</v>
      </c>
      <c r="N426" s="14" t="s">
        <v>2396</v>
      </c>
      <c r="O426" s="13">
        <v>10</v>
      </c>
      <c r="P426" s="61">
        <v>28000</v>
      </c>
      <c r="Q426" s="62">
        <v>10</v>
      </c>
      <c r="R426" s="13">
        <v>18</v>
      </c>
      <c r="S426" s="16">
        <v>297360</v>
      </c>
      <c r="T426" s="14" t="s">
        <v>465</v>
      </c>
      <c r="U426" s="14" t="s">
        <v>211</v>
      </c>
      <c r="V426" s="14" t="s">
        <v>212</v>
      </c>
    </row>
    <row r="427" spans="1:22" ht="15.75" customHeight="1">
      <c r="A427" s="17" t="s">
        <v>2034</v>
      </c>
      <c r="B427" s="18" t="s">
        <v>2512</v>
      </c>
      <c r="C427" s="18" t="s">
        <v>2400</v>
      </c>
      <c r="D427" s="17" t="s">
        <v>2035</v>
      </c>
      <c r="E427" s="18" t="s">
        <v>149</v>
      </c>
      <c r="F427" s="18" t="s">
        <v>2036</v>
      </c>
      <c r="G427" s="18" t="s">
        <v>341</v>
      </c>
      <c r="H427" s="17" t="s">
        <v>62</v>
      </c>
      <c r="I427" s="17" t="s">
        <v>63</v>
      </c>
      <c r="J427" s="17" t="s">
        <v>97</v>
      </c>
      <c r="K427" s="18" t="s">
        <v>2395</v>
      </c>
      <c r="L427" s="18" t="s">
        <v>99</v>
      </c>
      <c r="M427" s="18" t="s">
        <v>100</v>
      </c>
      <c r="N427" s="18" t="s">
        <v>2396</v>
      </c>
      <c r="O427" s="17">
        <v>8</v>
      </c>
      <c r="P427" s="59">
        <v>28000</v>
      </c>
      <c r="Q427" s="60">
        <v>12</v>
      </c>
      <c r="R427" s="17">
        <v>18</v>
      </c>
      <c r="S427" s="19">
        <v>232602</v>
      </c>
      <c r="T427" s="18" t="s">
        <v>153</v>
      </c>
      <c r="U427" s="18" t="s">
        <v>70</v>
      </c>
      <c r="V427" s="18" t="s">
        <v>212</v>
      </c>
    </row>
    <row r="428" spans="1:22" ht="15.75" customHeight="1">
      <c r="A428" s="13" t="s">
        <v>2037</v>
      </c>
      <c r="B428" s="14" t="s">
        <v>2519</v>
      </c>
      <c r="C428" s="14" t="s">
        <v>482</v>
      </c>
      <c r="D428" s="13" t="s">
        <v>2039</v>
      </c>
      <c r="E428" s="14" t="s">
        <v>1115</v>
      </c>
      <c r="F428" s="14" t="s">
        <v>2040</v>
      </c>
      <c r="G428" s="14" t="s">
        <v>248</v>
      </c>
      <c r="H428" s="13" t="s">
        <v>249</v>
      </c>
      <c r="I428" s="13" t="s">
        <v>123</v>
      </c>
      <c r="J428" s="13" t="s">
        <v>219</v>
      </c>
      <c r="K428" s="14" t="s">
        <v>2408</v>
      </c>
      <c r="L428" s="14" t="s">
        <v>99</v>
      </c>
      <c r="M428" s="14" t="s">
        <v>100</v>
      </c>
      <c r="N428" s="14" t="s">
        <v>221</v>
      </c>
      <c r="O428" s="13">
        <v>9</v>
      </c>
      <c r="P428" s="13">
        <v>0</v>
      </c>
      <c r="Q428" s="62">
        <v>0</v>
      </c>
      <c r="R428" s="13">
        <v>18</v>
      </c>
      <c r="S428" s="16">
        <v>0</v>
      </c>
      <c r="T428" s="14" t="s">
        <v>413</v>
      </c>
      <c r="U428" s="14" t="s">
        <v>70</v>
      </c>
      <c r="V428" s="14" t="s">
        <v>155</v>
      </c>
    </row>
    <row r="429" spans="1:22" ht="15.75" customHeight="1">
      <c r="A429" s="17" t="s">
        <v>2041</v>
      </c>
      <c r="B429" s="18" t="s">
        <v>737</v>
      </c>
      <c r="C429" s="18" t="s">
        <v>461</v>
      </c>
      <c r="D429" s="17" t="s">
        <v>2043</v>
      </c>
      <c r="E429" s="18" t="s">
        <v>2044</v>
      </c>
      <c r="F429" s="18" t="s">
        <v>2045</v>
      </c>
      <c r="G429" s="18" t="s">
        <v>122</v>
      </c>
      <c r="H429" s="17" t="s">
        <v>122</v>
      </c>
      <c r="I429" s="17" t="s">
        <v>123</v>
      </c>
      <c r="J429" s="17" t="s">
        <v>162</v>
      </c>
      <c r="K429" s="18" t="s">
        <v>163</v>
      </c>
      <c r="L429" s="18" t="s">
        <v>99</v>
      </c>
      <c r="M429" s="18" t="s">
        <v>164</v>
      </c>
      <c r="N429" s="18" t="s">
        <v>165</v>
      </c>
      <c r="O429" s="17">
        <v>3</v>
      </c>
      <c r="P429" s="59">
        <v>2800</v>
      </c>
      <c r="Q429" s="60">
        <v>10</v>
      </c>
      <c r="R429" s="17">
        <v>18</v>
      </c>
      <c r="S429" s="19">
        <v>8921</v>
      </c>
      <c r="T429" s="18" t="s">
        <v>115</v>
      </c>
      <c r="U429" s="18" t="s">
        <v>288</v>
      </c>
      <c r="V429" s="18" t="s">
        <v>155</v>
      </c>
    </row>
    <row r="430" spans="1:22" ht="15.75" customHeight="1">
      <c r="A430" s="13" t="s">
        <v>2046</v>
      </c>
      <c r="B430" s="14" t="s">
        <v>874</v>
      </c>
      <c r="C430" s="14" t="s">
        <v>2417</v>
      </c>
      <c r="D430" s="13" t="s">
        <v>2048</v>
      </c>
      <c r="E430" s="14" t="s">
        <v>2535</v>
      </c>
      <c r="F430" s="14" t="s">
        <v>2049</v>
      </c>
      <c r="G430" s="14" t="s">
        <v>744</v>
      </c>
      <c r="H430" s="13" t="s">
        <v>79</v>
      </c>
      <c r="I430" s="13" t="s">
        <v>80</v>
      </c>
      <c r="J430" s="13" t="s">
        <v>81</v>
      </c>
      <c r="K430" s="14" t="s">
        <v>82</v>
      </c>
      <c r="L430" s="14" t="s">
        <v>83</v>
      </c>
      <c r="M430" s="14" t="s">
        <v>84</v>
      </c>
      <c r="N430" s="14" t="s">
        <v>85</v>
      </c>
      <c r="O430" s="13">
        <v>7</v>
      </c>
      <c r="P430" s="61">
        <v>25000</v>
      </c>
      <c r="Q430" s="62">
        <v>20</v>
      </c>
      <c r="R430" s="13">
        <v>3</v>
      </c>
      <c r="S430" s="16">
        <v>144200</v>
      </c>
      <c r="T430" s="14" t="s">
        <v>115</v>
      </c>
      <c r="U430" s="14" t="s">
        <v>184</v>
      </c>
      <c r="V430" s="14" t="s">
        <v>212</v>
      </c>
    </row>
    <row r="431" spans="1:22" ht="15.75" customHeight="1">
      <c r="A431" s="17" t="s">
        <v>2050</v>
      </c>
      <c r="B431" s="18" t="s">
        <v>2464</v>
      </c>
      <c r="C431" s="18" t="s">
        <v>2456</v>
      </c>
      <c r="D431" s="17" t="s">
        <v>2051</v>
      </c>
      <c r="E431" s="18" t="s">
        <v>1058</v>
      </c>
      <c r="F431" s="18" t="s">
        <v>2052</v>
      </c>
      <c r="G431" s="18" t="s">
        <v>228</v>
      </c>
      <c r="H431" s="17" t="s">
        <v>152</v>
      </c>
      <c r="I431" s="17" t="s">
        <v>80</v>
      </c>
      <c r="J431" s="17" t="s">
        <v>897</v>
      </c>
      <c r="K431" s="18" t="s">
        <v>2491</v>
      </c>
      <c r="L431" s="18" t="s">
        <v>139</v>
      </c>
      <c r="M431" s="18" t="s">
        <v>140</v>
      </c>
      <c r="N431" s="18" t="s">
        <v>899</v>
      </c>
      <c r="O431" s="17">
        <v>7</v>
      </c>
      <c r="P431" s="59">
        <v>38000</v>
      </c>
      <c r="Q431" s="60">
        <v>0</v>
      </c>
      <c r="R431" s="17">
        <v>18</v>
      </c>
      <c r="S431" s="19">
        <v>313880</v>
      </c>
      <c r="T431" s="18" t="s">
        <v>115</v>
      </c>
      <c r="U431" s="18" t="s">
        <v>143</v>
      </c>
      <c r="V431" s="18" t="s">
        <v>155</v>
      </c>
    </row>
    <row r="432" spans="1:22" ht="15.75" customHeight="1">
      <c r="A432" s="13" t="s">
        <v>2053</v>
      </c>
      <c r="B432" s="14" t="s">
        <v>2475</v>
      </c>
      <c r="C432" s="14" t="s">
        <v>2421</v>
      </c>
      <c r="D432" s="13" t="s">
        <v>2055</v>
      </c>
      <c r="E432" s="14" t="s">
        <v>886</v>
      </c>
      <c r="F432" s="14" t="s">
        <v>2394</v>
      </c>
      <c r="G432" s="14" t="s">
        <v>61</v>
      </c>
      <c r="H432" s="13" t="s">
        <v>62</v>
      </c>
      <c r="I432" s="13" t="s">
        <v>63</v>
      </c>
      <c r="J432" s="13" t="s">
        <v>491</v>
      </c>
      <c r="K432" s="14" t="s">
        <v>492</v>
      </c>
      <c r="L432" s="14" t="s">
        <v>112</v>
      </c>
      <c r="M432" s="14" t="s">
        <v>493</v>
      </c>
      <c r="N432" s="14" t="s">
        <v>494</v>
      </c>
      <c r="O432" s="13">
        <v>2</v>
      </c>
      <c r="P432" s="61">
        <v>4500</v>
      </c>
      <c r="Q432" s="62">
        <v>8</v>
      </c>
      <c r="R432" s="13">
        <v>5</v>
      </c>
      <c r="S432" s="16">
        <v>8694</v>
      </c>
      <c r="T432" s="14" t="s">
        <v>127</v>
      </c>
      <c r="U432" s="14" t="s">
        <v>184</v>
      </c>
      <c r="V432" s="14" t="s">
        <v>155</v>
      </c>
    </row>
    <row r="433" spans="1:22" ht="15.75" customHeight="1">
      <c r="A433" s="17" t="s">
        <v>2057</v>
      </c>
      <c r="B433" s="18" t="s">
        <v>2531</v>
      </c>
      <c r="C433" s="18" t="s">
        <v>2432</v>
      </c>
      <c r="D433" s="17" t="s">
        <v>2058</v>
      </c>
      <c r="E433" s="18" t="s">
        <v>489</v>
      </c>
      <c r="F433" s="18" t="s">
        <v>2059</v>
      </c>
      <c r="G433" s="18" t="s">
        <v>95</v>
      </c>
      <c r="H433" s="17" t="s">
        <v>96</v>
      </c>
      <c r="I433" s="17" t="s">
        <v>63</v>
      </c>
      <c r="J433" s="17" t="s">
        <v>595</v>
      </c>
      <c r="K433" s="18" t="s">
        <v>596</v>
      </c>
      <c r="L433" s="18" t="s">
        <v>112</v>
      </c>
      <c r="M433" s="18" t="s">
        <v>240</v>
      </c>
      <c r="N433" s="18" t="s">
        <v>597</v>
      </c>
      <c r="O433" s="17">
        <v>4</v>
      </c>
      <c r="P433" s="59">
        <v>1200</v>
      </c>
      <c r="Q433" s="60">
        <v>20</v>
      </c>
      <c r="R433" s="17">
        <v>5</v>
      </c>
      <c r="S433" s="19">
        <v>4032</v>
      </c>
      <c r="T433" s="18" t="s">
        <v>153</v>
      </c>
      <c r="U433" s="18" t="s">
        <v>143</v>
      </c>
      <c r="V433" s="18" t="s">
        <v>212</v>
      </c>
    </row>
    <row r="434" spans="1:22" ht="15.75" customHeight="1">
      <c r="A434" s="13" t="s">
        <v>2060</v>
      </c>
      <c r="B434" s="14" t="s">
        <v>2027</v>
      </c>
      <c r="C434" s="14" t="s">
        <v>2417</v>
      </c>
      <c r="D434" s="13" t="s">
        <v>2062</v>
      </c>
      <c r="E434" s="14" t="s">
        <v>2063</v>
      </c>
      <c r="F434" s="14" t="s">
        <v>2064</v>
      </c>
      <c r="G434" s="14" t="s">
        <v>2422</v>
      </c>
      <c r="H434" s="13" t="s">
        <v>96</v>
      </c>
      <c r="I434" s="13" t="s">
        <v>63</v>
      </c>
      <c r="J434" s="13" t="s">
        <v>238</v>
      </c>
      <c r="K434" s="14" t="s">
        <v>2412</v>
      </c>
      <c r="L434" s="14" t="s">
        <v>112</v>
      </c>
      <c r="M434" s="14" t="s">
        <v>240</v>
      </c>
      <c r="N434" s="14" t="s">
        <v>2413</v>
      </c>
      <c r="O434" s="13">
        <v>1</v>
      </c>
      <c r="P434" s="61">
        <v>2500</v>
      </c>
      <c r="Q434" s="62">
        <v>25</v>
      </c>
      <c r="R434" s="13">
        <v>5</v>
      </c>
      <c r="S434" s="16">
        <v>1969</v>
      </c>
      <c r="T434" s="14" t="s">
        <v>413</v>
      </c>
      <c r="U434" s="14" t="s">
        <v>143</v>
      </c>
      <c r="V434" s="14" t="s">
        <v>212</v>
      </c>
    </row>
    <row r="435" spans="1:22" ht="15.75" customHeight="1">
      <c r="A435" s="17" t="s">
        <v>2065</v>
      </c>
      <c r="B435" s="18" t="s">
        <v>1351</v>
      </c>
      <c r="C435" s="18" t="s">
        <v>106</v>
      </c>
      <c r="D435" s="17" t="s">
        <v>2066</v>
      </c>
      <c r="E435" s="18" t="s">
        <v>708</v>
      </c>
      <c r="F435" s="18" t="s">
        <v>2067</v>
      </c>
      <c r="G435" s="18" t="s">
        <v>135</v>
      </c>
      <c r="H435" s="17" t="s">
        <v>136</v>
      </c>
      <c r="I435" s="17" t="s">
        <v>63</v>
      </c>
      <c r="J435" s="17" t="s">
        <v>257</v>
      </c>
      <c r="K435" s="18" t="s">
        <v>2418</v>
      </c>
      <c r="L435" s="18" t="s">
        <v>139</v>
      </c>
      <c r="M435" s="18" t="s">
        <v>259</v>
      </c>
      <c r="N435" s="18" t="s">
        <v>260</v>
      </c>
      <c r="O435" s="17">
        <v>4</v>
      </c>
      <c r="P435" s="59">
        <v>299</v>
      </c>
      <c r="Q435" s="60">
        <v>8</v>
      </c>
      <c r="R435" s="17">
        <v>18</v>
      </c>
      <c r="S435" s="19">
        <v>1298</v>
      </c>
      <c r="T435" s="18" t="s">
        <v>115</v>
      </c>
      <c r="U435" s="18" t="s">
        <v>70</v>
      </c>
      <c r="V435" s="18" t="s">
        <v>155</v>
      </c>
    </row>
    <row r="436" spans="1:22" ht="15.75" customHeight="1">
      <c r="A436" s="13" t="s">
        <v>2068</v>
      </c>
      <c r="B436" s="14" t="s">
        <v>2416</v>
      </c>
      <c r="C436" s="14" t="s">
        <v>2487</v>
      </c>
      <c r="D436" s="13" t="s">
        <v>2502</v>
      </c>
      <c r="E436" s="14" t="s">
        <v>1080</v>
      </c>
      <c r="F436" s="14" t="s">
        <v>2070</v>
      </c>
      <c r="G436" s="14" t="s">
        <v>744</v>
      </c>
      <c r="H436" s="13" t="s">
        <v>79</v>
      </c>
      <c r="I436" s="13" t="s">
        <v>80</v>
      </c>
      <c r="J436" s="13" t="s">
        <v>207</v>
      </c>
      <c r="K436" s="14" t="s">
        <v>2406</v>
      </c>
      <c r="L436" s="14" t="s">
        <v>99</v>
      </c>
      <c r="M436" s="14" t="s">
        <v>209</v>
      </c>
      <c r="N436" s="14" t="s">
        <v>2407</v>
      </c>
      <c r="O436" s="13">
        <v>10</v>
      </c>
      <c r="P436" s="61">
        <v>55000</v>
      </c>
      <c r="Q436" s="62">
        <v>25</v>
      </c>
      <c r="R436" s="13">
        <v>18</v>
      </c>
      <c r="S436" s="16">
        <v>486750</v>
      </c>
      <c r="T436" s="14" t="s">
        <v>465</v>
      </c>
      <c r="U436" s="14" t="s">
        <v>211</v>
      </c>
      <c r="V436" s="14" t="s">
        <v>155</v>
      </c>
    </row>
    <row r="437" spans="1:22" ht="15.75" customHeight="1">
      <c r="A437" s="17" t="s">
        <v>2071</v>
      </c>
      <c r="B437" s="18" t="s">
        <v>884</v>
      </c>
      <c r="C437" s="18" t="s">
        <v>639</v>
      </c>
      <c r="D437" s="17" t="s">
        <v>2502</v>
      </c>
      <c r="E437" s="18" t="s">
        <v>2072</v>
      </c>
      <c r="F437" s="18" t="s">
        <v>2073</v>
      </c>
      <c r="G437" s="18" t="s">
        <v>485</v>
      </c>
      <c r="H437" s="17" t="s">
        <v>305</v>
      </c>
      <c r="I437" s="17" t="s">
        <v>306</v>
      </c>
      <c r="J437" s="17" t="s">
        <v>477</v>
      </c>
      <c r="K437" s="18" t="s">
        <v>478</v>
      </c>
      <c r="L437" s="18" t="s">
        <v>139</v>
      </c>
      <c r="M437" s="18" t="s">
        <v>349</v>
      </c>
      <c r="N437" s="18" t="s">
        <v>479</v>
      </c>
      <c r="O437" s="17">
        <v>7</v>
      </c>
      <c r="P437" s="59">
        <v>2200</v>
      </c>
      <c r="Q437" s="60">
        <v>20</v>
      </c>
      <c r="R437" s="17">
        <v>12</v>
      </c>
      <c r="S437" s="19">
        <v>13798</v>
      </c>
      <c r="T437" s="18" t="s">
        <v>127</v>
      </c>
      <c r="U437" s="18" t="s">
        <v>70</v>
      </c>
      <c r="V437" s="18" t="s">
        <v>212</v>
      </c>
    </row>
    <row r="438" spans="1:22" ht="15.75" customHeight="1">
      <c r="A438" s="13" t="s">
        <v>2074</v>
      </c>
      <c r="B438" s="14" t="s">
        <v>1547</v>
      </c>
      <c r="C438" s="14" t="s">
        <v>2430</v>
      </c>
      <c r="D438" s="13" t="s">
        <v>2075</v>
      </c>
      <c r="E438" s="14" t="s">
        <v>1243</v>
      </c>
      <c r="F438" s="14" t="s">
        <v>2076</v>
      </c>
      <c r="G438" s="14" t="s">
        <v>151</v>
      </c>
      <c r="H438" s="13" t="s">
        <v>152</v>
      </c>
      <c r="I438" s="13" t="s">
        <v>80</v>
      </c>
      <c r="J438" s="13" t="s">
        <v>257</v>
      </c>
      <c r="K438" s="14" t="s">
        <v>2418</v>
      </c>
      <c r="L438" s="14" t="s">
        <v>139</v>
      </c>
      <c r="M438" s="14" t="s">
        <v>259</v>
      </c>
      <c r="N438" s="14" t="s">
        <v>260</v>
      </c>
      <c r="O438" s="13">
        <v>6</v>
      </c>
      <c r="P438" s="61">
        <v>299</v>
      </c>
      <c r="Q438" s="62">
        <v>80</v>
      </c>
      <c r="R438" s="13">
        <v>18</v>
      </c>
      <c r="S438" s="16">
        <v>423</v>
      </c>
      <c r="T438" s="14" t="s">
        <v>465</v>
      </c>
      <c r="U438" s="14" t="s">
        <v>288</v>
      </c>
      <c r="V438" s="14" t="s">
        <v>155</v>
      </c>
    </row>
    <row r="439" spans="1:22" ht="15.75" customHeight="1">
      <c r="A439" s="17" t="s">
        <v>2077</v>
      </c>
      <c r="B439" s="18" t="s">
        <v>2522</v>
      </c>
      <c r="C439" s="18" t="s">
        <v>2432</v>
      </c>
      <c r="D439" s="17" t="s">
        <v>2079</v>
      </c>
      <c r="E439" s="18" t="s">
        <v>2080</v>
      </c>
      <c r="F439" s="18" t="s">
        <v>2081</v>
      </c>
      <c r="G439" s="18" t="s">
        <v>122</v>
      </c>
      <c r="H439" s="17" t="s">
        <v>122</v>
      </c>
      <c r="I439" s="17" t="s">
        <v>123</v>
      </c>
      <c r="J439" s="17" t="s">
        <v>137</v>
      </c>
      <c r="K439" s="18" t="s">
        <v>138</v>
      </c>
      <c r="L439" s="18" t="s">
        <v>139</v>
      </c>
      <c r="M439" s="18" t="s">
        <v>140</v>
      </c>
      <c r="N439" s="18" t="s">
        <v>141</v>
      </c>
      <c r="O439" s="17">
        <v>5</v>
      </c>
      <c r="P439" s="59">
        <v>12000</v>
      </c>
      <c r="Q439" s="60">
        <v>20</v>
      </c>
      <c r="R439" s="17">
        <v>18</v>
      </c>
      <c r="S439" s="19">
        <v>56640</v>
      </c>
      <c r="T439" s="18" t="s">
        <v>413</v>
      </c>
      <c r="U439" s="18" t="s">
        <v>143</v>
      </c>
      <c r="V439" s="18" t="s">
        <v>155</v>
      </c>
    </row>
    <row r="440" spans="1:22" ht="15.75" customHeight="1">
      <c r="A440" s="13" t="s">
        <v>2082</v>
      </c>
      <c r="B440" s="14" t="s">
        <v>2517</v>
      </c>
      <c r="C440" s="14" t="s">
        <v>627</v>
      </c>
      <c r="D440" s="13" t="s">
        <v>2084</v>
      </c>
      <c r="E440" s="14" t="s">
        <v>629</v>
      </c>
      <c r="F440" s="14" t="s">
        <v>2085</v>
      </c>
      <c r="G440" s="14" t="s">
        <v>333</v>
      </c>
      <c r="H440" s="13" t="s">
        <v>334</v>
      </c>
      <c r="I440" s="13" t="s">
        <v>63</v>
      </c>
      <c r="J440" s="13" t="s">
        <v>81</v>
      </c>
      <c r="K440" s="14" t="s">
        <v>82</v>
      </c>
      <c r="L440" s="14" t="s">
        <v>83</v>
      </c>
      <c r="M440" s="14" t="s">
        <v>84</v>
      </c>
      <c r="N440" s="14" t="s">
        <v>85</v>
      </c>
      <c r="O440" s="13">
        <v>10</v>
      </c>
      <c r="P440" s="61">
        <v>25000</v>
      </c>
      <c r="Q440" s="62">
        <v>10</v>
      </c>
      <c r="R440" s="13">
        <v>3</v>
      </c>
      <c r="S440" s="16">
        <v>231750</v>
      </c>
      <c r="T440" s="14" t="s">
        <v>115</v>
      </c>
      <c r="U440" s="14" t="s">
        <v>211</v>
      </c>
      <c r="V440" s="14" t="s">
        <v>155</v>
      </c>
    </row>
    <row r="441" spans="1:22" ht="15.75" customHeight="1">
      <c r="A441" s="17" t="s">
        <v>2086</v>
      </c>
      <c r="B441" s="18" t="s">
        <v>1351</v>
      </c>
      <c r="C441" s="18" t="s">
        <v>712</v>
      </c>
      <c r="D441" s="17" t="s">
        <v>2088</v>
      </c>
      <c r="E441" s="18" t="s">
        <v>1053</v>
      </c>
      <c r="F441" s="18" t="s">
        <v>2089</v>
      </c>
      <c r="G441" s="18" t="s">
        <v>248</v>
      </c>
      <c r="H441" s="17" t="s">
        <v>249</v>
      </c>
      <c r="I441" s="17" t="s">
        <v>123</v>
      </c>
      <c r="J441" s="17" t="s">
        <v>81</v>
      </c>
      <c r="K441" s="18" t="s">
        <v>82</v>
      </c>
      <c r="L441" s="18" t="s">
        <v>83</v>
      </c>
      <c r="M441" s="18" t="s">
        <v>84</v>
      </c>
      <c r="N441" s="18" t="s">
        <v>85</v>
      </c>
      <c r="O441" s="17">
        <v>8</v>
      </c>
      <c r="P441" s="59">
        <v>25000</v>
      </c>
      <c r="Q441" s="60">
        <v>10</v>
      </c>
      <c r="R441" s="17">
        <v>3</v>
      </c>
      <c r="S441" s="19">
        <v>185400</v>
      </c>
      <c r="T441" s="18" t="s">
        <v>115</v>
      </c>
      <c r="U441" s="18" t="s">
        <v>211</v>
      </c>
      <c r="V441" s="18" t="s">
        <v>212</v>
      </c>
    </row>
    <row r="442" spans="1:22" ht="15.75" customHeight="1">
      <c r="A442" s="13" t="s">
        <v>2090</v>
      </c>
      <c r="B442" s="14" t="s">
        <v>1046</v>
      </c>
      <c r="C442" s="14" t="s">
        <v>2449</v>
      </c>
      <c r="D442" s="13" t="s">
        <v>2091</v>
      </c>
      <c r="E442" s="14" t="s">
        <v>2092</v>
      </c>
      <c r="F442" s="14" t="s">
        <v>2093</v>
      </c>
      <c r="G442" s="14" t="s">
        <v>485</v>
      </c>
      <c r="H442" s="13" t="s">
        <v>305</v>
      </c>
      <c r="I442" s="13" t="s">
        <v>306</v>
      </c>
      <c r="J442" s="13" t="s">
        <v>97</v>
      </c>
      <c r="K442" s="14" t="s">
        <v>2395</v>
      </c>
      <c r="L442" s="14" t="s">
        <v>99</v>
      </c>
      <c r="M442" s="14" t="s">
        <v>100</v>
      </c>
      <c r="N442" s="14" t="s">
        <v>2396</v>
      </c>
      <c r="O442" s="13">
        <v>4</v>
      </c>
      <c r="P442" s="61">
        <v>28000</v>
      </c>
      <c r="Q442" s="62">
        <v>25</v>
      </c>
      <c r="R442" s="13">
        <v>18</v>
      </c>
      <c r="S442" s="16">
        <v>99120</v>
      </c>
      <c r="T442" s="14" t="s">
        <v>465</v>
      </c>
      <c r="U442" s="14" t="s">
        <v>143</v>
      </c>
      <c r="V442" s="14" t="s">
        <v>155</v>
      </c>
    </row>
    <row r="443" spans="1:22" ht="15.75" customHeight="1">
      <c r="A443" s="17" t="s">
        <v>2094</v>
      </c>
      <c r="B443" s="18" t="s">
        <v>1194</v>
      </c>
      <c r="C443" s="18" t="s">
        <v>2278</v>
      </c>
      <c r="D443" s="17" t="s">
        <v>2095</v>
      </c>
      <c r="E443" s="18" t="s">
        <v>1098</v>
      </c>
      <c r="F443" s="18" t="s">
        <v>2096</v>
      </c>
      <c r="G443" s="18" t="s">
        <v>78</v>
      </c>
      <c r="H443" s="17" t="s">
        <v>79</v>
      </c>
      <c r="I443" s="17" t="s">
        <v>80</v>
      </c>
      <c r="J443" s="17" t="s">
        <v>219</v>
      </c>
      <c r="K443" s="18" t="s">
        <v>2408</v>
      </c>
      <c r="L443" s="18" t="s">
        <v>99</v>
      </c>
      <c r="M443" s="18" t="s">
        <v>100</v>
      </c>
      <c r="N443" s="18" t="s">
        <v>221</v>
      </c>
      <c r="O443" s="17">
        <v>10</v>
      </c>
      <c r="P443" s="59">
        <v>89000</v>
      </c>
      <c r="Q443" s="60">
        <v>5</v>
      </c>
      <c r="R443" s="17">
        <v>18</v>
      </c>
      <c r="S443" s="19">
        <v>997690</v>
      </c>
      <c r="T443" s="18" t="s">
        <v>115</v>
      </c>
      <c r="U443" s="18" t="s">
        <v>184</v>
      </c>
      <c r="V443" s="18" t="s">
        <v>155</v>
      </c>
    </row>
    <row r="444" spans="1:22" ht="15.75" customHeight="1">
      <c r="A444" s="13" t="s">
        <v>2097</v>
      </c>
      <c r="B444" s="14" t="s">
        <v>1528</v>
      </c>
      <c r="C444" s="14" t="s">
        <v>2465</v>
      </c>
      <c r="D444" s="13" t="s">
        <v>2502</v>
      </c>
      <c r="E444" s="14" t="s">
        <v>794</v>
      </c>
      <c r="F444" s="14" t="s">
        <v>2099</v>
      </c>
      <c r="G444" s="14" t="s">
        <v>95</v>
      </c>
      <c r="H444" s="13" t="s">
        <v>96</v>
      </c>
      <c r="I444" s="13" t="s">
        <v>63</v>
      </c>
      <c r="J444" s="13" t="s">
        <v>207</v>
      </c>
      <c r="K444" s="14" t="s">
        <v>2406</v>
      </c>
      <c r="L444" s="14" t="s">
        <v>99</v>
      </c>
      <c r="M444" s="14" t="s">
        <v>209</v>
      </c>
      <c r="N444" s="14" t="s">
        <v>2407</v>
      </c>
      <c r="O444" s="13">
        <v>6</v>
      </c>
      <c r="P444" s="61">
        <v>55000</v>
      </c>
      <c r="Q444" s="62">
        <v>15</v>
      </c>
      <c r="R444" s="13">
        <v>18</v>
      </c>
      <c r="S444" s="16">
        <v>330990</v>
      </c>
      <c r="T444" s="14" t="s">
        <v>102</v>
      </c>
      <c r="U444" s="14" t="s">
        <v>70</v>
      </c>
      <c r="V444" s="14" t="s">
        <v>155</v>
      </c>
    </row>
    <row r="445" spans="1:22" ht="15.75" customHeight="1">
      <c r="A445" s="17" t="s">
        <v>2100</v>
      </c>
      <c r="B445" s="18" t="s">
        <v>2536</v>
      </c>
      <c r="C445" s="18" t="s">
        <v>728</v>
      </c>
      <c r="D445" s="17" t="s">
        <v>2102</v>
      </c>
      <c r="E445" s="18" t="s">
        <v>849</v>
      </c>
      <c r="F445" s="18" t="s">
        <v>2103</v>
      </c>
      <c r="G445" s="18" t="s">
        <v>228</v>
      </c>
      <c r="H445" s="17" t="s">
        <v>152</v>
      </c>
      <c r="I445" s="17" t="s">
        <v>80</v>
      </c>
      <c r="J445" s="17" t="s">
        <v>238</v>
      </c>
      <c r="K445" s="18" t="s">
        <v>2412</v>
      </c>
      <c r="L445" s="18" t="s">
        <v>112</v>
      </c>
      <c r="M445" s="18" t="s">
        <v>240</v>
      </c>
      <c r="N445" s="18" t="s">
        <v>2413</v>
      </c>
      <c r="O445" s="17">
        <v>1</v>
      </c>
      <c r="P445" s="59">
        <v>2500</v>
      </c>
      <c r="Q445" s="60">
        <v>5</v>
      </c>
      <c r="R445" s="17">
        <v>5</v>
      </c>
      <c r="S445" s="19">
        <v>2494</v>
      </c>
      <c r="T445" s="18" t="s">
        <v>153</v>
      </c>
      <c r="U445" s="18" t="s">
        <v>184</v>
      </c>
      <c r="V445" s="18" t="s">
        <v>212</v>
      </c>
    </row>
    <row r="446" spans="1:22" ht="15.75" customHeight="1">
      <c r="A446" s="13" t="s">
        <v>2104</v>
      </c>
      <c r="B446" s="14" t="s">
        <v>2420</v>
      </c>
      <c r="C446" s="14" t="s">
        <v>2453</v>
      </c>
      <c r="D446" s="13" t="s">
        <v>2106</v>
      </c>
      <c r="E446" s="14" t="s">
        <v>1123</v>
      </c>
      <c r="F446" s="14" t="s">
        <v>2107</v>
      </c>
      <c r="G446" s="14" t="s">
        <v>341</v>
      </c>
      <c r="H446" s="13" t="s">
        <v>62</v>
      </c>
      <c r="I446" s="13" t="s">
        <v>63</v>
      </c>
      <c r="J446" s="13" t="s">
        <v>162</v>
      </c>
      <c r="K446" s="14" t="s">
        <v>163</v>
      </c>
      <c r="L446" s="14" t="s">
        <v>99</v>
      </c>
      <c r="M446" s="14" t="s">
        <v>164</v>
      </c>
      <c r="N446" s="14" t="s">
        <v>165</v>
      </c>
      <c r="O446" s="13">
        <v>4</v>
      </c>
      <c r="P446" s="61">
        <v>2800</v>
      </c>
      <c r="Q446" s="62">
        <v>12</v>
      </c>
      <c r="R446" s="13">
        <v>18</v>
      </c>
      <c r="S446" s="16">
        <v>11630</v>
      </c>
      <c r="T446" s="14" t="s">
        <v>413</v>
      </c>
      <c r="U446" s="14" t="s">
        <v>70</v>
      </c>
      <c r="V446" s="14" t="s">
        <v>212</v>
      </c>
    </row>
    <row r="447" spans="1:22" ht="15.75" customHeight="1">
      <c r="A447" s="17" t="s">
        <v>2108</v>
      </c>
      <c r="B447" s="18" t="s">
        <v>2537</v>
      </c>
      <c r="C447" s="18" t="s">
        <v>2449</v>
      </c>
      <c r="D447" s="17" t="s">
        <v>2110</v>
      </c>
      <c r="E447" s="18" t="s">
        <v>1671</v>
      </c>
      <c r="F447" s="18" t="s">
        <v>2111</v>
      </c>
      <c r="G447" s="18" t="s">
        <v>2422</v>
      </c>
      <c r="H447" s="17" t="s">
        <v>96</v>
      </c>
      <c r="I447" s="17" t="s">
        <v>63</v>
      </c>
      <c r="J447" s="17" t="s">
        <v>81</v>
      </c>
      <c r="K447" s="18" t="s">
        <v>82</v>
      </c>
      <c r="L447" s="18" t="s">
        <v>83</v>
      </c>
      <c r="M447" s="18" t="s">
        <v>84</v>
      </c>
      <c r="N447" s="18" t="s">
        <v>85</v>
      </c>
      <c r="O447" s="17">
        <v>1</v>
      </c>
      <c r="P447" s="59">
        <v>25000</v>
      </c>
      <c r="Q447" s="60">
        <v>20</v>
      </c>
      <c r="R447" s="17">
        <v>3</v>
      </c>
      <c r="S447" s="19">
        <v>20600</v>
      </c>
      <c r="T447" s="18" t="s">
        <v>413</v>
      </c>
      <c r="U447" s="18" t="s">
        <v>211</v>
      </c>
      <c r="V447" s="18" t="s">
        <v>212</v>
      </c>
    </row>
    <row r="448" spans="1:22" ht="15.75" customHeight="1">
      <c r="A448" s="13" t="s">
        <v>2112</v>
      </c>
      <c r="B448" s="14" t="s">
        <v>2485</v>
      </c>
      <c r="C448" s="14" t="s">
        <v>2388</v>
      </c>
      <c r="D448" s="13" t="s">
        <v>2114</v>
      </c>
      <c r="E448" s="14" t="s">
        <v>1647</v>
      </c>
      <c r="F448" s="14" t="s">
        <v>2115</v>
      </c>
      <c r="G448" s="14" t="s">
        <v>122</v>
      </c>
      <c r="H448" s="13" t="s">
        <v>122</v>
      </c>
      <c r="I448" s="13" t="s">
        <v>123</v>
      </c>
      <c r="J448" s="13" t="s">
        <v>356</v>
      </c>
      <c r="K448" s="14" t="s">
        <v>2434</v>
      </c>
      <c r="L448" s="14" t="s">
        <v>139</v>
      </c>
      <c r="M448" s="14" t="s">
        <v>140</v>
      </c>
      <c r="N448" s="14" t="s">
        <v>2435</v>
      </c>
      <c r="O448" s="13">
        <v>10</v>
      </c>
      <c r="P448" s="61">
        <v>42000</v>
      </c>
      <c r="Q448" s="62">
        <v>0</v>
      </c>
      <c r="R448" s="13">
        <v>18</v>
      </c>
      <c r="S448" s="16">
        <v>495600</v>
      </c>
      <c r="T448" s="14" t="s">
        <v>153</v>
      </c>
      <c r="U448" s="14" t="s">
        <v>184</v>
      </c>
      <c r="V448" s="14" t="s">
        <v>155</v>
      </c>
    </row>
    <row r="449" spans="1:22" ht="15.75" customHeight="1">
      <c r="A449" s="17" t="s">
        <v>2116</v>
      </c>
      <c r="B449" s="18" t="s">
        <v>1299</v>
      </c>
      <c r="C449" s="18" t="s">
        <v>2404</v>
      </c>
      <c r="D449" s="17" t="s">
        <v>2118</v>
      </c>
      <c r="E449" s="18" t="s">
        <v>1218</v>
      </c>
      <c r="F449" s="18" t="s">
        <v>2119</v>
      </c>
      <c r="G449" s="18" t="s">
        <v>2422</v>
      </c>
      <c r="H449" s="17" t="s">
        <v>96</v>
      </c>
      <c r="I449" s="17" t="s">
        <v>63</v>
      </c>
      <c r="J449" s="17" t="s">
        <v>347</v>
      </c>
      <c r="K449" s="18" t="s">
        <v>348</v>
      </c>
      <c r="L449" s="18" t="s">
        <v>139</v>
      </c>
      <c r="M449" s="18" t="s">
        <v>349</v>
      </c>
      <c r="N449" s="18" t="s">
        <v>350</v>
      </c>
      <c r="O449" s="17">
        <v>10</v>
      </c>
      <c r="P449" s="59">
        <v>3200</v>
      </c>
      <c r="Q449" s="60">
        <v>10</v>
      </c>
      <c r="R449" s="17">
        <v>18</v>
      </c>
      <c r="S449" s="19">
        <v>33984</v>
      </c>
      <c r="T449" s="18" t="s">
        <v>413</v>
      </c>
      <c r="U449" s="18" t="s">
        <v>211</v>
      </c>
      <c r="V449" s="18" t="s">
        <v>212</v>
      </c>
    </row>
    <row r="450" spans="1:22" ht="15.75" customHeight="1">
      <c r="A450" s="13" t="s">
        <v>2120</v>
      </c>
      <c r="B450" s="14" t="s">
        <v>2534</v>
      </c>
      <c r="C450" s="14" t="s">
        <v>2398</v>
      </c>
      <c r="D450" s="13" t="s">
        <v>2122</v>
      </c>
      <c r="E450" s="14" t="s">
        <v>1615</v>
      </c>
      <c r="F450" s="14" t="s">
        <v>2123</v>
      </c>
      <c r="G450" s="14" t="s">
        <v>122</v>
      </c>
      <c r="H450" s="13" t="s">
        <v>122</v>
      </c>
      <c r="I450" s="13" t="s">
        <v>123</v>
      </c>
      <c r="J450" s="13" t="s">
        <v>110</v>
      </c>
      <c r="K450" s="14" t="s">
        <v>111</v>
      </c>
      <c r="L450" s="14" t="s">
        <v>112</v>
      </c>
      <c r="M450" s="14" t="s">
        <v>113</v>
      </c>
      <c r="N450" s="14" t="s">
        <v>114</v>
      </c>
      <c r="O450" s="13">
        <v>2</v>
      </c>
      <c r="P450" s="61">
        <v>3500</v>
      </c>
      <c r="Q450" s="62">
        <v>8</v>
      </c>
      <c r="R450" s="13">
        <v>18</v>
      </c>
      <c r="S450" s="16">
        <v>7599</v>
      </c>
      <c r="T450" s="14" t="s">
        <v>115</v>
      </c>
      <c r="U450" s="14" t="s">
        <v>288</v>
      </c>
      <c r="V450" s="14" t="s">
        <v>212</v>
      </c>
    </row>
    <row r="451" spans="1:22" ht="15.75" customHeight="1">
      <c r="A451" s="17" t="s">
        <v>2124</v>
      </c>
      <c r="B451" s="18" t="s">
        <v>2027</v>
      </c>
      <c r="C451" s="18" t="s">
        <v>2450</v>
      </c>
      <c r="D451" s="17" t="s">
        <v>2126</v>
      </c>
      <c r="E451" s="18" t="s">
        <v>449</v>
      </c>
      <c r="F451" s="18" t="s">
        <v>2127</v>
      </c>
      <c r="G451" s="18" t="s">
        <v>135</v>
      </c>
      <c r="H451" s="17" t="s">
        <v>136</v>
      </c>
      <c r="I451" s="17" t="s">
        <v>63</v>
      </c>
      <c r="J451" s="17" t="s">
        <v>197</v>
      </c>
      <c r="K451" s="18" t="s">
        <v>198</v>
      </c>
      <c r="L451" s="18" t="s">
        <v>66</v>
      </c>
      <c r="M451" s="18" t="s">
        <v>199</v>
      </c>
      <c r="N451" s="18" t="s">
        <v>200</v>
      </c>
      <c r="O451" s="17">
        <v>8</v>
      </c>
      <c r="P451" s="59">
        <v>50</v>
      </c>
      <c r="Q451" s="60">
        <v>5</v>
      </c>
      <c r="R451" s="17">
        <v>5</v>
      </c>
      <c r="S451" s="19">
        <v>399</v>
      </c>
      <c r="T451" s="18" t="s">
        <v>413</v>
      </c>
      <c r="U451" s="18" t="s">
        <v>211</v>
      </c>
      <c r="V451" s="18" t="s">
        <v>212</v>
      </c>
    </row>
    <row r="452" spans="1:22" ht="15.75" customHeight="1">
      <c r="A452" s="13" t="s">
        <v>2128</v>
      </c>
      <c r="B452" s="14" t="s">
        <v>2492</v>
      </c>
      <c r="C452" s="14" t="s">
        <v>627</v>
      </c>
      <c r="D452" s="13" t="s">
        <v>2130</v>
      </c>
      <c r="E452" s="14" t="s">
        <v>2131</v>
      </c>
      <c r="F452" s="14" t="s">
        <v>2132</v>
      </c>
      <c r="G452" s="14" t="s">
        <v>61</v>
      </c>
      <c r="H452" s="13" t="s">
        <v>62</v>
      </c>
      <c r="I452" s="13" t="s">
        <v>63</v>
      </c>
      <c r="J452" s="13" t="s">
        <v>124</v>
      </c>
      <c r="K452" s="14" t="s">
        <v>125</v>
      </c>
      <c r="L452" s="14" t="s">
        <v>99</v>
      </c>
      <c r="M452" s="14" t="s">
        <v>100</v>
      </c>
      <c r="N452" s="14" t="s">
        <v>126</v>
      </c>
      <c r="O452" s="13">
        <v>1</v>
      </c>
      <c r="P452" s="61">
        <v>14000</v>
      </c>
      <c r="Q452" s="62">
        <v>8</v>
      </c>
      <c r="R452" s="13">
        <v>18</v>
      </c>
      <c r="S452" s="16">
        <v>15198</v>
      </c>
      <c r="T452" s="14" t="s">
        <v>153</v>
      </c>
      <c r="U452" s="14" t="s">
        <v>211</v>
      </c>
      <c r="V452" s="14" t="s">
        <v>212</v>
      </c>
    </row>
    <row r="453" spans="1:22" ht="15.75" customHeight="1">
      <c r="A453" s="17" t="s">
        <v>2133</v>
      </c>
      <c r="B453" s="18" t="s">
        <v>2101</v>
      </c>
      <c r="C453" s="18" t="s">
        <v>2278</v>
      </c>
      <c r="D453" s="17" t="s">
        <v>2135</v>
      </c>
      <c r="E453" s="18" t="s">
        <v>1098</v>
      </c>
      <c r="F453" s="18" t="s">
        <v>2136</v>
      </c>
      <c r="G453" s="18" t="s">
        <v>78</v>
      </c>
      <c r="H453" s="17" t="s">
        <v>79</v>
      </c>
      <c r="I453" s="17" t="s">
        <v>80</v>
      </c>
      <c r="J453" s="17" t="s">
        <v>347</v>
      </c>
      <c r="K453" s="18" t="s">
        <v>348</v>
      </c>
      <c r="L453" s="18" t="s">
        <v>139</v>
      </c>
      <c r="M453" s="18" t="s">
        <v>349</v>
      </c>
      <c r="N453" s="18" t="s">
        <v>350</v>
      </c>
      <c r="O453" s="17">
        <v>2</v>
      </c>
      <c r="P453" s="59">
        <v>3200</v>
      </c>
      <c r="Q453" s="60">
        <v>0</v>
      </c>
      <c r="R453" s="17">
        <v>18</v>
      </c>
      <c r="S453" s="19">
        <v>7552</v>
      </c>
      <c r="T453" s="18" t="s">
        <v>102</v>
      </c>
      <c r="U453" s="18" t="s">
        <v>211</v>
      </c>
      <c r="V453" s="18" t="s">
        <v>155</v>
      </c>
    </row>
    <row r="454" spans="1:22" ht="15.75" customHeight="1">
      <c r="A454" s="13" t="s">
        <v>2137</v>
      </c>
      <c r="B454" s="14" t="s">
        <v>2504</v>
      </c>
      <c r="C454" s="14" t="s">
        <v>2388</v>
      </c>
      <c r="D454" s="13" t="s">
        <v>2138</v>
      </c>
      <c r="E454" s="14" t="s">
        <v>584</v>
      </c>
      <c r="F454" s="14" t="s">
        <v>2139</v>
      </c>
      <c r="G454" s="14" t="s">
        <v>485</v>
      </c>
      <c r="H454" s="13" t="s">
        <v>305</v>
      </c>
      <c r="I454" s="13" t="s">
        <v>306</v>
      </c>
      <c r="J454" s="13" t="s">
        <v>97</v>
      </c>
      <c r="K454" s="14" t="s">
        <v>2395</v>
      </c>
      <c r="L454" s="14" t="s">
        <v>99</v>
      </c>
      <c r="M454" s="14" t="s">
        <v>100</v>
      </c>
      <c r="N454" s="14" t="s">
        <v>2396</v>
      </c>
      <c r="O454" s="13">
        <v>6</v>
      </c>
      <c r="P454" s="61">
        <v>28000</v>
      </c>
      <c r="Q454" s="62">
        <v>5</v>
      </c>
      <c r="R454" s="13">
        <v>18</v>
      </c>
      <c r="S454" s="16">
        <v>188328</v>
      </c>
      <c r="T454" s="14" t="s">
        <v>465</v>
      </c>
      <c r="U454" s="14" t="s">
        <v>288</v>
      </c>
      <c r="V454" s="14" t="s">
        <v>155</v>
      </c>
    </row>
    <row r="455" spans="1:22" ht="15.75" customHeight="1">
      <c r="A455" s="17" t="s">
        <v>2140</v>
      </c>
      <c r="B455" s="18" t="s">
        <v>1609</v>
      </c>
      <c r="C455" s="18" t="s">
        <v>2404</v>
      </c>
      <c r="D455" s="17" t="s">
        <v>2502</v>
      </c>
      <c r="E455" s="18" t="s">
        <v>1218</v>
      </c>
      <c r="F455" s="18" t="s">
        <v>2141</v>
      </c>
      <c r="G455" s="18" t="s">
        <v>135</v>
      </c>
      <c r="H455" s="17" t="s">
        <v>136</v>
      </c>
      <c r="I455" s="17" t="s">
        <v>306</v>
      </c>
      <c r="J455" s="17" t="s">
        <v>207</v>
      </c>
      <c r="K455" s="18" t="s">
        <v>2406</v>
      </c>
      <c r="L455" s="18" t="s">
        <v>99</v>
      </c>
      <c r="M455" s="18" t="s">
        <v>209</v>
      </c>
      <c r="N455" s="18" t="s">
        <v>2407</v>
      </c>
      <c r="O455" s="17">
        <v>5</v>
      </c>
      <c r="P455" s="17">
        <v>0</v>
      </c>
      <c r="Q455" s="60">
        <v>0</v>
      </c>
      <c r="R455" s="17">
        <v>18</v>
      </c>
      <c r="S455" s="19">
        <v>0</v>
      </c>
      <c r="T455" s="18" t="s">
        <v>413</v>
      </c>
      <c r="U455" s="18" t="s">
        <v>70</v>
      </c>
      <c r="V455" s="18" t="s">
        <v>155</v>
      </c>
    </row>
    <row r="456" spans="1:22" ht="15.75" customHeight="1">
      <c r="A456" s="13" t="s">
        <v>2142</v>
      </c>
      <c r="B456" s="14" t="s">
        <v>2443</v>
      </c>
      <c r="C456" s="14" t="s">
        <v>2449</v>
      </c>
      <c r="D456" s="13" t="s">
        <v>2143</v>
      </c>
      <c r="E456" s="14" t="s">
        <v>2144</v>
      </c>
      <c r="F456" s="14" t="s">
        <v>2145</v>
      </c>
      <c r="G456" s="14" t="s">
        <v>341</v>
      </c>
      <c r="H456" s="13" t="s">
        <v>62</v>
      </c>
      <c r="I456" s="13" t="s">
        <v>63</v>
      </c>
      <c r="J456" s="13" t="s">
        <v>64</v>
      </c>
      <c r="K456" s="14" t="s">
        <v>2389</v>
      </c>
      <c r="L456" s="14" t="s">
        <v>66</v>
      </c>
      <c r="M456" s="14" t="s">
        <v>67</v>
      </c>
      <c r="N456" s="14" t="s">
        <v>68</v>
      </c>
      <c r="O456" s="13">
        <v>10</v>
      </c>
      <c r="P456" s="61">
        <v>450</v>
      </c>
      <c r="Q456" s="62">
        <v>5</v>
      </c>
      <c r="R456" s="13">
        <v>5</v>
      </c>
      <c r="S456" s="16">
        <v>4489</v>
      </c>
      <c r="T456" s="14" t="s">
        <v>102</v>
      </c>
      <c r="U456" s="14" t="s">
        <v>288</v>
      </c>
      <c r="V456" s="14" t="s">
        <v>212</v>
      </c>
    </row>
    <row r="457" spans="1:22" ht="15.75" customHeight="1">
      <c r="A457" s="17" t="s">
        <v>2146</v>
      </c>
      <c r="B457" s="18" t="s">
        <v>1012</v>
      </c>
      <c r="C457" s="18" t="s">
        <v>2400</v>
      </c>
      <c r="D457" s="17" t="s">
        <v>2148</v>
      </c>
      <c r="E457" s="18" t="s">
        <v>149</v>
      </c>
      <c r="F457" s="18" t="s">
        <v>2149</v>
      </c>
      <c r="G457" s="18" t="s">
        <v>95</v>
      </c>
      <c r="H457" s="17" t="s">
        <v>96</v>
      </c>
      <c r="I457" s="17" t="s">
        <v>63</v>
      </c>
      <c r="J457" s="17" t="s">
        <v>110</v>
      </c>
      <c r="K457" s="18" t="s">
        <v>111</v>
      </c>
      <c r="L457" s="18" t="s">
        <v>112</v>
      </c>
      <c r="M457" s="18" t="s">
        <v>113</v>
      </c>
      <c r="N457" s="18" t="s">
        <v>114</v>
      </c>
      <c r="O457" s="17">
        <v>4</v>
      </c>
      <c r="P457" s="59">
        <v>3500</v>
      </c>
      <c r="Q457" s="60">
        <v>20</v>
      </c>
      <c r="R457" s="17">
        <v>18</v>
      </c>
      <c r="S457" s="19">
        <v>13216</v>
      </c>
      <c r="T457" s="18" t="s">
        <v>153</v>
      </c>
      <c r="U457" s="18" t="s">
        <v>70</v>
      </c>
      <c r="V457" s="18" t="s">
        <v>155</v>
      </c>
    </row>
    <row r="458" spans="1:22" ht="15.75" customHeight="1">
      <c r="A458" s="13" t="s">
        <v>2150</v>
      </c>
      <c r="B458" s="14" t="s">
        <v>1528</v>
      </c>
      <c r="C458" s="14" t="s">
        <v>2456</v>
      </c>
      <c r="D458" s="13" t="s">
        <v>2151</v>
      </c>
      <c r="E458" s="14" t="s">
        <v>789</v>
      </c>
      <c r="F458" s="14" t="s">
        <v>2152</v>
      </c>
      <c r="G458" s="14" t="s">
        <v>439</v>
      </c>
      <c r="H458" s="13" t="s">
        <v>364</v>
      </c>
      <c r="I458" s="13" t="s">
        <v>63</v>
      </c>
      <c r="J458" s="13" t="s">
        <v>97</v>
      </c>
      <c r="K458" s="14" t="s">
        <v>2395</v>
      </c>
      <c r="L458" s="14" t="s">
        <v>99</v>
      </c>
      <c r="M458" s="14" t="s">
        <v>100</v>
      </c>
      <c r="N458" s="14" t="s">
        <v>2396</v>
      </c>
      <c r="O458" s="13">
        <v>1</v>
      </c>
      <c r="P458" s="61">
        <v>28000</v>
      </c>
      <c r="Q458" s="62">
        <v>25</v>
      </c>
      <c r="R458" s="13">
        <v>18</v>
      </c>
      <c r="S458" s="16">
        <v>24780</v>
      </c>
      <c r="T458" s="14" t="s">
        <v>413</v>
      </c>
      <c r="U458" s="14" t="s">
        <v>211</v>
      </c>
      <c r="V458" s="14" t="s">
        <v>212</v>
      </c>
    </row>
    <row r="459" spans="1:22" ht="15.75" customHeight="1">
      <c r="A459" s="17" t="s">
        <v>2153</v>
      </c>
      <c r="B459" s="18" t="s">
        <v>933</v>
      </c>
      <c r="C459" s="18" t="s">
        <v>2402</v>
      </c>
      <c r="D459" s="17" t="s">
        <v>2155</v>
      </c>
      <c r="E459" s="18" t="s">
        <v>1457</v>
      </c>
      <c r="F459" s="18" t="s">
        <v>2156</v>
      </c>
      <c r="G459" s="18" t="s">
        <v>151</v>
      </c>
      <c r="H459" s="17" t="s">
        <v>152</v>
      </c>
      <c r="I459" s="17" t="s">
        <v>80</v>
      </c>
      <c r="J459" s="17" t="s">
        <v>356</v>
      </c>
      <c r="K459" s="18" t="s">
        <v>2434</v>
      </c>
      <c r="L459" s="18" t="s">
        <v>139</v>
      </c>
      <c r="M459" s="18" t="s">
        <v>140</v>
      </c>
      <c r="N459" s="18" t="s">
        <v>2435</v>
      </c>
      <c r="O459" s="17">
        <v>2</v>
      </c>
      <c r="P459" s="59">
        <v>42000</v>
      </c>
      <c r="Q459" s="60">
        <v>15</v>
      </c>
      <c r="R459" s="17">
        <v>18</v>
      </c>
      <c r="S459" s="19">
        <v>84252</v>
      </c>
      <c r="T459" s="18" t="s">
        <v>115</v>
      </c>
      <c r="U459" s="18" t="s">
        <v>211</v>
      </c>
      <c r="V459" s="18" t="s">
        <v>155</v>
      </c>
    </row>
    <row r="460" spans="1:22" ht="15.75" customHeight="1">
      <c r="A460" s="13" t="s">
        <v>2157</v>
      </c>
      <c r="B460" s="14" t="s">
        <v>2510</v>
      </c>
      <c r="C460" s="14" t="s">
        <v>337</v>
      </c>
      <c r="D460" s="13" t="s">
        <v>2158</v>
      </c>
      <c r="E460" s="14" t="s">
        <v>2024</v>
      </c>
      <c r="F460" s="14" t="s">
        <v>2159</v>
      </c>
      <c r="G460" s="14" t="s">
        <v>439</v>
      </c>
      <c r="H460" s="13" t="s">
        <v>364</v>
      </c>
      <c r="I460" s="13" t="s">
        <v>63</v>
      </c>
      <c r="J460" s="13" t="s">
        <v>64</v>
      </c>
      <c r="K460" s="14" t="s">
        <v>2389</v>
      </c>
      <c r="L460" s="14" t="s">
        <v>66</v>
      </c>
      <c r="M460" s="14" t="s">
        <v>67</v>
      </c>
      <c r="N460" s="14" t="s">
        <v>68</v>
      </c>
      <c r="O460" s="13">
        <v>2</v>
      </c>
      <c r="P460" s="61">
        <v>450</v>
      </c>
      <c r="Q460" s="62">
        <v>8</v>
      </c>
      <c r="R460" s="13">
        <v>5</v>
      </c>
      <c r="S460" s="16">
        <v>869</v>
      </c>
      <c r="T460" s="14" t="s">
        <v>413</v>
      </c>
      <c r="U460" s="14" t="s">
        <v>143</v>
      </c>
      <c r="V460" s="14" t="s">
        <v>212</v>
      </c>
    </row>
    <row r="461" spans="1:22" ht="15.75" customHeight="1">
      <c r="A461" s="17" t="s">
        <v>2160</v>
      </c>
      <c r="B461" s="18" t="s">
        <v>2514</v>
      </c>
      <c r="C461" s="18" t="s">
        <v>2417</v>
      </c>
      <c r="D461" s="17" t="s">
        <v>2161</v>
      </c>
      <c r="E461" s="18" t="s">
        <v>1223</v>
      </c>
      <c r="F461" s="18" t="s">
        <v>2162</v>
      </c>
      <c r="G461" s="18" t="s">
        <v>248</v>
      </c>
      <c r="H461" s="17" t="s">
        <v>249</v>
      </c>
      <c r="I461" s="17" t="s">
        <v>123</v>
      </c>
      <c r="J461" s="17" t="s">
        <v>137</v>
      </c>
      <c r="K461" s="18" t="s">
        <v>138</v>
      </c>
      <c r="L461" s="18" t="s">
        <v>139</v>
      </c>
      <c r="M461" s="18" t="s">
        <v>140</v>
      </c>
      <c r="N461" s="18" t="s">
        <v>141</v>
      </c>
      <c r="O461" s="17">
        <v>8</v>
      </c>
      <c r="P461" s="59">
        <v>12000</v>
      </c>
      <c r="Q461" s="60">
        <v>15</v>
      </c>
      <c r="R461" s="17">
        <v>18</v>
      </c>
      <c r="S461" s="19">
        <v>96288</v>
      </c>
      <c r="T461" s="18" t="s">
        <v>153</v>
      </c>
      <c r="U461" s="18" t="s">
        <v>211</v>
      </c>
      <c r="V461" s="18" t="s">
        <v>212</v>
      </c>
    </row>
    <row r="462" spans="1:22" ht="15.75" customHeight="1">
      <c r="A462" s="13" t="s">
        <v>2164</v>
      </c>
      <c r="B462" s="14" t="s">
        <v>2485</v>
      </c>
      <c r="C462" s="14" t="s">
        <v>2405</v>
      </c>
      <c r="D462" s="13" t="s">
        <v>2166</v>
      </c>
      <c r="E462" s="14" t="s">
        <v>195</v>
      </c>
      <c r="F462" s="14" t="s">
        <v>2167</v>
      </c>
      <c r="G462" s="14" t="s">
        <v>122</v>
      </c>
      <c r="H462" s="13" t="s">
        <v>122</v>
      </c>
      <c r="I462" s="13" t="s">
        <v>123</v>
      </c>
      <c r="J462" s="13" t="s">
        <v>162</v>
      </c>
      <c r="K462" s="14" t="s">
        <v>2441</v>
      </c>
      <c r="L462" s="14" t="s">
        <v>99</v>
      </c>
      <c r="M462" s="14" t="s">
        <v>164</v>
      </c>
      <c r="N462" s="14" t="s">
        <v>165</v>
      </c>
      <c r="O462" s="13">
        <v>8</v>
      </c>
      <c r="P462" s="13">
        <v>0</v>
      </c>
      <c r="Q462" s="62">
        <v>20</v>
      </c>
      <c r="R462" s="13">
        <v>18</v>
      </c>
      <c r="S462" s="16">
        <v>0</v>
      </c>
      <c r="T462" s="14" t="s">
        <v>115</v>
      </c>
      <c r="U462" s="14" t="s">
        <v>211</v>
      </c>
      <c r="V462" s="14" t="s">
        <v>155</v>
      </c>
    </row>
    <row r="463" spans="1:22" ht="15.75" customHeight="1">
      <c r="A463" s="17" t="s">
        <v>2168</v>
      </c>
      <c r="B463" s="18" t="s">
        <v>2496</v>
      </c>
      <c r="C463" s="18" t="s">
        <v>2421</v>
      </c>
      <c r="D463" s="17" t="s">
        <v>2170</v>
      </c>
      <c r="E463" s="18" t="s">
        <v>2171</v>
      </c>
      <c r="F463" s="18" t="s">
        <v>2172</v>
      </c>
      <c r="G463" s="18" t="s">
        <v>151</v>
      </c>
      <c r="H463" s="17" t="s">
        <v>152</v>
      </c>
      <c r="I463" s="17" t="s">
        <v>80</v>
      </c>
      <c r="J463" s="17" t="s">
        <v>97</v>
      </c>
      <c r="K463" s="18" t="s">
        <v>2395</v>
      </c>
      <c r="L463" s="18" t="s">
        <v>99</v>
      </c>
      <c r="M463" s="18" t="s">
        <v>100</v>
      </c>
      <c r="N463" s="18" t="s">
        <v>2396</v>
      </c>
      <c r="O463" s="17">
        <v>8</v>
      </c>
      <c r="P463" s="59">
        <v>28000</v>
      </c>
      <c r="Q463" s="60">
        <v>8</v>
      </c>
      <c r="R463" s="17">
        <v>18</v>
      </c>
      <c r="S463" s="19">
        <v>243174</v>
      </c>
      <c r="T463" s="18" t="s">
        <v>465</v>
      </c>
      <c r="U463" s="18" t="s">
        <v>70</v>
      </c>
      <c r="V463" s="18" t="s">
        <v>212</v>
      </c>
    </row>
    <row r="464" spans="1:22" ht="15.75" customHeight="1">
      <c r="A464" s="13" t="s">
        <v>2173</v>
      </c>
      <c r="B464" s="14" t="s">
        <v>2537</v>
      </c>
      <c r="C464" s="14" t="s">
        <v>2432</v>
      </c>
      <c r="D464" s="13" t="s">
        <v>2174</v>
      </c>
      <c r="E464" s="14" t="s">
        <v>952</v>
      </c>
      <c r="F464" s="14" t="s">
        <v>2175</v>
      </c>
      <c r="G464" s="14" t="s">
        <v>95</v>
      </c>
      <c r="H464" s="13" t="s">
        <v>96</v>
      </c>
      <c r="I464" s="13" t="s">
        <v>63</v>
      </c>
      <c r="J464" s="13" t="s">
        <v>124</v>
      </c>
      <c r="K464" s="14" t="s">
        <v>125</v>
      </c>
      <c r="L464" s="14" t="s">
        <v>99</v>
      </c>
      <c r="M464" s="14" t="s">
        <v>100</v>
      </c>
      <c r="N464" s="14" t="s">
        <v>126</v>
      </c>
      <c r="O464" s="13">
        <v>1</v>
      </c>
      <c r="P464" s="61">
        <v>14000</v>
      </c>
      <c r="Q464" s="62">
        <v>15</v>
      </c>
      <c r="R464" s="13">
        <v>18</v>
      </c>
      <c r="S464" s="16">
        <v>14042</v>
      </c>
      <c r="T464" s="14" t="s">
        <v>115</v>
      </c>
      <c r="U464" s="14" t="s">
        <v>211</v>
      </c>
      <c r="V464" s="14" t="s">
        <v>212</v>
      </c>
    </row>
    <row r="465" spans="1:22" ht="15.75" customHeight="1">
      <c r="A465" s="17" t="s">
        <v>2176</v>
      </c>
      <c r="B465" s="18" t="s">
        <v>915</v>
      </c>
      <c r="C465" s="18" t="s">
        <v>2453</v>
      </c>
      <c r="D465" s="17" t="s">
        <v>2177</v>
      </c>
      <c r="E465" s="18" t="s">
        <v>475</v>
      </c>
      <c r="F465" s="18" t="s">
        <v>2394</v>
      </c>
      <c r="G465" s="18" t="s">
        <v>172</v>
      </c>
      <c r="H465" s="17" t="s">
        <v>96</v>
      </c>
      <c r="I465" s="17" t="s">
        <v>63</v>
      </c>
      <c r="J465" s="17" t="s">
        <v>389</v>
      </c>
      <c r="K465" s="18" t="s">
        <v>390</v>
      </c>
      <c r="L465" s="18" t="s">
        <v>99</v>
      </c>
      <c r="M465" s="18" t="s">
        <v>164</v>
      </c>
      <c r="N465" s="18" t="s">
        <v>391</v>
      </c>
      <c r="O465" s="17">
        <v>2</v>
      </c>
      <c r="P465" s="59">
        <v>1500</v>
      </c>
      <c r="Q465" s="60">
        <v>15</v>
      </c>
      <c r="R465" s="17">
        <v>18</v>
      </c>
      <c r="S465" s="19">
        <v>3009</v>
      </c>
      <c r="T465" s="18" t="s">
        <v>127</v>
      </c>
      <c r="U465" s="18" t="s">
        <v>184</v>
      </c>
      <c r="V465" s="18" t="s">
        <v>212</v>
      </c>
    </row>
    <row r="466" spans="1:22" ht="15.75" customHeight="1">
      <c r="A466" s="13" t="s">
        <v>2179</v>
      </c>
      <c r="B466" s="14" t="s">
        <v>1981</v>
      </c>
      <c r="C466" s="14" t="s">
        <v>2487</v>
      </c>
      <c r="D466" s="13" t="s">
        <v>2181</v>
      </c>
      <c r="E466" s="14" t="s">
        <v>1023</v>
      </c>
      <c r="F466" s="14" t="s">
        <v>2182</v>
      </c>
      <c r="G466" s="14" t="s">
        <v>135</v>
      </c>
      <c r="H466" s="13" t="s">
        <v>136</v>
      </c>
      <c r="I466" s="13" t="s">
        <v>63</v>
      </c>
      <c r="J466" s="13" t="s">
        <v>365</v>
      </c>
      <c r="K466" s="14" t="s">
        <v>366</v>
      </c>
      <c r="L466" s="14" t="s">
        <v>112</v>
      </c>
      <c r="M466" s="14" t="s">
        <v>367</v>
      </c>
      <c r="N466" s="14" t="s">
        <v>368</v>
      </c>
      <c r="O466" s="13">
        <v>8</v>
      </c>
      <c r="P466" s="61">
        <v>3500</v>
      </c>
      <c r="Q466" s="62">
        <v>12</v>
      </c>
      <c r="R466" s="13">
        <v>5</v>
      </c>
      <c r="S466" s="16">
        <v>25872</v>
      </c>
      <c r="T466" s="14" t="s">
        <v>413</v>
      </c>
      <c r="U466" s="14" t="s">
        <v>184</v>
      </c>
      <c r="V466" s="14" t="s">
        <v>212</v>
      </c>
    </row>
    <row r="467" spans="1:22" ht="15.75" customHeight="1">
      <c r="A467" s="17" t="s">
        <v>2183</v>
      </c>
      <c r="B467" s="18" t="s">
        <v>2533</v>
      </c>
      <c r="C467" s="18" t="s">
        <v>712</v>
      </c>
      <c r="D467" s="17" t="s">
        <v>2184</v>
      </c>
      <c r="E467" s="18" t="s">
        <v>1053</v>
      </c>
      <c r="F467" s="18" t="s">
        <v>2185</v>
      </c>
      <c r="G467" s="18" t="s">
        <v>485</v>
      </c>
      <c r="H467" s="17" t="s">
        <v>305</v>
      </c>
      <c r="I467" s="17" t="s">
        <v>306</v>
      </c>
      <c r="J467" s="17" t="s">
        <v>197</v>
      </c>
      <c r="K467" s="18" t="s">
        <v>198</v>
      </c>
      <c r="L467" s="18" t="s">
        <v>66</v>
      </c>
      <c r="M467" s="18" t="s">
        <v>199</v>
      </c>
      <c r="N467" s="18" t="s">
        <v>200</v>
      </c>
      <c r="O467" s="17">
        <v>7</v>
      </c>
      <c r="P467" s="59">
        <v>50</v>
      </c>
      <c r="Q467" s="60">
        <v>8</v>
      </c>
      <c r="R467" s="17">
        <v>5</v>
      </c>
      <c r="S467" s="19">
        <v>338</v>
      </c>
      <c r="T467" s="18" t="s">
        <v>153</v>
      </c>
      <c r="U467" s="18" t="s">
        <v>211</v>
      </c>
      <c r="V467" s="18" t="s">
        <v>155</v>
      </c>
    </row>
    <row r="468" spans="1:22" ht="15.75" customHeight="1">
      <c r="A468" s="13" t="s">
        <v>2186</v>
      </c>
      <c r="B468" s="14" t="s">
        <v>2521</v>
      </c>
      <c r="C468" s="14" t="s">
        <v>291</v>
      </c>
      <c r="D468" s="13" t="s">
        <v>2188</v>
      </c>
      <c r="E468" s="14" t="s">
        <v>532</v>
      </c>
      <c r="F468" s="14" t="s">
        <v>2189</v>
      </c>
      <c r="G468" s="14" t="s">
        <v>135</v>
      </c>
      <c r="H468" s="13" t="s">
        <v>136</v>
      </c>
      <c r="I468" s="13" t="s">
        <v>63</v>
      </c>
      <c r="J468" s="13" t="s">
        <v>110</v>
      </c>
      <c r="K468" s="14" t="s">
        <v>111</v>
      </c>
      <c r="L468" s="14" t="s">
        <v>112</v>
      </c>
      <c r="M468" s="14" t="s">
        <v>113</v>
      </c>
      <c r="N468" s="14" t="s">
        <v>114</v>
      </c>
      <c r="O468" s="13">
        <v>9</v>
      </c>
      <c r="P468" s="61">
        <v>3500</v>
      </c>
      <c r="Q468" s="62">
        <v>5</v>
      </c>
      <c r="R468" s="13">
        <v>18</v>
      </c>
      <c r="S468" s="16">
        <v>35312</v>
      </c>
      <c r="T468" s="14" t="s">
        <v>153</v>
      </c>
      <c r="U468" s="14" t="s">
        <v>143</v>
      </c>
      <c r="V468" s="14" t="s">
        <v>212</v>
      </c>
    </row>
    <row r="469" spans="1:22" ht="15.75" customHeight="1">
      <c r="A469" s="17" t="s">
        <v>2190</v>
      </c>
      <c r="B469" s="18" t="s">
        <v>1153</v>
      </c>
      <c r="C469" s="18" t="s">
        <v>372</v>
      </c>
      <c r="D469" s="17" t="s">
        <v>2191</v>
      </c>
      <c r="E469" s="18" t="s">
        <v>427</v>
      </c>
      <c r="F469" s="18" t="s">
        <v>2192</v>
      </c>
      <c r="G469" s="18" t="s">
        <v>744</v>
      </c>
      <c r="H469" s="17" t="s">
        <v>79</v>
      </c>
      <c r="I469" s="17" t="s">
        <v>80</v>
      </c>
      <c r="J469" s="17" t="s">
        <v>97</v>
      </c>
      <c r="K469" s="18" t="s">
        <v>2395</v>
      </c>
      <c r="L469" s="18" t="s">
        <v>99</v>
      </c>
      <c r="M469" s="18" t="s">
        <v>100</v>
      </c>
      <c r="N469" s="18" t="s">
        <v>2396</v>
      </c>
      <c r="O469" s="17">
        <v>4</v>
      </c>
      <c r="P469" s="59">
        <v>28000</v>
      </c>
      <c r="Q469" s="60">
        <v>12</v>
      </c>
      <c r="R469" s="17">
        <v>18</v>
      </c>
      <c r="S469" s="19">
        <v>116301</v>
      </c>
      <c r="T469" s="18" t="s">
        <v>465</v>
      </c>
      <c r="U469" s="18" t="s">
        <v>211</v>
      </c>
      <c r="V469" s="18" t="s">
        <v>155</v>
      </c>
    </row>
    <row r="470" spans="1:22" ht="15.75" customHeight="1">
      <c r="A470" s="13" t="s">
        <v>2193</v>
      </c>
      <c r="B470" s="14" t="s">
        <v>1254</v>
      </c>
      <c r="C470" s="14" t="s">
        <v>712</v>
      </c>
      <c r="D470" s="13" t="s">
        <v>2194</v>
      </c>
      <c r="E470" s="14" t="s">
        <v>1053</v>
      </c>
      <c r="F470" s="14" t="s">
        <v>2195</v>
      </c>
      <c r="G470" s="14" t="s">
        <v>151</v>
      </c>
      <c r="H470" s="13" t="s">
        <v>152</v>
      </c>
      <c r="I470" s="13" t="s">
        <v>80</v>
      </c>
      <c r="J470" s="13" t="s">
        <v>110</v>
      </c>
      <c r="K470" s="14" t="s">
        <v>111</v>
      </c>
      <c r="L470" s="14" t="s">
        <v>112</v>
      </c>
      <c r="M470" s="14" t="s">
        <v>113</v>
      </c>
      <c r="N470" s="14" t="s">
        <v>114</v>
      </c>
      <c r="O470" s="13">
        <v>2</v>
      </c>
      <c r="P470" s="61">
        <v>3500</v>
      </c>
      <c r="Q470" s="62">
        <v>25</v>
      </c>
      <c r="R470" s="13">
        <v>18</v>
      </c>
      <c r="S470" s="16">
        <v>6195</v>
      </c>
      <c r="T470" s="14" t="s">
        <v>127</v>
      </c>
      <c r="U470" s="14" t="s">
        <v>211</v>
      </c>
      <c r="V470" s="14" t="s">
        <v>155</v>
      </c>
    </row>
    <row r="471" spans="1:22" ht="15.75" customHeight="1">
      <c r="A471" s="17" t="s">
        <v>2196</v>
      </c>
      <c r="B471" s="18" t="s">
        <v>546</v>
      </c>
      <c r="C471" s="18" t="s">
        <v>264</v>
      </c>
      <c r="D471" s="17" t="s">
        <v>2197</v>
      </c>
      <c r="E471" s="18" t="s">
        <v>1388</v>
      </c>
      <c r="F471" s="18" t="s">
        <v>2198</v>
      </c>
      <c r="G471" s="18" t="s">
        <v>439</v>
      </c>
      <c r="H471" s="17" t="s">
        <v>364</v>
      </c>
      <c r="I471" s="17" t="s">
        <v>63</v>
      </c>
      <c r="J471" s="17" t="s">
        <v>295</v>
      </c>
      <c r="K471" s="18" t="s">
        <v>2425</v>
      </c>
      <c r="L471" s="18" t="s">
        <v>66</v>
      </c>
      <c r="M471" s="18" t="s">
        <v>297</v>
      </c>
      <c r="N471" s="18" t="s">
        <v>298</v>
      </c>
      <c r="O471" s="17">
        <v>6</v>
      </c>
      <c r="P471" s="59">
        <v>280</v>
      </c>
      <c r="Q471" s="60">
        <v>20</v>
      </c>
      <c r="R471" s="17">
        <v>5</v>
      </c>
      <c r="S471" s="19">
        <v>1411</v>
      </c>
      <c r="T471" s="18" t="s">
        <v>465</v>
      </c>
      <c r="U471" s="18" t="s">
        <v>70</v>
      </c>
      <c r="V471" s="18" t="s">
        <v>212</v>
      </c>
    </row>
    <row r="472" spans="1:22" ht="15.75" customHeight="1">
      <c r="A472" s="13" t="s">
        <v>2199</v>
      </c>
      <c r="B472" s="14" t="s">
        <v>2452</v>
      </c>
      <c r="C472" s="14" t="s">
        <v>2430</v>
      </c>
      <c r="D472" s="13" t="s">
        <v>2201</v>
      </c>
      <c r="E472" s="14" t="s">
        <v>1243</v>
      </c>
      <c r="F472" s="14" t="s">
        <v>2202</v>
      </c>
      <c r="G472" s="14" t="s">
        <v>228</v>
      </c>
      <c r="H472" s="13" t="s">
        <v>152</v>
      </c>
      <c r="I472" s="13" t="s">
        <v>80</v>
      </c>
      <c r="J472" s="13" t="s">
        <v>365</v>
      </c>
      <c r="K472" s="14" t="s">
        <v>366</v>
      </c>
      <c r="L472" s="14" t="s">
        <v>112</v>
      </c>
      <c r="M472" s="14" t="s">
        <v>367</v>
      </c>
      <c r="N472" s="14" t="s">
        <v>368</v>
      </c>
      <c r="O472" s="13">
        <v>4</v>
      </c>
      <c r="P472" s="61">
        <v>3500</v>
      </c>
      <c r="Q472" s="62">
        <v>8</v>
      </c>
      <c r="R472" s="13">
        <v>5</v>
      </c>
      <c r="S472" s="16">
        <v>13524</v>
      </c>
      <c r="T472" s="14" t="s">
        <v>465</v>
      </c>
      <c r="U472" s="14" t="s">
        <v>211</v>
      </c>
      <c r="V472" s="14" t="s">
        <v>212</v>
      </c>
    </row>
    <row r="473" spans="1:22" ht="15.75" customHeight="1">
      <c r="A473" s="17" t="s">
        <v>2203</v>
      </c>
      <c r="B473" s="18" t="s">
        <v>2524</v>
      </c>
      <c r="C473" s="18" t="s">
        <v>2432</v>
      </c>
      <c r="D473" s="17" t="s">
        <v>2204</v>
      </c>
      <c r="E473" s="18" t="s">
        <v>345</v>
      </c>
      <c r="F473" s="18" t="s">
        <v>2205</v>
      </c>
      <c r="G473" s="18" t="s">
        <v>248</v>
      </c>
      <c r="H473" s="17" t="s">
        <v>249</v>
      </c>
      <c r="I473" s="17" t="s">
        <v>123</v>
      </c>
      <c r="J473" s="17" t="s">
        <v>347</v>
      </c>
      <c r="K473" s="18" t="s">
        <v>348</v>
      </c>
      <c r="L473" s="18" t="s">
        <v>139</v>
      </c>
      <c r="M473" s="18" t="s">
        <v>349</v>
      </c>
      <c r="N473" s="18" t="s">
        <v>350</v>
      </c>
      <c r="O473" s="17">
        <v>1</v>
      </c>
      <c r="P473" s="59">
        <v>3200</v>
      </c>
      <c r="Q473" s="60">
        <v>80</v>
      </c>
      <c r="R473" s="17">
        <v>18</v>
      </c>
      <c r="S473" s="19">
        <v>755</v>
      </c>
      <c r="T473" s="18" t="s">
        <v>127</v>
      </c>
      <c r="U473" s="18" t="s">
        <v>288</v>
      </c>
      <c r="V473" s="18" t="s">
        <v>155</v>
      </c>
    </row>
    <row r="474" spans="1:22" ht="15.75" customHeight="1">
      <c r="A474" s="13" t="s">
        <v>2206</v>
      </c>
      <c r="B474" s="14" t="s">
        <v>727</v>
      </c>
      <c r="C474" s="14" t="s">
        <v>2477</v>
      </c>
      <c r="D474" s="13" t="s">
        <v>2207</v>
      </c>
      <c r="E474" s="14" t="s">
        <v>1191</v>
      </c>
      <c r="F474" s="14" t="s">
        <v>2208</v>
      </c>
      <c r="G474" s="14" t="s">
        <v>485</v>
      </c>
      <c r="H474" s="13" t="s">
        <v>305</v>
      </c>
      <c r="I474" s="13" t="s">
        <v>306</v>
      </c>
      <c r="J474" s="13" t="s">
        <v>207</v>
      </c>
      <c r="K474" s="14" t="s">
        <v>2406</v>
      </c>
      <c r="L474" s="14" t="s">
        <v>99</v>
      </c>
      <c r="M474" s="14" t="s">
        <v>209</v>
      </c>
      <c r="N474" s="14" t="s">
        <v>2407</v>
      </c>
      <c r="O474" s="13">
        <v>10</v>
      </c>
      <c r="P474" s="61">
        <v>55000</v>
      </c>
      <c r="Q474" s="62">
        <v>25</v>
      </c>
      <c r="R474" s="13">
        <v>18</v>
      </c>
      <c r="S474" s="16">
        <v>486750</v>
      </c>
      <c r="T474" s="14" t="s">
        <v>465</v>
      </c>
      <c r="U474" s="14" t="s">
        <v>143</v>
      </c>
      <c r="V474" s="14" t="s">
        <v>155</v>
      </c>
    </row>
    <row r="475" spans="1:22" ht="15.75" customHeight="1">
      <c r="A475" s="17" t="s">
        <v>2209</v>
      </c>
      <c r="B475" s="18" t="s">
        <v>884</v>
      </c>
      <c r="C475" s="18" t="s">
        <v>168</v>
      </c>
      <c r="D475" s="17" t="s">
        <v>2210</v>
      </c>
      <c r="E475" s="18" t="s">
        <v>1448</v>
      </c>
      <c r="F475" s="18" t="s">
        <v>2211</v>
      </c>
      <c r="G475" s="18" t="s">
        <v>122</v>
      </c>
      <c r="H475" s="17" t="s">
        <v>122</v>
      </c>
      <c r="I475" s="17" t="s">
        <v>123</v>
      </c>
      <c r="J475" s="17" t="s">
        <v>81</v>
      </c>
      <c r="K475" s="18" t="s">
        <v>82</v>
      </c>
      <c r="L475" s="18" t="s">
        <v>83</v>
      </c>
      <c r="M475" s="18" t="s">
        <v>84</v>
      </c>
      <c r="N475" s="18" t="s">
        <v>85</v>
      </c>
      <c r="O475" s="17">
        <v>10</v>
      </c>
      <c r="P475" s="59">
        <v>25000</v>
      </c>
      <c r="Q475" s="60">
        <v>12</v>
      </c>
      <c r="R475" s="17">
        <v>3</v>
      </c>
      <c r="S475" s="19">
        <v>226600</v>
      </c>
      <c r="T475" s="18" t="s">
        <v>115</v>
      </c>
      <c r="U475" s="18" t="s">
        <v>143</v>
      </c>
      <c r="V475" s="18" t="s">
        <v>155</v>
      </c>
    </row>
    <row r="476" spans="1:22" ht="15.75" customHeight="1">
      <c r="A476" s="13" t="s">
        <v>2212</v>
      </c>
      <c r="B476" s="14" t="s">
        <v>1528</v>
      </c>
      <c r="C476" s="14" t="s">
        <v>2453</v>
      </c>
      <c r="D476" s="13" t="s">
        <v>2214</v>
      </c>
      <c r="E476" s="14" t="s">
        <v>1123</v>
      </c>
      <c r="F476" s="14" t="s">
        <v>2215</v>
      </c>
      <c r="G476" s="14" t="s">
        <v>248</v>
      </c>
      <c r="H476" s="13" t="s">
        <v>249</v>
      </c>
      <c r="I476" s="13" t="s">
        <v>123</v>
      </c>
      <c r="J476" s="13" t="s">
        <v>257</v>
      </c>
      <c r="K476" s="14" t="s">
        <v>2418</v>
      </c>
      <c r="L476" s="14" t="s">
        <v>139</v>
      </c>
      <c r="M476" s="14" t="s">
        <v>259</v>
      </c>
      <c r="N476" s="14" t="s">
        <v>260</v>
      </c>
      <c r="O476" s="13">
        <v>7</v>
      </c>
      <c r="P476" s="61">
        <v>299</v>
      </c>
      <c r="Q476" s="62">
        <v>0</v>
      </c>
      <c r="R476" s="13">
        <v>18</v>
      </c>
      <c r="S476" s="16">
        <v>2470</v>
      </c>
      <c r="T476" s="14" t="s">
        <v>465</v>
      </c>
      <c r="U476" s="14" t="s">
        <v>143</v>
      </c>
      <c r="V476" s="14" t="s">
        <v>155</v>
      </c>
    </row>
    <row r="477" spans="1:22" ht="15.75" customHeight="1">
      <c r="A477" s="17" t="s">
        <v>2216</v>
      </c>
      <c r="B477" s="18" t="s">
        <v>2517</v>
      </c>
      <c r="C477" s="18" t="s">
        <v>461</v>
      </c>
      <c r="D477" s="17" t="s">
        <v>2218</v>
      </c>
      <c r="E477" s="18" t="s">
        <v>463</v>
      </c>
      <c r="F477" s="18" t="s">
        <v>2219</v>
      </c>
      <c r="G477" s="18" t="s">
        <v>439</v>
      </c>
      <c r="H477" s="17" t="s">
        <v>364</v>
      </c>
      <c r="I477" s="17" t="s">
        <v>63</v>
      </c>
      <c r="J477" s="17" t="s">
        <v>137</v>
      </c>
      <c r="K477" s="18" t="s">
        <v>138</v>
      </c>
      <c r="L477" s="18" t="s">
        <v>139</v>
      </c>
      <c r="M477" s="18" t="s">
        <v>140</v>
      </c>
      <c r="N477" s="18" t="s">
        <v>141</v>
      </c>
      <c r="O477" s="17">
        <v>8</v>
      </c>
      <c r="P477" s="59">
        <v>12000</v>
      </c>
      <c r="Q477" s="60">
        <v>20</v>
      </c>
      <c r="R477" s="17">
        <v>18</v>
      </c>
      <c r="S477" s="19">
        <v>90624</v>
      </c>
      <c r="T477" s="18" t="s">
        <v>115</v>
      </c>
      <c r="U477" s="18" t="s">
        <v>70</v>
      </c>
      <c r="V477" s="18" t="s">
        <v>155</v>
      </c>
    </row>
    <row r="478" spans="1:22" ht="15.75" customHeight="1">
      <c r="A478" s="13" t="s">
        <v>2220</v>
      </c>
      <c r="B478" s="14" t="s">
        <v>2399</v>
      </c>
      <c r="C478" s="14" t="s">
        <v>2400</v>
      </c>
      <c r="D478" s="13" t="s">
        <v>2221</v>
      </c>
      <c r="E478" s="14" t="s">
        <v>908</v>
      </c>
      <c r="F478" s="14" t="s">
        <v>2394</v>
      </c>
      <c r="G478" s="14" t="s">
        <v>61</v>
      </c>
      <c r="H478" s="13" t="s">
        <v>62</v>
      </c>
      <c r="I478" s="13" t="s">
        <v>63</v>
      </c>
      <c r="J478" s="13" t="s">
        <v>365</v>
      </c>
      <c r="K478" s="14" t="s">
        <v>2441</v>
      </c>
      <c r="L478" s="14" t="s">
        <v>112</v>
      </c>
      <c r="M478" s="14" t="s">
        <v>367</v>
      </c>
      <c r="N478" s="14" t="s">
        <v>368</v>
      </c>
      <c r="O478" s="13">
        <v>5</v>
      </c>
      <c r="P478" s="61">
        <v>3500</v>
      </c>
      <c r="Q478" s="62">
        <v>10</v>
      </c>
      <c r="R478" s="13">
        <v>5</v>
      </c>
      <c r="S478" s="16">
        <v>16538</v>
      </c>
      <c r="T478" s="14" t="s">
        <v>465</v>
      </c>
      <c r="U478" s="14" t="s">
        <v>184</v>
      </c>
      <c r="V478" s="14" t="s">
        <v>155</v>
      </c>
    </row>
    <row r="479" spans="1:22" ht="15.75" customHeight="1">
      <c r="A479" s="17" t="s">
        <v>2222</v>
      </c>
      <c r="B479" s="18" t="s">
        <v>2411</v>
      </c>
      <c r="C479" s="18" t="s">
        <v>2398</v>
      </c>
      <c r="D479" s="17" t="s">
        <v>2224</v>
      </c>
      <c r="E479" s="18" t="s">
        <v>1615</v>
      </c>
      <c r="F479" s="18" t="s">
        <v>2225</v>
      </c>
      <c r="G479" s="18" t="s">
        <v>228</v>
      </c>
      <c r="H479" s="17" t="s">
        <v>152</v>
      </c>
      <c r="I479" s="17" t="s">
        <v>80</v>
      </c>
      <c r="J479" s="17" t="s">
        <v>137</v>
      </c>
      <c r="K479" s="18" t="s">
        <v>138</v>
      </c>
      <c r="L479" s="18" t="s">
        <v>139</v>
      </c>
      <c r="M479" s="18" t="s">
        <v>140</v>
      </c>
      <c r="N479" s="18" t="s">
        <v>141</v>
      </c>
      <c r="O479" s="17">
        <v>4</v>
      </c>
      <c r="P479" s="59">
        <v>12000</v>
      </c>
      <c r="Q479" s="60">
        <v>10</v>
      </c>
      <c r="R479" s="17">
        <v>18</v>
      </c>
      <c r="S479" s="19">
        <v>50976</v>
      </c>
      <c r="T479" s="18" t="s">
        <v>115</v>
      </c>
      <c r="U479" s="18" t="s">
        <v>143</v>
      </c>
      <c r="V479" s="18" t="s">
        <v>212</v>
      </c>
    </row>
    <row r="480" spans="1:22" ht="15.75" customHeight="1">
      <c r="A480" s="13" t="s">
        <v>2226</v>
      </c>
      <c r="B480" s="14" t="s">
        <v>2489</v>
      </c>
      <c r="C480" s="14" t="s">
        <v>291</v>
      </c>
      <c r="D480" s="13" t="s">
        <v>2228</v>
      </c>
      <c r="E480" s="14" t="s">
        <v>293</v>
      </c>
      <c r="F480" s="14" t="s">
        <v>2394</v>
      </c>
      <c r="G480" s="14" t="s">
        <v>151</v>
      </c>
      <c r="H480" s="13" t="s">
        <v>152</v>
      </c>
      <c r="I480" s="13" t="s">
        <v>80</v>
      </c>
      <c r="J480" s="13" t="s">
        <v>110</v>
      </c>
      <c r="K480" s="14" t="s">
        <v>111</v>
      </c>
      <c r="L480" s="14" t="s">
        <v>112</v>
      </c>
      <c r="M480" s="14" t="s">
        <v>113</v>
      </c>
      <c r="N480" s="14" t="s">
        <v>114</v>
      </c>
      <c r="O480" s="13">
        <v>9</v>
      </c>
      <c r="P480" s="61">
        <v>3500</v>
      </c>
      <c r="Q480" s="62">
        <v>15</v>
      </c>
      <c r="R480" s="13">
        <v>18</v>
      </c>
      <c r="S480" s="16">
        <v>31594</v>
      </c>
      <c r="T480" s="14" t="s">
        <v>153</v>
      </c>
      <c r="U480" s="14" t="s">
        <v>143</v>
      </c>
      <c r="V480" s="14" t="s">
        <v>155</v>
      </c>
    </row>
    <row r="481" spans="1:22" ht="15.75" customHeight="1">
      <c r="A481" s="17" t="s">
        <v>2229</v>
      </c>
      <c r="B481" s="18" t="s">
        <v>2011</v>
      </c>
      <c r="C481" s="18" t="s">
        <v>2410</v>
      </c>
      <c r="D481" s="17" t="s">
        <v>2230</v>
      </c>
      <c r="E481" s="18" t="s">
        <v>957</v>
      </c>
      <c r="F481" s="18" t="s">
        <v>2231</v>
      </c>
      <c r="G481" s="18" t="s">
        <v>172</v>
      </c>
      <c r="H481" s="17" t="s">
        <v>96</v>
      </c>
      <c r="I481" s="17" t="s">
        <v>63</v>
      </c>
      <c r="J481" s="17" t="s">
        <v>477</v>
      </c>
      <c r="K481" s="18" t="s">
        <v>478</v>
      </c>
      <c r="L481" s="18" t="s">
        <v>139</v>
      </c>
      <c r="M481" s="18" t="s">
        <v>349</v>
      </c>
      <c r="N481" s="18" t="s">
        <v>479</v>
      </c>
      <c r="O481" s="17">
        <v>5</v>
      </c>
      <c r="P481" s="59">
        <v>2200</v>
      </c>
      <c r="Q481" s="60">
        <v>80</v>
      </c>
      <c r="R481" s="17">
        <v>12</v>
      </c>
      <c r="S481" s="19">
        <v>2464</v>
      </c>
      <c r="T481" s="18" t="s">
        <v>465</v>
      </c>
      <c r="U481" s="18" t="s">
        <v>184</v>
      </c>
      <c r="V481" s="18" t="s">
        <v>155</v>
      </c>
    </row>
    <row r="482" spans="1:22" ht="15.75" customHeight="1">
      <c r="A482" s="13" t="s">
        <v>2232</v>
      </c>
      <c r="B482" s="14" t="s">
        <v>1528</v>
      </c>
      <c r="C482" s="14" t="s">
        <v>2268</v>
      </c>
      <c r="D482" s="13" t="s">
        <v>2234</v>
      </c>
      <c r="E482" s="14" t="s">
        <v>1093</v>
      </c>
      <c r="F482" s="14" t="s">
        <v>2394</v>
      </c>
      <c r="G482" s="14" t="s">
        <v>485</v>
      </c>
      <c r="H482" s="13" t="s">
        <v>305</v>
      </c>
      <c r="I482" s="13" t="s">
        <v>306</v>
      </c>
      <c r="J482" s="13" t="s">
        <v>162</v>
      </c>
      <c r="K482" s="14" t="s">
        <v>163</v>
      </c>
      <c r="L482" s="14" t="s">
        <v>99</v>
      </c>
      <c r="M482" s="14" t="s">
        <v>164</v>
      </c>
      <c r="N482" s="14" t="s">
        <v>165</v>
      </c>
      <c r="O482" s="13">
        <v>3</v>
      </c>
      <c r="P482" s="61">
        <v>2800</v>
      </c>
      <c r="Q482" s="62">
        <v>8</v>
      </c>
      <c r="R482" s="13">
        <v>18</v>
      </c>
      <c r="S482" s="16">
        <v>9119</v>
      </c>
      <c r="T482" s="14" t="s">
        <v>465</v>
      </c>
      <c r="U482" s="14" t="s">
        <v>211</v>
      </c>
      <c r="V482" s="14" t="s">
        <v>155</v>
      </c>
    </row>
    <row r="483" spans="1:22" ht="15.75" customHeight="1"/>
    <row r="484" spans="1:22" ht="18" customHeight="1">
      <c r="A484" s="161" t="s">
        <v>2538</v>
      </c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5"/>
    </row>
    <row r="485" spans="1:22" ht="15.75" customHeight="1"/>
    <row r="486" spans="1:22" ht="15.75" customHeight="1"/>
    <row r="487" spans="1:22" ht="15.75" customHeight="1"/>
    <row r="488" spans="1:22" ht="15.75" customHeight="1"/>
    <row r="489" spans="1:22" ht="15.75" customHeight="1"/>
    <row r="490" spans="1:22" ht="15.75" customHeight="1"/>
    <row r="491" spans="1:22" ht="15.75" customHeight="1"/>
    <row r="492" spans="1:22" ht="15.75" customHeight="1"/>
    <row r="493" spans="1:22" ht="15.75" customHeight="1"/>
    <row r="494" spans="1:22" ht="15.75" customHeight="1"/>
    <row r="495" spans="1:22" ht="15.75" customHeight="1"/>
    <row r="496" spans="1:22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V1"/>
    <mergeCell ref="A484:V484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563EB"/>
  </sheetPr>
  <dimension ref="A1:J1000"/>
  <sheetViews>
    <sheetView topLeftCell="A13" workbookViewId="0">
      <selection sqref="A1:J1"/>
    </sheetView>
  </sheetViews>
  <sheetFormatPr defaultColWidth="14.44140625" defaultRowHeight="15" customHeight="1"/>
  <cols>
    <col min="1" max="1" width="13.6640625" customWidth="1"/>
    <col min="2" max="2" width="14" customWidth="1"/>
    <col min="3" max="3" width="22" customWidth="1"/>
    <col min="4" max="5" width="19" customWidth="1"/>
    <col min="6" max="6" width="36.33203125" customWidth="1"/>
    <col min="7" max="8" width="12" customWidth="1"/>
    <col min="9" max="9" width="14" customWidth="1"/>
    <col min="10" max="10" width="38.33203125" customWidth="1"/>
    <col min="11" max="26" width="8.6640625" customWidth="1"/>
  </cols>
  <sheetData>
    <row r="1" spans="1:10" ht="25.5" customHeight="1">
      <c r="A1" s="154" t="s">
        <v>2539</v>
      </c>
      <c r="B1" s="144"/>
      <c r="C1" s="144"/>
      <c r="D1" s="144"/>
      <c r="E1" s="144"/>
      <c r="F1" s="144"/>
      <c r="G1" s="144"/>
      <c r="H1" s="144"/>
      <c r="I1" s="144"/>
      <c r="J1" s="145"/>
    </row>
    <row r="2" spans="1:10" ht="25.5" customHeight="1">
      <c r="A2" s="162" t="s">
        <v>2540</v>
      </c>
      <c r="B2" s="144"/>
      <c r="C2" s="144"/>
      <c r="D2" s="144"/>
      <c r="E2" s="144"/>
      <c r="F2" s="144"/>
      <c r="G2" s="144"/>
      <c r="H2" s="144"/>
      <c r="I2" s="144"/>
      <c r="J2" s="145"/>
    </row>
    <row r="4" spans="1:10" ht="25.5" customHeight="1">
      <c r="A4" s="163" t="s">
        <v>2541</v>
      </c>
      <c r="B4" s="144"/>
      <c r="C4" s="144"/>
      <c r="D4" s="144"/>
      <c r="E4" s="144"/>
      <c r="F4" s="145"/>
    </row>
    <row r="5" spans="1:10" ht="14.4">
      <c r="A5" s="38" t="s">
        <v>2542</v>
      </c>
      <c r="B5" s="38" t="s">
        <v>2543</v>
      </c>
      <c r="C5" s="38" t="s">
        <v>2544</v>
      </c>
      <c r="D5" s="38" t="s">
        <v>2545</v>
      </c>
      <c r="E5" s="38" t="s">
        <v>2546</v>
      </c>
      <c r="F5" s="38" t="s">
        <v>2547</v>
      </c>
    </row>
    <row r="6" spans="1:10" ht="14.4">
      <c r="A6" s="14" t="s">
        <v>123</v>
      </c>
      <c r="B6" s="14" t="s">
        <v>99</v>
      </c>
      <c r="C6" s="14" t="s">
        <v>465</v>
      </c>
      <c r="D6" s="14" t="s">
        <v>211</v>
      </c>
      <c r="E6" s="14" t="s">
        <v>212</v>
      </c>
      <c r="F6" s="14" t="s">
        <v>62</v>
      </c>
    </row>
    <row r="7" spans="1:10" ht="14.4">
      <c r="A7" s="18" t="s">
        <v>63</v>
      </c>
      <c r="B7" s="18" t="s">
        <v>112</v>
      </c>
      <c r="C7" s="18" t="s">
        <v>153</v>
      </c>
      <c r="D7" s="18" t="s">
        <v>143</v>
      </c>
      <c r="E7" s="18" t="s">
        <v>155</v>
      </c>
      <c r="F7" s="18" t="s">
        <v>152</v>
      </c>
    </row>
    <row r="8" spans="1:10" ht="14.4">
      <c r="A8" s="14" t="s">
        <v>306</v>
      </c>
      <c r="B8" s="14" t="s">
        <v>66</v>
      </c>
      <c r="C8" s="14" t="s">
        <v>115</v>
      </c>
      <c r="D8" s="14" t="s">
        <v>184</v>
      </c>
      <c r="E8" s="14"/>
      <c r="F8" s="14" t="s">
        <v>122</v>
      </c>
    </row>
    <row r="9" spans="1:10" ht="14.4">
      <c r="A9" s="18" t="s">
        <v>80</v>
      </c>
      <c r="B9" s="18" t="s">
        <v>139</v>
      </c>
      <c r="C9" s="18" t="s">
        <v>413</v>
      </c>
      <c r="D9" s="18" t="s">
        <v>70</v>
      </c>
      <c r="E9" s="18"/>
      <c r="F9" s="18" t="s">
        <v>96</v>
      </c>
    </row>
    <row r="10" spans="1:10" ht="14.4">
      <c r="A10" s="14"/>
      <c r="B10" s="14" t="s">
        <v>83</v>
      </c>
      <c r="C10" s="14" t="s">
        <v>127</v>
      </c>
      <c r="D10" s="14" t="s">
        <v>288</v>
      </c>
      <c r="E10" s="14"/>
      <c r="F10" s="14" t="s">
        <v>364</v>
      </c>
    </row>
    <row r="11" spans="1:10" ht="14.4">
      <c r="A11" s="18"/>
      <c r="B11" s="18"/>
      <c r="C11" s="18" t="s">
        <v>102</v>
      </c>
      <c r="D11" s="18"/>
      <c r="E11" s="18"/>
      <c r="F11" s="18" t="s">
        <v>79</v>
      </c>
    </row>
    <row r="12" spans="1:10" ht="14.4">
      <c r="A12" s="14"/>
      <c r="B12" s="14"/>
      <c r="C12" s="14"/>
      <c r="D12" s="14"/>
      <c r="E12" s="14"/>
      <c r="F12" s="14" t="s">
        <v>182</v>
      </c>
    </row>
    <row r="13" spans="1:10" ht="14.4">
      <c r="A13" s="18"/>
      <c r="B13" s="18"/>
      <c r="C13" s="18"/>
      <c r="D13" s="18"/>
      <c r="E13" s="18"/>
      <c r="F13" s="18" t="s">
        <v>305</v>
      </c>
    </row>
    <row r="14" spans="1:10" ht="14.4">
      <c r="A14" s="14"/>
      <c r="B14" s="14"/>
      <c r="C14" s="14"/>
      <c r="D14" s="14"/>
      <c r="E14" s="14"/>
      <c r="F14" s="14" t="s">
        <v>249</v>
      </c>
    </row>
    <row r="15" spans="1:10" ht="14.4">
      <c r="A15" s="18"/>
      <c r="B15" s="18"/>
      <c r="C15" s="18"/>
      <c r="D15" s="18"/>
      <c r="E15" s="18"/>
      <c r="F15" s="18" t="s">
        <v>136</v>
      </c>
    </row>
    <row r="16" spans="1:10" ht="14.4">
      <c r="A16" s="14"/>
      <c r="B16" s="14"/>
      <c r="C16" s="14"/>
      <c r="D16" s="14"/>
      <c r="E16" s="14"/>
      <c r="F16" s="14" t="s">
        <v>334</v>
      </c>
    </row>
    <row r="18" spans="1:10" ht="25.5" customHeight="1">
      <c r="A18" s="162" t="s">
        <v>2548</v>
      </c>
      <c r="B18" s="144"/>
      <c r="C18" s="144"/>
      <c r="D18" s="144"/>
      <c r="E18" s="144"/>
      <c r="F18" s="144"/>
      <c r="G18" s="144"/>
      <c r="H18" s="144"/>
      <c r="I18" s="144"/>
      <c r="J18" s="145"/>
    </row>
    <row r="19" spans="1:10" ht="18" customHeight="1">
      <c r="A19" s="63" t="s">
        <v>2337</v>
      </c>
      <c r="B19" s="63" t="s">
        <v>2282</v>
      </c>
      <c r="C19" s="63" t="s">
        <v>2549</v>
      </c>
      <c r="D19" s="63" t="s">
        <v>2550</v>
      </c>
      <c r="E19" s="63" t="s">
        <v>2551</v>
      </c>
      <c r="F19" s="63" t="s">
        <v>2552</v>
      </c>
    </row>
    <row r="20" spans="1:10" ht="27.75" customHeight="1">
      <c r="A20" s="64" t="s">
        <v>144</v>
      </c>
      <c r="B20" s="65" t="s">
        <v>2553</v>
      </c>
      <c r="C20" s="65" t="s">
        <v>2554</v>
      </c>
      <c r="D20" s="65" t="s">
        <v>2555</v>
      </c>
      <c r="E20" s="65" t="s">
        <v>2556</v>
      </c>
      <c r="F20" s="65" t="s">
        <v>2557</v>
      </c>
    </row>
    <row r="21" spans="1:10" ht="27.75" customHeight="1">
      <c r="A21" s="66" t="s">
        <v>2245</v>
      </c>
      <c r="B21" s="25" t="s">
        <v>2558</v>
      </c>
      <c r="C21" s="25" t="s">
        <v>2554</v>
      </c>
      <c r="D21" s="25" t="s">
        <v>2559</v>
      </c>
      <c r="E21" s="25" t="s">
        <v>2560</v>
      </c>
      <c r="F21" s="25" t="s">
        <v>2561</v>
      </c>
    </row>
    <row r="22" spans="1:10" ht="27.75" customHeight="1">
      <c r="A22" s="64" t="s">
        <v>2249</v>
      </c>
      <c r="B22" s="65" t="s">
        <v>2562</v>
      </c>
      <c r="C22" s="65" t="s">
        <v>2563</v>
      </c>
      <c r="D22" s="65" t="s">
        <v>2564</v>
      </c>
      <c r="E22" s="65" t="s">
        <v>2565</v>
      </c>
      <c r="F22" s="65" t="s">
        <v>2566</v>
      </c>
    </row>
    <row r="23" spans="1:10" ht="27.75" customHeight="1">
      <c r="A23" s="66" t="s">
        <v>2253</v>
      </c>
      <c r="B23" s="25" t="s">
        <v>2567</v>
      </c>
      <c r="C23" s="25" t="s">
        <v>2568</v>
      </c>
      <c r="D23" s="25" t="s">
        <v>2569</v>
      </c>
      <c r="E23" s="25" t="s">
        <v>2570</v>
      </c>
      <c r="F23" s="25" t="s">
        <v>2571</v>
      </c>
    </row>
    <row r="24" spans="1:10" ht="27.75" customHeight="1">
      <c r="A24" s="64" t="s">
        <v>2257</v>
      </c>
      <c r="B24" s="65" t="s">
        <v>2572</v>
      </c>
      <c r="C24" s="65" t="s">
        <v>2568</v>
      </c>
      <c r="D24" s="65" t="s">
        <v>2573</v>
      </c>
      <c r="E24" s="65" t="s">
        <v>2574</v>
      </c>
      <c r="F24" s="65" t="s">
        <v>2575</v>
      </c>
    </row>
    <row r="25" spans="1:10" ht="27.75" customHeight="1">
      <c r="A25" s="66" t="s">
        <v>2359</v>
      </c>
      <c r="B25" s="25" t="s">
        <v>2576</v>
      </c>
      <c r="C25" s="25" t="s">
        <v>2577</v>
      </c>
      <c r="D25" s="25" t="s">
        <v>2578</v>
      </c>
      <c r="E25" s="25" t="s">
        <v>2579</v>
      </c>
      <c r="F25" s="25" t="s">
        <v>2580</v>
      </c>
    </row>
    <row r="26" spans="1:10" ht="27.75" customHeight="1">
      <c r="A26" s="64" t="s">
        <v>2363</v>
      </c>
      <c r="B26" s="65" t="s">
        <v>2581</v>
      </c>
      <c r="C26" s="65" t="s">
        <v>2582</v>
      </c>
      <c r="D26" s="65" t="b">
        <f>AND(ISNUMBER(FIND("@",E3)),ISNUMBER(FIND(".",E3)))</f>
        <v>0</v>
      </c>
      <c r="E26" s="65" t="s">
        <v>2583</v>
      </c>
      <c r="F26" s="65" t="s">
        <v>2584</v>
      </c>
    </row>
    <row r="27" spans="1:10" ht="27.75" customHeight="1">
      <c r="A27" s="66" t="s">
        <v>2367</v>
      </c>
      <c r="B27" s="25" t="s">
        <v>2585</v>
      </c>
      <c r="C27" s="25" t="s">
        <v>2582</v>
      </c>
      <c r="D27" s="25" t="b">
        <f>AND(LEN(F3)=10,ISNUMBER(VALUE(F3)))</f>
        <v>0</v>
      </c>
      <c r="E27" s="25" t="s">
        <v>2586</v>
      </c>
      <c r="F27" s="25" t="s">
        <v>2587</v>
      </c>
    </row>
    <row r="28" spans="1:10" ht="27.75" customHeight="1">
      <c r="A28" s="64" t="s">
        <v>2370</v>
      </c>
      <c r="B28" s="65" t="s">
        <v>2588</v>
      </c>
      <c r="C28" s="65" t="s">
        <v>2554</v>
      </c>
      <c r="D28" s="65" t="s">
        <v>2589</v>
      </c>
      <c r="E28" s="65" t="s">
        <v>2590</v>
      </c>
      <c r="F28" s="65" t="s">
        <v>2591</v>
      </c>
    </row>
    <row r="29" spans="1:10" ht="27.75" customHeight="1">
      <c r="A29" s="66" t="s">
        <v>2374</v>
      </c>
      <c r="B29" s="25" t="s">
        <v>2592</v>
      </c>
      <c r="C29" s="25" t="s">
        <v>2554</v>
      </c>
      <c r="D29" s="25" t="s">
        <v>2593</v>
      </c>
      <c r="E29" s="25" t="s">
        <v>2594</v>
      </c>
      <c r="F29" s="25" t="s">
        <v>2595</v>
      </c>
    </row>
    <row r="30" spans="1:10" ht="15.75" customHeight="1"/>
    <row r="31" spans="1:10" ht="25.5" customHeight="1">
      <c r="A31" s="164" t="s">
        <v>2596</v>
      </c>
      <c r="B31" s="144"/>
      <c r="C31" s="144"/>
      <c r="D31" s="144"/>
      <c r="E31" s="144"/>
      <c r="F31" s="144"/>
      <c r="G31" s="144"/>
      <c r="H31" s="144"/>
      <c r="I31" s="144"/>
      <c r="J31" s="145"/>
    </row>
    <row r="32" spans="1:10" ht="18" customHeight="1">
      <c r="A32" s="41" t="s">
        <v>33</v>
      </c>
      <c r="B32" s="41" t="s">
        <v>34</v>
      </c>
      <c r="C32" s="41" t="s">
        <v>35</v>
      </c>
      <c r="D32" s="41" t="s">
        <v>41</v>
      </c>
      <c r="E32" s="41" t="s">
        <v>44</v>
      </c>
      <c r="F32" s="41" t="s">
        <v>47</v>
      </c>
      <c r="G32" s="41" t="s">
        <v>48</v>
      </c>
      <c r="H32" s="41" t="s">
        <v>49</v>
      </c>
      <c r="I32" s="41" t="s">
        <v>52</v>
      </c>
      <c r="J32" s="41" t="s">
        <v>53</v>
      </c>
    </row>
    <row r="33" spans="1:10" ht="19.5" customHeight="1">
      <c r="A33" s="67" t="s">
        <v>2597</v>
      </c>
      <c r="B33" s="67" t="s">
        <v>2499</v>
      </c>
      <c r="C33" s="67" t="s">
        <v>2598</v>
      </c>
      <c r="D33" s="67" t="s">
        <v>63</v>
      </c>
      <c r="E33" s="67" t="s">
        <v>99</v>
      </c>
      <c r="F33" s="67">
        <v>2</v>
      </c>
      <c r="G33" s="67">
        <v>15000</v>
      </c>
      <c r="H33" s="67">
        <v>10</v>
      </c>
      <c r="I33" s="67" t="s">
        <v>465</v>
      </c>
      <c r="J33" s="67" t="s">
        <v>211</v>
      </c>
    </row>
    <row r="34" spans="1:10" ht="19.5" customHeight="1">
      <c r="A34" s="67" t="s">
        <v>2599</v>
      </c>
      <c r="B34" s="67" t="s">
        <v>2600</v>
      </c>
      <c r="C34" s="67" t="s">
        <v>2601</v>
      </c>
      <c r="D34" s="67" t="s">
        <v>123</v>
      </c>
      <c r="E34" s="67" t="s">
        <v>112</v>
      </c>
      <c r="F34" s="67">
        <v>1</v>
      </c>
      <c r="G34" s="67">
        <v>3500</v>
      </c>
      <c r="H34" s="67">
        <v>15</v>
      </c>
      <c r="I34" s="67" t="s">
        <v>153</v>
      </c>
      <c r="J34" s="67" t="s">
        <v>143</v>
      </c>
    </row>
    <row r="35" spans="1:10" ht="19.5" customHeight="1">
      <c r="A35" s="68"/>
      <c r="B35" s="68"/>
      <c r="C35" s="68"/>
      <c r="D35" s="68"/>
      <c r="E35" s="68"/>
      <c r="F35" s="68"/>
      <c r="G35" s="68"/>
      <c r="H35" s="68"/>
      <c r="I35" s="68"/>
      <c r="J35" s="68"/>
    </row>
    <row r="36" spans="1:10" ht="19.5" customHeight="1">
      <c r="A36" s="68"/>
      <c r="B36" s="68"/>
      <c r="C36" s="68"/>
      <c r="D36" s="68"/>
      <c r="E36" s="68"/>
      <c r="F36" s="68"/>
      <c r="G36" s="68"/>
      <c r="H36" s="68"/>
      <c r="I36" s="68"/>
      <c r="J36" s="68"/>
    </row>
    <row r="37" spans="1:10" ht="19.5" customHeight="1">
      <c r="A37" s="68"/>
      <c r="B37" s="68"/>
      <c r="C37" s="68"/>
      <c r="D37" s="68"/>
      <c r="E37" s="68"/>
      <c r="F37" s="68"/>
      <c r="G37" s="68"/>
      <c r="H37" s="68"/>
      <c r="I37" s="68"/>
      <c r="J37" s="68"/>
    </row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J1"/>
    <mergeCell ref="A2:J2"/>
    <mergeCell ref="A4:F4"/>
    <mergeCell ref="A18:J18"/>
    <mergeCell ref="A31:J3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EA5E9"/>
  </sheetPr>
  <dimension ref="A1:H1000"/>
  <sheetViews>
    <sheetView workbookViewId="0"/>
  </sheetViews>
  <sheetFormatPr defaultColWidth="14.44140625" defaultRowHeight="15" customHeight="1"/>
  <cols>
    <col min="1" max="8" width="20" customWidth="1"/>
    <col min="9" max="26" width="8.6640625" customWidth="1"/>
  </cols>
  <sheetData>
    <row r="1" spans="1:8" ht="21.75" customHeight="1">
      <c r="A1" s="165" t="s">
        <v>2602</v>
      </c>
      <c r="B1" s="144"/>
      <c r="C1" s="144"/>
      <c r="D1" s="144"/>
      <c r="E1" s="144"/>
      <c r="F1" s="144"/>
      <c r="G1" s="144"/>
      <c r="H1" s="145"/>
    </row>
    <row r="2" spans="1:8" ht="14.4">
      <c r="A2" s="26" t="s">
        <v>41</v>
      </c>
      <c r="B2" s="26" t="s">
        <v>44</v>
      </c>
      <c r="C2" s="26" t="s">
        <v>52</v>
      </c>
      <c r="D2" s="26" t="s">
        <v>53</v>
      </c>
      <c r="E2" s="26" t="s">
        <v>54</v>
      </c>
      <c r="F2" s="26" t="s">
        <v>2603</v>
      </c>
      <c r="G2" s="26" t="s">
        <v>45</v>
      </c>
      <c r="H2" s="26" t="s">
        <v>46</v>
      </c>
    </row>
    <row r="3" spans="1:8" ht="14.4">
      <c r="A3" s="18" t="s">
        <v>123</v>
      </c>
      <c r="B3" s="18" t="s">
        <v>99</v>
      </c>
      <c r="C3" s="18" t="s">
        <v>465</v>
      </c>
      <c r="D3" s="18" t="s">
        <v>211</v>
      </c>
      <c r="E3" s="18" t="s">
        <v>212</v>
      </c>
      <c r="F3" s="18" t="s">
        <v>2604</v>
      </c>
      <c r="G3" s="18" t="s">
        <v>100</v>
      </c>
      <c r="H3" s="18" t="s">
        <v>126</v>
      </c>
    </row>
    <row r="4" spans="1:8" ht="14.4">
      <c r="A4" s="14" t="s">
        <v>63</v>
      </c>
      <c r="B4" s="14" t="s">
        <v>112</v>
      </c>
      <c r="C4" s="14" t="s">
        <v>153</v>
      </c>
      <c r="D4" s="14" t="s">
        <v>143</v>
      </c>
      <c r="E4" s="14" t="s">
        <v>155</v>
      </c>
      <c r="F4" s="14" t="s">
        <v>2605</v>
      </c>
      <c r="G4" s="14" t="s">
        <v>277</v>
      </c>
      <c r="H4" s="14" t="s">
        <v>221</v>
      </c>
    </row>
    <row r="5" spans="1:8" ht="14.4">
      <c r="A5" s="18" t="s">
        <v>306</v>
      </c>
      <c r="B5" s="18" t="s">
        <v>66</v>
      </c>
      <c r="C5" s="18" t="s">
        <v>115</v>
      </c>
      <c r="D5" s="18" t="s">
        <v>184</v>
      </c>
      <c r="F5" s="18" t="s">
        <v>2606</v>
      </c>
      <c r="G5" s="18" t="s">
        <v>2607</v>
      </c>
      <c r="H5" s="18" t="s">
        <v>494</v>
      </c>
    </row>
    <row r="6" spans="1:8" ht="14.4">
      <c r="A6" s="14" t="s">
        <v>80</v>
      </c>
      <c r="B6" s="14" t="s">
        <v>139</v>
      </c>
      <c r="C6" s="14" t="s">
        <v>413</v>
      </c>
      <c r="D6" s="14" t="s">
        <v>70</v>
      </c>
      <c r="G6" s="14" t="s">
        <v>164</v>
      </c>
      <c r="H6" s="14" t="s">
        <v>479</v>
      </c>
    </row>
    <row r="7" spans="1:8" ht="14.4">
      <c r="B7" s="18" t="s">
        <v>83</v>
      </c>
      <c r="C7" s="18" t="s">
        <v>127</v>
      </c>
      <c r="D7" s="18" t="s">
        <v>288</v>
      </c>
      <c r="G7" s="18" t="s">
        <v>209</v>
      </c>
      <c r="H7" s="18" t="s">
        <v>391</v>
      </c>
    </row>
    <row r="8" spans="1:8" ht="14.4">
      <c r="C8" s="14" t="s">
        <v>102</v>
      </c>
      <c r="G8" s="14" t="s">
        <v>493</v>
      </c>
      <c r="H8" s="14" t="s">
        <v>358</v>
      </c>
    </row>
    <row r="9" spans="1:8" ht="14.4">
      <c r="G9" s="18" t="s">
        <v>240</v>
      </c>
      <c r="H9" s="18" t="s">
        <v>241</v>
      </c>
    </row>
    <row r="10" spans="1:8" ht="14.4">
      <c r="G10" s="14" t="s">
        <v>113</v>
      </c>
      <c r="H10" s="14" t="s">
        <v>68</v>
      </c>
    </row>
    <row r="11" spans="1:8" ht="14.4">
      <c r="G11" s="18" t="s">
        <v>367</v>
      </c>
      <c r="H11" s="18" t="s">
        <v>210</v>
      </c>
    </row>
    <row r="12" spans="1:8" ht="14.4">
      <c r="G12" s="14" t="s">
        <v>349</v>
      </c>
      <c r="H12" s="14" t="s">
        <v>368</v>
      </c>
    </row>
    <row r="13" spans="1:8" ht="14.4">
      <c r="G13" s="18" t="s">
        <v>140</v>
      </c>
      <c r="H13" s="18" t="s">
        <v>899</v>
      </c>
    </row>
    <row r="14" spans="1:8" ht="14.4">
      <c r="G14" s="14" t="s">
        <v>67</v>
      </c>
      <c r="H14" s="14" t="s">
        <v>200</v>
      </c>
    </row>
    <row r="15" spans="1:8" ht="14.4">
      <c r="G15" s="18" t="s">
        <v>199</v>
      </c>
      <c r="H15" s="18" t="s">
        <v>378</v>
      </c>
    </row>
    <row r="16" spans="1:8" ht="14.4">
      <c r="G16" s="14" t="s">
        <v>297</v>
      </c>
      <c r="H16" s="14" t="s">
        <v>350</v>
      </c>
    </row>
    <row r="17" spans="1:8" ht="14.4">
      <c r="G17" s="18" t="s">
        <v>259</v>
      </c>
      <c r="H17" s="18" t="s">
        <v>101</v>
      </c>
    </row>
    <row r="18" spans="1:8" ht="14.4">
      <c r="G18" s="14" t="s">
        <v>422</v>
      </c>
      <c r="H18" s="14" t="s">
        <v>597</v>
      </c>
    </row>
    <row r="19" spans="1:8" ht="14.4">
      <c r="G19" s="18" t="s">
        <v>84</v>
      </c>
      <c r="H19" s="18" t="s">
        <v>314</v>
      </c>
    </row>
    <row r="20" spans="1:8" ht="14.4">
      <c r="H20" s="14" t="s">
        <v>141</v>
      </c>
    </row>
    <row r="21" spans="1:8" ht="15.75" customHeight="1">
      <c r="H21" s="18" t="s">
        <v>114</v>
      </c>
    </row>
    <row r="22" spans="1:8" ht="15.75" customHeight="1">
      <c r="H22" s="14" t="s">
        <v>298</v>
      </c>
    </row>
    <row r="23" spans="1:8" ht="15.75" customHeight="1">
      <c r="H23" s="18" t="s">
        <v>165</v>
      </c>
    </row>
    <row r="24" spans="1:8" ht="15.75" customHeight="1"/>
    <row r="25" spans="1:8" ht="18" customHeight="1">
      <c r="A25" s="166" t="s">
        <v>2608</v>
      </c>
      <c r="B25" s="144"/>
      <c r="C25" s="144"/>
      <c r="D25" s="144"/>
      <c r="E25" s="144"/>
      <c r="F25" s="144"/>
      <c r="G25" s="144"/>
      <c r="H25" s="145"/>
    </row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5:H25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C3AED"/>
  </sheetPr>
  <dimension ref="A1:L1000"/>
  <sheetViews>
    <sheetView workbookViewId="0"/>
  </sheetViews>
  <sheetFormatPr defaultColWidth="14.44140625" defaultRowHeight="15" customHeight="1"/>
  <cols>
    <col min="1" max="1" width="18" customWidth="1"/>
    <col min="2" max="2" width="16" customWidth="1"/>
    <col min="3" max="4" width="12" customWidth="1"/>
    <col min="5" max="26" width="8.6640625" customWidth="1"/>
  </cols>
  <sheetData>
    <row r="1" spans="1:12" ht="21.75" customHeight="1">
      <c r="A1" s="154" t="s">
        <v>2609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5"/>
    </row>
    <row r="2" spans="1:12" ht="25.5" customHeight="1">
      <c r="A2" s="162" t="s">
        <v>2610</v>
      </c>
      <c r="B2" s="144"/>
      <c r="C2" s="144"/>
      <c r="D2" s="145"/>
    </row>
    <row r="3" spans="1:12" ht="14.4">
      <c r="A3" s="63" t="s">
        <v>41</v>
      </c>
      <c r="B3" s="63" t="s">
        <v>2611</v>
      </c>
      <c r="C3" s="63" t="s">
        <v>2612</v>
      </c>
      <c r="D3" s="63" t="s">
        <v>2613</v>
      </c>
    </row>
    <row r="4" spans="1:12" ht="14.4">
      <c r="A4" s="69" t="s">
        <v>123</v>
      </c>
      <c r="B4" s="70">
        <v>1250000</v>
      </c>
      <c r="C4" s="71">
        <v>127</v>
      </c>
      <c r="D4" s="72">
        <v>9843</v>
      </c>
    </row>
    <row r="5" spans="1:12" ht="14.4">
      <c r="A5" s="7" t="s">
        <v>63</v>
      </c>
      <c r="B5" s="73">
        <v>1840000</v>
      </c>
      <c r="C5" s="74">
        <v>185</v>
      </c>
      <c r="D5" s="75">
        <v>9946</v>
      </c>
    </row>
    <row r="6" spans="1:12" ht="14.4">
      <c r="A6" s="69" t="s">
        <v>306</v>
      </c>
      <c r="B6" s="70">
        <v>860000</v>
      </c>
      <c r="C6" s="71">
        <v>86</v>
      </c>
      <c r="D6" s="72">
        <v>10000</v>
      </c>
    </row>
    <row r="7" spans="1:12" ht="14.4">
      <c r="A7" s="7" t="s">
        <v>80</v>
      </c>
      <c r="B7" s="73">
        <v>1520000</v>
      </c>
      <c r="C7" s="74">
        <v>152</v>
      </c>
      <c r="D7" s="75">
        <v>10000</v>
      </c>
    </row>
    <row r="9" spans="1:12" ht="25.5" customHeight="1">
      <c r="A9" s="163" t="s">
        <v>2614</v>
      </c>
      <c r="B9" s="144"/>
      <c r="C9" s="144"/>
      <c r="D9" s="145"/>
    </row>
    <row r="10" spans="1:12" ht="14.4">
      <c r="A10" s="38" t="s">
        <v>2615</v>
      </c>
      <c r="B10" s="38" t="s">
        <v>2611</v>
      </c>
      <c r="C10" s="38" t="s">
        <v>2612</v>
      </c>
      <c r="D10" s="38" t="s">
        <v>2616</v>
      </c>
    </row>
    <row r="11" spans="1:12" ht="14.4">
      <c r="A11" s="76" t="s">
        <v>2617</v>
      </c>
      <c r="B11" s="77">
        <v>420000</v>
      </c>
      <c r="C11" s="78">
        <v>42</v>
      </c>
      <c r="D11" s="79"/>
    </row>
    <row r="12" spans="1:12" ht="14.4">
      <c r="A12" s="80" t="s">
        <v>2618</v>
      </c>
      <c r="B12" s="73">
        <v>380000</v>
      </c>
      <c r="C12" s="74">
        <v>38</v>
      </c>
      <c r="D12" s="81">
        <v>-9.5</v>
      </c>
    </row>
    <row r="13" spans="1:12" ht="14.4">
      <c r="A13" s="76" t="s">
        <v>2619</v>
      </c>
      <c r="B13" s="77">
        <v>510000</v>
      </c>
      <c r="C13" s="78">
        <v>51</v>
      </c>
      <c r="D13" s="82">
        <v>34.200000000000003</v>
      </c>
    </row>
    <row r="14" spans="1:12" ht="14.4">
      <c r="A14" s="80" t="s">
        <v>2620</v>
      </c>
      <c r="B14" s="73">
        <v>470000</v>
      </c>
      <c r="C14" s="74">
        <v>47</v>
      </c>
      <c r="D14" s="81">
        <v>-7.8</v>
      </c>
    </row>
    <row r="15" spans="1:12" ht="14.4">
      <c r="A15" s="76" t="s">
        <v>2621</v>
      </c>
      <c r="B15" s="77">
        <v>620000</v>
      </c>
      <c r="C15" s="78">
        <v>62</v>
      </c>
      <c r="D15" s="82">
        <v>31.9</v>
      </c>
    </row>
    <row r="16" spans="1:12" ht="14.4">
      <c r="A16" s="80" t="s">
        <v>2622</v>
      </c>
      <c r="B16" s="73">
        <v>590000</v>
      </c>
      <c r="C16" s="74">
        <v>59</v>
      </c>
      <c r="D16" s="81">
        <v>-4.8</v>
      </c>
    </row>
    <row r="17" spans="1:4" ht="14.4">
      <c r="A17" s="76" t="s">
        <v>2623</v>
      </c>
      <c r="B17" s="77">
        <v>700000</v>
      </c>
      <c r="C17" s="78">
        <v>70</v>
      </c>
      <c r="D17" s="82">
        <v>18.600000000000001</v>
      </c>
    </row>
    <row r="18" spans="1:4" ht="14.4">
      <c r="A18" s="80" t="s">
        <v>2624</v>
      </c>
      <c r="B18" s="73">
        <v>650000</v>
      </c>
      <c r="C18" s="74">
        <v>65</v>
      </c>
      <c r="D18" s="81">
        <v>-7.1</v>
      </c>
    </row>
    <row r="19" spans="1:4" ht="14.4">
      <c r="A19" s="76" t="s">
        <v>2625</v>
      </c>
      <c r="B19" s="77">
        <v>720000</v>
      </c>
      <c r="C19" s="78">
        <v>72</v>
      </c>
      <c r="D19" s="82">
        <v>10.8</v>
      </c>
    </row>
    <row r="20" spans="1:4" ht="14.4">
      <c r="A20" s="80" t="s">
        <v>2626</v>
      </c>
      <c r="B20" s="73">
        <v>810000</v>
      </c>
      <c r="C20" s="74">
        <v>81</v>
      </c>
      <c r="D20" s="83">
        <v>12.5</v>
      </c>
    </row>
    <row r="21" spans="1:4" ht="15.75" customHeight="1">
      <c r="A21" s="76" t="s">
        <v>2627</v>
      </c>
      <c r="B21" s="77">
        <v>880000</v>
      </c>
      <c r="C21" s="78">
        <v>88</v>
      </c>
      <c r="D21" s="82">
        <v>8.6</v>
      </c>
    </row>
    <row r="22" spans="1:4" ht="15.75" customHeight="1">
      <c r="A22" s="80" t="s">
        <v>2628</v>
      </c>
      <c r="B22" s="73">
        <v>730000</v>
      </c>
      <c r="C22" s="74">
        <v>73</v>
      </c>
      <c r="D22" s="81">
        <v>-17</v>
      </c>
    </row>
    <row r="23" spans="1:4" ht="15.75" customHeight="1"/>
    <row r="24" spans="1:4" ht="25.5" customHeight="1">
      <c r="A24" s="164" t="s">
        <v>2629</v>
      </c>
      <c r="B24" s="144"/>
      <c r="C24" s="144"/>
      <c r="D24" s="145"/>
    </row>
    <row r="25" spans="1:4" ht="15.75" customHeight="1">
      <c r="A25" s="41" t="s">
        <v>44</v>
      </c>
      <c r="B25" s="41" t="s">
        <v>2630</v>
      </c>
      <c r="C25" s="41" t="s">
        <v>2631</v>
      </c>
      <c r="D25" s="41" t="s">
        <v>2612</v>
      </c>
    </row>
    <row r="26" spans="1:4" ht="15.75" customHeight="1">
      <c r="A26" s="84" t="s">
        <v>99</v>
      </c>
      <c r="B26" s="85">
        <v>2750000</v>
      </c>
      <c r="C26" s="86">
        <v>0.503</v>
      </c>
      <c r="D26" s="87">
        <v>275</v>
      </c>
    </row>
    <row r="27" spans="1:4" ht="15.75" customHeight="1">
      <c r="A27" s="9" t="s">
        <v>112</v>
      </c>
      <c r="B27" s="73">
        <v>1100000</v>
      </c>
      <c r="C27" s="88">
        <v>0.20100000000000001</v>
      </c>
      <c r="D27" s="74">
        <v>165</v>
      </c>
    </row>
    <row r="28" spans="1:4" ht="15.75" customHeight="1">
      <c r="A28" s="84" t="s">
        <v>139</v>
      </c>
      <c r="B28" s="85">
        <v>820000</v>
      </c>
      <c r="C28" s="86">
        <v>0.15</v>
      </c>
      <c r="D28" s="87">
        <v>82</v>
      </c>
    </row>
    <row r="29" spans="1:4" ht="15.75" customHeight="1">
      <c r="A29" s="9" t="s">
        <v>66</v>
      </c>
      <c r="B29" s="73">
        <v>480000</v>
      </c>
      <c r="C29" s="88">
        <v>8.8000000000000009E-2</v>
      </c>
      <c r="D29" s="74">
        <v>120</v>
      </c>
    </row>
    <row r="30" spans="1:4" ht="15.75" customHeight="1">
      <c r="A30" s="84" t="s">
        <v>83</v>
      </c>
      <c r="B30" s="85">
        <v>320000</v>
      </c>
      <c r="C30" s="86">
        <v>5.8000000000000003E-2</v>
      </c>
      <c r="D30" s="87">
        <v>32</v>
      </c>
    </row>
    <row r="31" spans="1:4" ht="15.75" customHeight="1"/>
    <row r="32" spans="1:4" ht="25.5" customHeight="1">
      <c r="A32" s="167" t="s">
        <v>2632</v>
      </c>
      <c r="B32" s="144"/>
      <c r="C32" s="145"/>
    </row>
    <row r="33" spans="1:4" ht="15.75" customHeight="1">
      <c r="A33" s="47" t="s">
        <v>2342</v>
      </c>
      <c r="B33" s="47" t="s">
        <v>2633</v>
      </c>
      <c r="C33" s="47" t="s">
        <v>2631</v>
      </c>
    </row>
    <row r="34" spans="1:4" ht="15.75" customHeight="1">
      <c r="A34" s="89" t="s">
        <v>211</v>
      </c>
      <c r="B34" s="90">
        <v>365</v>
      </c>
      <c r="C34" s="91">
        <v>0.76</v>
      </c>
    </row>
    <row r="35" spans="1:4" ht="15.75" customHeight="1">
      <c r="A35" s="7" t="s">
        <v>143</v>
      </c>
      <c r="B35" s="74">
        <v>72</v>
      </c>
      <c r="C35" s="92">
        <v>0.15</v>
      </c>
    </row>
    <row r="36" spans="1:4" ht="15.75" customHeight="1">
      <c r="A36" s="93" t="s">
        <v>184</v>
      </c>
      <c r="B36" s="90">
        <v>29</v>
      </c>
      <c r="C36" s="91">
        <v>0.06</v>
      </c>
    </row>
    <row r="37" spans="1:4" ht="15.75" customHeight="1">
      <c r="A37" s="4" t="s">
        <v>70</v>
      </c>
      <c r="B37" s="74">
        <v>14</v>
      </c>
      <c r="C37" s="92">
        <v>0.03</v>
      </c>
    </row>
    <row r="38" spans="1:4" ht="15.75" customHeight="1"/>
    <row r="39" spans="1:4" ht="25.5" customHeight="1">
      <c r="A39" s="168" t="s">
        <v>2634</v>
      </c>
      <c r="B39" s="144"/>
      <c r="C39" s="144"/>
      <c r="D39" s="145"/>
    </row>
    <row r="40" spans="1:4" ht="15.75" customHeight="1">
      <c r="A40" s="94" t="s">
        <v>2635</v>
      </c>
      <c r="B40" s="94" t="s">
        <v>2630</v>
      </c>
      <c r="C40" s="94" t="s">
        <v>2636</v>
      </c>
      <c r="D40" s="94" t="s">
        <v>44</v>
      </c>
    </row>
    <row r="41" spans="1:4" ht="15.75" customHeight="1">
      <c r="A41" s="95" t="s">
        <v>220</v>
      </c>
      <c r="B41" s="96">
        <v>890000</v>
      </c>
      <c r="C41" s="97">
        <v>10</v>
      </c>
      <c r="D41" s="98" t="s">
        <v>99</v>
      </c>
    </row>
    <row r="42" spans="1:4" ht="15.75" customHeight="1">
      <c r="A42" s="99" t="s">
        <v>208</v>
      </c>
      <c r="B42" s="73">
        <v>550000</v>
      </c>
      <c r="C42" s="74">
        <v>10</v>
      </c>
      <c r="D42" s="100" t="s">
        <v>99</v>
      </c>
    </row>
    <row r="43" spans="1:4" ht="15.75" customHeight="1">
      <c r="A43" s="95" t="s">
        <v>898</v>
      </c>
      <c r="B43" s="96">
        <v>380000</v>
      </c>
      <c r="C43" s="97">
        <v>10</v>
      </c>
      <c r="D43" s="98" t="s">
        <v>139</v>
      </c>
    </row>
    <row r="44" spans="1:4" ht="15.75" customHeight="1">
      <c r="A44" s="99" t="s">
        <v>2637</v>
      </c>
      <c r="B44" s="73">
        <v>420000</v>
      </c>
      <c r="C44" s="74">
        <v>10</v>
      </c>
      <c r="D44" s="100" t="s">
        <v>139</v>
      </c>
    </row>
    <row r="45" spans="1:4" ht="15.75" customHeight="1">
      <c r="A45" s="95" t="s">
        <v>276</v>
      </c>
      <c r="B45" s="96">
        <v>350000</v>
      </c>
      <c r="C45" s="97">
        <v>10</v>
      </c>
      <c r="D45" s="98" t="s">
        <v>99</v>
      </c>
    </row>
    <row r="46" spans="1:4" ht="15.75" customHeight="1">
      <c r="A46" s="99" t="s">
        <v>98</v>
      </c>
      <c r="B46" s="73">
        <v>280000</v>
      </c>
      <c r="C46" s="74">
        <v>10</v>
      </c>
      <c r="D46" s="100" t="s">
        <v>99</v>
      </c>
    </row>
    <row r="47" spans="1:4" ht="15.75" customHeight="1">
      <c r="A47" s="95" t="s">
        <v>377</v>
      </c>
      <c r="B47" s="96">
        <v>255000</v>
      </c>
      <c r="C47" s="97">
        <v>30</v>
      </c>
      <c r="D47" s="98" t="s">
        <v>112</v>
      </c>
    </row>
    <row r="48" spans="1:4" ht="15.75" customHeight="1">
      <c r="A48" s="99" t="s">
        <v>366</v>
      </c>
      <c r="B48" s="73">
        <v>245000</v>
      </c>
      <c r="C48" s="74">
        <v>70</v>
      </c>
      <c r="D48" s="100" t="s">
        <v>112</v>
      </c>
    </row>
    <row r="49" spans="1:4" ht="15.75" customHeight="1">
      <c r="A49" s="95" t="s">
        <v>492</v>
      </c>
      <c r="B49" s="96">
        <v>225000</v>
      </c>
      <c r="C49" s="97">
        <v>50</v>
      </c>
      <c r="D49" s="98" t="s">
        <v>112</v>
      </c>
    </row>
    <row r="50" spans="1:4" ht="15.75" customHeight="1">
      <c r="A50" s="99" t="s">
        <v>125</v>
      </c>
      <c r="B50" s="73">
        <v>210000</v>
      </c>
      <c r="C50" s="74">
        <v>15</v>
      </c>
      <c r="D50" s="100" t="s">
        <v>99</v>
      </c>
    </row>
    <row r="51" spans="1:4" ht="15.75" customHeight="1"/>
    <row r="52" spans="1:4" ht="15.75" customHeight="1"/>
    <row r="53" spans="1:4" ht="15.75" customHeight="1"/>
    <row r="54" spans="1:4" ht="15.75" customHeight="1"/>
    <row r="55" spans="1:4" ht="15.75" customHeight="1"/>
    <row r="56" spans="1:4" ht="15.75" customHeight="1"/>
    <row r="57" spans="1:4" ht="15.75" customHeight="1"/>
    <row r="58" spans="1:4" ht="15.75" customHeight="1"/>
    <row r="59" spans="1:4" ht="15.75" customHeight="1"/>
    <row r="60" spans="1:4" ht="15.75" customHeight="1"/>
    <row r="61" spans="1:4" ht="15.75" customHeight="1"/>
    <row r="62" spans="1:4" ht="15.75" customHeight="1"/>
    <row r="63" spans="1:4" ht="15.75" customHeight="1"/>
    <row r="64" spans="1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39:D39"/>
    <mergeCell ref="A1:L1"/>
    <mergeCell ref="A2:D2"/>
    <mergeCell ref="A9:D9"/>
    <mergeCell ref="A24:D24"/>
    <mergeCell ref="A32:C32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A580C"/>
  </sheetPr>
  <dimension ref="A1:J1000"/>
  <sheetViews>
    <sheetView topLeftCell="A21" workbookViewId="0">
      <selection sqref="A1:J1"/>
    </sheetView>
  </sheetViews>
  <sheetFormatPr defaultColWidth="14.44140625" defaultRowHeight="15" customHeight="1"/>
  <cols>
    <col min="1" max="1" width="30" customWidth="1"/>
    <col min="2" max="5" width="16" customWidth="1"/>
    <col min="6" max="6" width="30" customWidth="1"/>
    <col min="7" max="10" width="16" customWidth="1"/>
    <col min="11" max="26" width="8.6640625" customWidth="1"/>
  </cols>
  <sheetData>
    <row r="1" spans="1:10" ht="25.5" customHeight="1">
      <c r="A1" s="154" t="s">
        <v>2638</v>
      </c>
      <c r="B1" s="144"/>
      <c r="C1" s="144"/>
      <c r="D1" s="144"/>
      <c r="E1" s="144"/>
      <c r="F1" s="144"/>
      <c r="G1" s="144"/>
      <c r="H1" s="144"/>
      <c r="I1" s="144"/>
      <c r="J1" s="145"/>
    </row>
    <row r="3" spans="1:10" ht="25.5" customHeight="1">
      <c r="A3" s="167" t="s">
        <v>2639</v>
      </c>
      <c r="B3" s="144"/>
      <c r="C3" s="144"/>
      <c r="D3" s="144"/>
      <c r="E3" s="144"/>
      <c r="F3" s="144"/>
      <c r="G3" s="144"/>
      <c r="H3" s="144"/>
      <c r="I3" s="144"/>
      <c r="J3" s="145"/>
    </row>
    <row r="4" spans="1:10" ht="14.4">
      <c r="A4" s="47" t="s">
        <v>2640</v>
      </c>
      <c r="B4" s="47" t="s">
        <v>2641</v>
      </c>
      <c r="C4" s="47" t="s">
        <v>2642</v>
      </c>
      <c r="D4" s="47" t="s">
        <v>2643</v>
      </c>
      <c r="E4" s="47" t="s">
        <v>2644</v>
      </c>
    </row>
    <row r="5" spans="1:10" ht="27.75" customHeight="1">
      <c r="A5" s="101" t="s">
        <v>2645</v>
      </c>
      <c r="B5" s="49" t="s">
        <v>2646</v>
      </c>
      <c r="C5" s="49" t="s">
        <v>2647</v>
      </c>
      <c r="D5" s="49" t="s">
        <v>2648</v>
      </c>
      <c r="E5" s="102" t="s">
        <v>2649</v>
      </c>
    </row>
    <row r="6" spans="1:10" ht="27.75" customHeight="1">
      <c r="A6" s="103" t="s">
        <v>2650</v>
      </c>
      <c r="B6" s="25" t="s">
        <v>2651</v>
      </c>
      <c r="C6" s="25" t="s">
        <v>2652</v>
      </c>
      <c r="D6" s="25" t="s">
        <v>2653</v>
      </c>
      <c r="E6" s="32" t="s">
        <v>2654</v>
      </c>
    </row>
    <row r="7" spans="1:10" ht="27.75" customHeight="1">
      <c r="A7" s="101" t="s">
        <v>2655</v>
      </c>
      <c r="B7" s="49" t="s">
        <v>2656</v>
      </c>
      <c r="C7" s="49" t="s">
        <v>2657</v>
      </c>
      <c r="D7" s="49" t="s">
        <v>2658</v>
      </c>
      <c r="E7" s="102" t="s">
        <v>2659</v>
      </c>
    </row>
    <row r="8" spans="1:10" ht="27.75" customHeight="1">
      <c r="A8" s="103" t="s">
        <v>2660</v>
      </c>
      <c r="B8" s="25" t="s">
        <v>2661</v>
      </c>
      <c r="C8" s="25" t="s">
        <v>2662</v>
      </c>
      <c r="D8" s="25" t="s">
        <v>2663</v>
      </c>
      <c r="E8" s="32" t="s">
        <v>2664</v>
      </c>
    </row>
    <row r="9" spans="1:10" ht="27.75" customHeight="1">
      <c r="A9" s="101" t="s">
        <v>2665</v>
      </c>
      <c r="B9" s="49" t="s">
        <v>2666</v>
      </c>
      <c r="C9" s="49" t="s">
        <v>2667</v>
      </c>
      <c r="D9" s="49" t="s">
        <v>2668</v>
      </c>
      <c r="E9" s="102" t="s">
        <v>2669</v>
      </c>
    </row>
    <row r="10" spans="1:10" ht="27.75" customHeight="1">
      <c r="A10" s="103" t="s">
        <v>2670</v>
      </c>
      <c r="B10" s="25" t="s">
        <v>2671</v>
      </c>
      <c r="C10" s="25" t="s">
        <v>2672</v>
      </c>
      <c r="D10" s="25" t="s">
        <v>2673</v>
      </c>
      <c r="E10" s="32" t="s">
        <v>2674</v>
      </c>
    </row>
    <row r="11" spans="1:10" ht="27.75" customHeight="1">
      <c r="A11" s="101" t="s">
        <v>2675</v>
      </c>
      <c r="B11" s="49" t="s">
        <v>2676</v>
      </c>
      <c r="C11" s="49" t="s">
        <v>2677</v>
      </c>
      <c r="D11" s="49" t="s">
        <v>2678</v>
      </c>
      <c r="E11" s="102" t="s">
        <v>2679</v>
      </c>
    </row>
    <row r="12" spans="1:10" ht="27.75" customHeight="1">
      <c r="A12" s="103" t="s">
        <v>2680</v>
      </c>
      <c r="B12" s="25" t="s">
        <v>2681</v>
      </c>
      <c r="C12" s="25" t="s">
        <v>2682</v>
      </c>
      <c r="D12" s="25" t="s">
        <v>2683</v>
      </c>
      <c r="E12" s="32" t="s">
        <v>2684</v>
      </c>
    </row>
    <row r="14" spans="1:10" ht="25.5" customHeight="1">
      <c r="A14" s="162" t="s">
        <v>2685</v>
      </c>
      <c r="B14" s="144"/>
      <c r="C14" s="144"/>
      <c r="D14" s="144"/>
      <c r="E14" s="144"/>
      <c r="F14" s="144"/>
      <c r="G14" s="144"/>
      <c r="H14" s="144"/>
      <c r="I14" s="144"/>
      <c r="J14" s="145"/>
    </row>
    <row r="15" spans="1:10" ht="21.75" customHeight="1">
      <c r="A15" s="169" t="s">
        <v>2686</v>
      </c>
      <c r="B15" s="144"/>
      <c r="C15" s="144"/>
      <c r="D15" s="144"/>
      <c r="E15" s="144"/>
      <c r="F15" s="144"/>
      <c r="G15" s="144"/>
      <c r="H15" s="144"/>
      <c r="I15" s="144"/>
      <c r="J15" s="145"/>
    </row>
    <row r="16" spans="1:10" ht="18" customHeight="1">
      <c r="A16" s="170" t="s">
        <v>2687</v>
      </c>
      <c r="B16" s="144"/>
      <c r="C16" s="144"/>
      <c r="D16" s="144"/>
      <c r="E16" s="144"/>
      <c r="F16" s="144"/>
      <c r="G16" s="144"/>
      <c r="H16" s="144"/>
      <c r="I16" s="144"/>
      <c r="J16" s="145"/>
    </row>
    <row r="17" spans="1:10" ht="18" customHeight="1">
      <c r="A17" s="170" t="s">
        <v>2688</v>
      </c>
      <c r="B17" s="144"/>
      <c r="C17" s="144"/>
      <c r="D17" s="144"/>
      <c r="E17" s="144"/>
      <c r="F17" s="144"/>
      <c r="G17" s="144"/>
      <c r="H17" s="144"/>
      <c r="I17" s="144"/>
      <c r="J17" s="145"/>
    </row>
    <row r="18" spans="1:10" ht="18" customHeight="1">
      <c r="A18" s="170" t="s">
        <v>2689</v>
      </c>
      <c r="B18" s="144"/>
      <c r="C18" s="144"/>
      <c r="D18" s="144"/>
      <c r="E18" s="144"/>
      <c r="F18" s="144"/>
      <c r="G18" s="144"/>
      <c r="H18" s="144"/>
      <c r="I18" s="144"/>
      <c r="J18" s="145"/>
    </row>
    <row r="19" spans="1:10" ht="18" customHeight="1">
      <c r="A19" s="170" t="s">
        <v>2690</v>
      </c>
      <c r="B19" s="144"/>
      <c r="C19" s="144"/>
      <c r="D19" s="144"/>
      <c r="E19" s="144"/>
      <c r="F19" s="144"/>
      <c r="G19" s="144"/>
      <c r="H19" s="144"/>
      <c r="I19" s="144"/>
      <c r="J19" s="145"/>
    </row>
    <row r="20" spans="1:10" ht="18" customHeight="1">
      <c r="A20" s="170" t="s">
        <v>2691</v>
      </c>
      <c r="B20" s="144"/>
      <c r="C20" s="144"/>
      <c r="D20" s="144"/>
      <c r="E20" s="144"/>
      <c r="F20" s="144"/>
      <c r="G20" s="144"/>
      <c r="H20" s="144"/>
      <c r="I20" s="144"/>
      <c r="J20" s="145"/>
    </row>
    <row r="21" spans="1:10" ht="18" customHeight="1">
      <c r="A21" s="170" t="s">
        <v>2692</v>
      </c>
      <c r="B21" s="144"/>
      <c r="C21" s="144"/>
      <c r="D21" s="144"/>
      <c r="E21" s="144"/>
      <c r="F21" s="144"/>
      <c r="G21" s="144"/>
      <c r="H21" s="144"/>
      <c r="I21" s="144"/>
      <c r="J21" s="145"/>
    </row>
    <row r="22" spans="1:10" ht="15.75" customHeight="1"/>
    <row r="23" spans="1:10" ht="21.75" customHeight="1">
      <c r="A23" s="160" t="s">
        <v>2693</v>
      </c>
      <c r="B23" s="144"/>
      <c r="C23" s="144"/>
      <c r="D23" s="144"/>
      <c r="E23" s="144"/>
      <c r="F23" s="144"/>
      <c r="G23" s="144"/>
      <c r="H23" s="144"/>
      <c r="I23" s="144"/>
      <c r="J23" s="145"/>
    </row>
    <row r="24" spans="1:10" ht="18" customHeight="1">
      <c r="A24" s="170" t="s">
        <v>2694</v>
      </c>
      <c r="B24" s="144"/>
      <c r="C24" s="144"/>
      <c r="D24" s="144"/>
      <c r="E24" s="144"/>
      <c r="F24" s="144"/>
      <c r="G24" s="144"/>
      <c r="H24" s="144"/>
      <c r="I24" s="144"/>
      <c r="J24" s="145"/>
    </row>
    <row r="25" spans="1:10" ht="18" customHeight="1">
      <c r="A25" s="170" t="s">
        <v>2695</v>
      </c>
      <c r="B25" s="144"/>
      <c r="C25" s="144"/>
      <c r="D25" s="144"/>
      <c r="E25" s="144"/>
      <c r="F25" s="144"/>
      <c r="G25" s="144"/>
      <c r="H25" s="144"/>
      <c r="I25" s="144"/>
      <c r="J25" s="145"/>
    </row>
    <row r="26" spans="1:10" ht="18" customHeight="1">
      <c r="A26" s="170" t="s">
        <v>2696</v>
      </c>
      <c r="B26" s="144"/>
      <c r="C26" s="144"/>
      <c r="D26" s="144"/>
      <c r="E26" s="144"/>
      <c r="F26" s="144"/>
      <c r="G26" s="144"/>
      <c r="H26" s="144"/>
      <c r="I26" s="144"/>
      <c r="J26" s="145"/>
    </row>
    <row r="27" spans="1:10" ht="18" customHeight="1">
      <c r="A27" s="170" t="s">
        <v>2697</v>
      </c>
      <c r="B27" s="144"/>
      <c r="C27" s="144"/>
      <c r="D27" s="144"/>
      <c r="E27" s="144"/>
      <c r="F27" s="144"/>
      <c r="G27" s="144"/>
      <c r="H27" s="144"/>
      <c r="I27" s="144"/>
      <c r="J27" s="145"/>
    </row>
    <row r="28" spans="1:10" ht="18" customHeight="1">
      <c r="A28" s="170" t="s">
        <v>2698</v>
      </c>
      <c r="B28" s="144"/>
      <c r="C28" s="144"/>
      <c r="D28" s="144"/>
      <c r="E28" s="144"/>
      <c r="F28" s="144"/>
      <c r="G28" s="144"/>
      <c r="H28" s="144"/>
      <c r="I28" s="144"/>
      <c r="J28" s="145"/>
    </row>
    <row r="29" spans="1:10" ht="18" customHeight="1">
      <c r="A29" s="170" t="s">
        <v>2699</v>
      </c>
      <c r="B29" s="144"/>
      <c r="C29" s="144"/>
      <c r="D29" s="144"/>
      <c r="E29" s="144"/>
      <c r="F29" s="144"/>
      <c r="G29" s="144"/>
      <c r="H29" s="144"/>
      <c r="I29" s="144"/>
      <c r="J29" s="145"/>
    </row>
    <row r="30" spans="1:10" ht="15.75" customHeight="1"/>
    <row r="31" spans="1:10" ht="21.75" customHeight="1">
      <c r="A31" s="171" t="s">
        <v>2700</v>
      </c>
      <c r="B31" s="144"/>
      <c r="C31" s="144"/>
      <c r="D31" s="144"/>
      <c r="E31" s="144"/>
      <c r="F31" s="144"/>
      <c r="G31" s="144"/>
      <c r="H31" s="144"/>
      <c r="I31" s="144"/>
      <c r="J31" s="145"/>
    </row>
    <row r="32" spans="1:10" ht="18" customHeight="1">
      <c r="A32" s="170" t="s">
        <v>2701</v>
      </c>
      <c r="B32" s="144"/>
      <c r="C32" s="144"/>
      <c r="D32" s="144"/>
      <c r="E32" s="144"/>
      <c r="F32" s="144"/>
      <c r="G32" s="144"/>
      <c r="H32" s="144"/>
      <c r="I32" s="144"/>
      <c r="J32" s="145"/>
    </row>
    <row r="33" spans="1:10" ht="18" customHeight="1">
      <c r="A33" s="170" t="s">
        <v>2702</v>
      </c>
      <c r="B33" s="144"/>
      <c r="C33" s="144"/>
      <c r="D33" s="144"/>
      <c r="E33" s="144"/>
      <c r="F33" s="144"/>
      <c r="G33" s="144"/>
      <c r="H33" s="144"/>
      <c r="I33" s="144"/>
      <c r="J33" s="145"/>
    </row>
    <row r="34" spans="1:10" ht="18" customHeight="1">
      <c r="A34" s="170" t="s">
        <v>2703</v>
      </c>
      <c r="B34" s="144"/>
      <c r="C34" s="144"/>
      <c r="D34" s="144"/>
      <c r="E34" s="144"/>
      <c r="F34" s="144"/>
      <c r="G34" s="144"/>
      <c r="H34" s="144"/>
      <c r="I34" s="144"/>
      <c r="J34" s="145"/>
    </row>
    <row r="35" spans="1:10" ht="18" customHeight="1">
      <c r="A35" s="170" t="s">
        <v>2704</v>
      </c>
      <c r="B35" s="144"/>
      <c r="C35" s="144"/>
      <c r="D35" s="144"/>
      <c r="E35" s="144"/>
      <c r="F35" s="144"/>
      <c r="G35" s="144"/>
      <c r="H35" s="144"/>
      <c r="I35" s="144"/>
      <c r="J35" s="145"/>
    </row>
    <row r="36" spans="1:10" ht="18" customHeight="1">
      <c r="A36" s="170" t="s">
        <v>2705</v>
      </c>
      <c r="B36" s="144"/>
      <c r="C36" s="144"/>
      <c r="D36" s="144"/>
      <c r="E36" s="144"/>
      <c r="F36" s="144"/>
      <c r="G36" s="144"/>
      <c r="H36" s="144"/>
      <c r="I36" s="144"/>
      <c r="J36" s="145"/>
    </row>
    <row r="37" spans="1:10" ht="18" customHeight="1">
      <c r="A37" s="170" t="s">
        <v>2706</v>
      </c>
      <c r="B37" s="144"/>
      <c r="C37" s="144"/>
      <c r="D37" s="144"/>
      <c r="E37" s="144"/>
      <c r="F37" s="144"/>
      <c r="G37" s="144"/>
      <c r="H37" s="144"/>
      <c r="I37" s="144"/>
      <c r="J37" s="145"/>
    </row>
    <row r="38" spans="1:10" ht="15.75" customHeight="1"/>
    <row r="39" spans="1:10" ht="21.75" customHeight="1">
      <c r="A39" s="149" t="s">
        <v>2707</v>
      </c>
      <c r="B39" s="144"/>
      <c r="C39" s="144"/>
      <c r="D39" s="144"/>
      <c r="E39" s="144"/>
      <c r="F39" s="144"/>
      <c r="G39" s="144"/>
      <c r="H39" s="144"/>
      <c r="I39" s="144"/>
      <c r="J39" s="145"/>
    </row>
    <row r="40" spans="1:10" ht="18" customHeight="1">
      <c r="A40" s="170" t="s">
        <v>2708</v>
      </c>
      <c r="B40" s="144"/>
      <c r="C40" s="144"/>
      <c r="D40" s="144"/>
      <c r="E40" s="144"/>
      <c r="F40" s="144"/>
      <c r="G40" s="144"/>
      <c r="H40" s="144"/>
      <c r="I40" s="144"/>
      <c r="J40" s="145"/>
    </row>
    <row r="41" spans="1:10" ht="18" customHeight="1">
      <c r="A41" s="170" t="s">
        <v>2709</v>
      </c>
      <c r="B41" s="144"/>
      <c r="C41" s="144"/>
      <c r="D41" s="144"/>
      <c r="E41" s="144"/>
      <c r="F41" s="144"/>
      <c r="G41" s="144"/>
      <c r="H41" s="144"/>
      <c r="I41" s="144"/>
      <c r="J41" s="145"/>
    </row>
    <row r="42" spans="1:10" ht="18" customHeight="1">
      <c r="A42" s="170" t="s">
        <v>2710</v>
      </c>
      <c r="B42" s="144"/>
      <c r="C42" s="144"/>
      <c r="D42" s="144"/>
      <c r="E42" s="144"/>
      <c r="F42" s="144"/>
      <c r="G42" s="144"/>
      <c r="H42" s="144"/>
      <c r="I42" s="144"/>
      <c r="J42" s="145"/>
    </row>
    <row r="43" spans="1:10" ht="18" customHeight="1">
      <c r="A43" s="170" t="s">
        <v>2711</v>
      </c>
      <c r="B43" s="144"/>
      <c r="C43" s="144"/>
      <c r="D43" s="144"/>
      <c r="E43" s="144"/>
      <c r="F43" s="144"/>
      <c r="G43" s="144"/>
      <c r="H43" s="144"/>
      <c r="I43" s="144"/>
      <c r="J43" s="145"/>
    </row>
    <row r="44" spans="1:10" ht="18" customHeight="1">
      <c r="A44" s="170" t="s">
        <v>2712</v>
      </c>
      <c r="B44" s="144"/>
      <c r="C44" s="144"/>
      <c r="D44" s="144"/>
      <c r="E44" s="144"/>
      <c r="F44" s="144"/>
      <c r="G44" s="144"/>
      <c r="H44" s="144"/>
      <c r="I44" s="144"/>
      <c r="J44" s="145"/>
    </row>
    <row r="45" spans="1:10" ht="18" customHeight="1">
      <c r="A45" s="170" t="s">
        <v>2713</v>
      </c>
      <c r="B45" s="144"/>
      <c r="C45" s="144"/>
      <c r="D45" s="144"/>
      <c r="E45" s="144"/>
      <c r="F45" s="144"/>
      <c r="G45" s="144"/>
      <c r="H45" s="144"/>
      <c r="I45" s="144"/>
      <c r="J45" s="145"/>
    </row>
    <row r="46" spans="1:10" ht="15.75" customHeight="1"/>
    <row r="47" spans="1:10" ht="15.75" customHeight="1"/>
    <row r="48" spans="1:10" ht="25.5" customHeight="1">
      <c r="A48" s="168" t="s">
        <v>2714</v>
      </c>
      <c r="B48" s="144"/>
      <c r="C48" s="144"/>
      <c r="D48" s="144"/>
      <c r="E48" s="144"/>
      <c r="F48" s="144"/>
      <c r="G48" s="144"/>
      <c r="H48" s="144"/>
      <c r="I48" s="144"/>
      <c r="J48" s="145"/>
    </row>
    <row r="49" spans="1:10" ht="21.75" customHeight="1">
      <c r="A49" s="104" t="s">
        <v>2715</v>
      </c>
      <c r="B49" s="172"/>
      <c r="C49" s="173"/>
      <c r="D49" s="173"/>
      <c r="E49" s="173"/>
      <c r="F49" s="176" t="s">
        <v>2716</v>
      </c>
      <c r="G49" s="140"/>
      <c r="H49" s="140"/>
      <c r="I49" s="140"/>
      <c r="J49" s="141"/>
    </row>
    <row r="50" spans="1:10" ht="21.75" customHeight="1">
      <c r="A50" s="105" t="s">
        <v>2717</v>
      </c>
      <c r="B50" s="172"/>
      <c r="C50" s="173"/>
      <c r="D50" s="173"/>
      <c r="E50" s="173"/>
      <c r="F50" s="175" t="s">
        <v>2718</v>
      </c>
      <c r="G50" s="140"/>
      <c r="H50" s="140"/>
      <c r="I50" s="140"/>
      <c r="J50" s="141"/>
    </row>
    <row r="51" spans="1:10" ht="21.75" customHeight="1">
      <c r="A51" s="106" t="s">
        <v>2719</v>
      </c>
      <c r="B51" s="172"/>
      <c r="C51" s="173"/>
      <c r="D51" s="173"/>
      <c r="E51" s="173"/>
      <c r="F51" s="174" t="s">
        <v>2720</v>
      </c>
      <c r="G51" s="140"/>
      <c r="H51" s="140"/>
      <c r="I51" s="140"/>
      <c r="J51" s="141"/>
    </row>
    <row r="52" spans="1:10" ht="21.75" customHeight="1">
      <c r="A52" s="105" t="s">
        <v>2721</v>
      </c>
      <c r="B52" s="172"/>
      <c r="C52" s="173"/>
      <c r="D52" s="173"/>
      <c r="E52" s="173"/>
      <c r="F52" s="175" t="s">
        <v>2722</v>
      </c>
      <c r="G52" s="140"/>
      <c r="H52" s="140"/>
      <c r="I52" s="140"/>
      <c r="J52" s="141"/>
    </row>
    <row r="53" spans="1:10" ht="21.75" customHeight="1">
      <c r="A53" s="106" t="s">
        <v>2723</v>
      </c>
      <c r="B53" s="172"/>
      <c r="C53" s="173"/>
      <c r="D53" s="173"/>
      <c r="E53" s="173"/>
      <c r="F53" s="174" t="s">
        <v>2724</v>
      </c>
      <c r="G53" s="140"/>
      <c r="H53" s="140"/>
      <c r="I53" s="140"/>
      <c r="J53" s="141"/>
    </row>
    <row r="54" spans="1:10" ht="21.75" customHeight="1">
      <c r="A54" s="105" t="s">
        <v>2725</v>
      </c>
      <c r="B54" s="172"/>
      <c r="C54" s="173"/>
      <c r="D54" s="173"/>
      <c r="E54" s="173"/>
      <c r="F54" s="175" t="s">
        <v>2726</v>
      </c>
      <c r="G54" s="140"/>
      <c r="H54" s="140"/>
      <c r="I54" s="140"/>
      <c r="J54" s="141"/>
    </row>
    <row r="55" spans="1:10" ht="21.75" customHeight="1">
      <c r="A55" s="106" t="s">
        <v>2727</v>
      </c>
      <c r="B55" s="172"/>
      <c r="C55" s="173"/>
      <c r="D55" s="173"/>
      <c r="E55" s="173"/>
      <c r="F55" s="174" t="s">
        <v>2728</v>
      </c>
      <c r="G55" s="140"/>
      <c r="H55" s="140"/>
      <c r="I55" s="140"/>
      <c r="J55" s="141"/>
    </row>
    <row r="56" spans="1:10" ht="21.75" customHeight="1">
      <c r="A56" s="105" t="s">
        <v>2729</v>
      </c>
      <c r="B56" s="172"/>
      <c r="C56" s="173"/>
      <c r="D56" s="173"/>
      <c r="E56" s="173"/>
      <c r="F56" s="175" t="s">
        <v>2730</v>
      </c>
      <c r="G56" s="140"/>
      <c r="H56" s="140"/>
      <c r="I56" s="140"/>
      <c r="J56" s="141"/>
    </row>
    <row r="57" spans="1:10" ht="21.75" customHeight="1">
      <c r="A57" s="106" t="s">
        <v>2731</v>
      </c>
      <c r="B57" s="172"/>
      <c r="C57" s="173"/>
      <c r="D57" s="173"/>
      <c r="E57" s="173"/>
      <c r="F57" s="174" t="s">
        <v>2732</v>
      </c>
      <c r="G57" s="140"/>
      <c r="H57" s="140"/>
      <c r="I57" s="140"/>
      <c r="J57" s="141"/>
    </row>
    <row r="58" spans="1:10" ht="15.75" customHeight="1"/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B57:E57"/>
    <mergeCell ref="F51:J51"/>
    <mergeCell ref="F52:J52"/>
    <mergeCell ref="F53:J53"/>
    <mergeCell ref="F54:J54"/>
    <mergeCell ref="F55:J55"/>
    <mergeCell ref="F56:J56"/>
    <mergeCell ref="F57:J57"/>
    <mergeCell ref="B52:E52"/>
    <mergeCell ref="B53:E53"/>
    <mergeCell ref="B54:E54"/>
    <mergeCell ref="B55:E55"/>
    <mergeCell ref="B56:E56"/>
    <mergeCell ref="A40:J40"/>
    <mergeCell ref="A41:J41"/>
    <mergeCell ref="A42:J42"/>
    <mergeCell ref="B50:E50"/>
    <mergeCell ref="B51:E51"/>
    <mergeCell ref="A43:J43"/>
    <mergeCell ref="A44:J44"/>
    <mergeCell ref="A45:J45"/>
    <mergeCell ref="A48:J48"/>
    <mergeCell ref="B49:E49"/>
    <mergeCell ref="F49:J49"/>
    <mergeCell ref="F50:J50"/>
    <mergeCell ref="A34:J34"/>
    <mergeCell ref="A35:J35"/>
    <mergeCell ref="A36:J36"/>
    <mergeCell ref="A37:J37"/>
    <mergeCell ref="A39:J39"/>
    <mergeCell ref="A28:J28"/>
    <mergeCell ref="A29:J29"/>
    <mergeCell ref="A31:J31"/>
    <mergeCell ref="A32:J32"/>
    <mergeCell ref="A33:J33"/>
    <mergeCell ref="A23:J23"/>
    <mergeCell ref="A24:J24"/>
    <mergeCell ref="A25:J25"/>
    <mergeCell ref="A26:J26"/>
    <mergeCell ref="A27:J27"/>
    <mergeCell ref="A17:J17"/>
    <mergeCell ref="A18:J18"/>
    <mergeCell ref="A19:J19"/>
    <mergeCell ref="A20:J20"/>
    <mergeCell ref="A21:J21"/>
    <mergeCell ref="A1:J1"/>
    <mergeCell ref="A3:J3"/>
    <mergeCell ref="A14:J14"/>
    <mergeCell ref="A15:J15"/>
    <mergeCell ref="A16:J16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B2777"/>
  </sheetPr>
  <dimension ref="A1:P1000"/>
  <sheetViews>
    <sheetView showGridLines="0" topLeftCell="A25" workbookViewId="0">
      <selection sqref="A1:P1"/>
    </sheetView>
  </sheetViews>
  <sheetFormatPr defaultColWidth="14.44140625" defaultRowHeight="15" customHeight="1"/>
  <cols>
    <col min="1" max="3" width="14" customWidth="1"/>
    <col min="4" max="4" width="12" customWidth="1"/>
    <col min="5" max="6" width="10" customWidth="1"/>
    <col min="7" max="7" width="3" customWidth="1"/>
    <col min="8" max="10" width="14" customWidth="1"/>
    <col min="11" max="11" width="12" customWidth="1"/>
    <col min="12" max="12" width="10" customWidth="1"/>
    <col min="13" max="13" width="3" customWidth="1"/>
    <col min="14" max="16" width="14" customWidth="1"/>
    <col min="17" max="26" width="8.6640625" customWidth="1"/>
  </cols>
  <sheetData>
    <row r="1" spans="1:16" ht="39.75" customHeight="1">
      <c r="A1" s="177" t="s">
        <v>2733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5"/>
    </row>
    <row r="2" spans="1:16" ht="18" customHeight="1">
      <c r="A2" s="178" t="s">
        <v>2734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5"/>
    </row>
    <row r="3" spans="1:16" ht="18" customHeight="1"/>
    <row r="4" spans="1:16" ht="15.75" customHeight="1">
      <c r="A4" s="179" t="s">
        <v>2735</v>
      </c>
      <c r="B4" s="180"/>
      <c r="C4" s="181"/>
      <c r="D4" s="182" t="s">
        <v>2736</v>
      </c>
      <c r="E4" s="183"/>
      <c r="F4" s="184"/>
      <c r="G4" s="185" t="s">
        <v>2737</v>
      </c>
      <c r="H4" s="186"/>
      <c r="I4" s="187"/>
      <c r="J4" s="179" t="s">
        <v>2738</v>
      </c>
      <c r="K4" s="180"/>
      <c r="L4" s="181"/>
      <c r="M4" s="188" t="s">
        <v>2739</v>
      </c>
      <c r="N4" s="189"/>
      <c r="O4" s="190"/>
    </row>
    <row r="5" spans="1:16" ht="33.75" customHeight="1">
      <c r="A5" s="197" t="s">
        <v>2740</v>
      </c>
      <c r="B5" s="144"/>
      <c r="C5" s="198"/>
      <c r="D5" s="199" t="s">
        <v>2741</v>
      </c>
      <c r="E5" s="144"/>
      <c r="F5" s="200"/>
      <c r="G5" s="201" t="s">
        <v>2742</v>
      </c>
      <c r="H5" s="144"/>
      <c r="I5" s="202"/>
      <c r="J5" s="197" t="s">
        <v>2743</v>
      </c>
      <c r="K5" s="144"/>
      <c r="L5" s="198"/>
      <c r="M5" s="203" t="s">
        <v>2744</v>
      </c>
      <c r="N5" s="144"/>
      <c r="O5" s="204"/>
    </row>
    <row r="6" spans="1:16" ht="15.75" customHeight="1">
      <c r="A6" s="194" t="s">
        <v>2745</v>
      </c>
      <c r="B6" s="195"/>
      <c r="C6" s="196"/>
      <c r="D6" s="205" t="s">
        <v>2746</v>
      </c>
      <c r="E6" s="206"/>
      <c r="F6" s="207"/>
      <c r="G6" s="191" t="s">
        <v>2747</v>
      </c>
      <c r="H6" s="192"/>
      <c r="I6" s="193"/>
      <c r="J6" s="194" t="s">
        <v>2748</v>
      </c>
      <c r="K6" s="195"/>
      <c r="L6" s="196"/>
      <c r="M6" s="208" t="s">
        <v>2749</v>
      </c>
      <c r="N6" s="209"/>
      <c r="O6" s="210"/>
    </row>
    <row r="7" spans="1:16" ht="7.5" customHeight="1">
      <c r="A7" s="172"/>
      <c r="B7" s="173"/>
      <c r="C7" s="173"/>
      <c r="D7" s="172"/>
      <c r="E7" s="173"/>
      <c r="F7" s="173"/>
      <c r="G7" s="172"/>
      <c r="H7" s="173"/>
      <c r="I7" s="173"/>
      <c r="J7" s="172"/>
      <c r="K7" s="173"/>
      <c r="L7" s="173"/>
      <c r="M7" s="172"/>
      <c r="N7" s="173"/>
      <c r="O7" s="173"/>
    </row>
    <row r="8" spans="1:16" ht="13.5" customHeight="1"/>
    <row r="9" spans="1:16" ht="21.75" customHeight="1">
      <c r="A9" s="169" t="s">
        <v>2750</v>
      </c>
      <c r="B9" s="144"/>
      <c r="C9" s="144"/>
      <c r="D9" s="144"/>
      <c r="E9" s="144"/>
      <c r="F9" s="145"/>
      <c r="H9" s="160" t="s">
        <v>2751</v>
      </c>
      <c r="I9" s="144"/>
      <c r="J9" s="144"/>
      <c r="K9" s="144"/>
      <c r="L9" s="145"/>
    </row>
    <row r="10" spans="1:16" ht="18" customHeight="1">
      <c r="A10" s="107" t="s">
        <v>41</v>
      </c>
      <c r="B10" s="107" t="s">
        <v>2630</v>
      </c>
      <c r="C10" s="107" t="s">
        <v>2612</v>
      </c>
      <c r="D10" s="107" t="s">
        <v>2752</v>
      </c>
      <c r="E10" s="107" t="s">
        <v>2631</v>
      </c>
      <c r="F10" s="107" t="s">
        <v>2342</v>
      </c>
      <c r="H10" s="107" t="s">
        <v>2615</v>
      </c>
      <c r="I10" s="107" t="s">
        <v>2753</v>
      </c>
      <c r="J10" s="107" t="s">
        <v>2612</v>
      </c>
      <c r="K10" s="107" t="s">
        <v>2754</v>
      </c>
      <c r="L10" s="107" t="s">
        <v>2755</v>
      </c>
    </row>
    <row r="11" spans="1:16" ht="18" customHeight="1">
      <c r="A11" s="108" t="s">
        <v>123</v>
      </c>
      <c r="B11" s="109" t="s">
        <v>2756</v>
      </c>
      <c r="C11" s="17">
        <v>127</v>
      </c>
      <c r="D11" s="110" t="s">
        <v>2757</v>
      </c>
      <c r="E11" s="111" t="s">
        <v>2758</v>
      </c>
      <c r="F11" s="109" t="s">
        <v>2759</v>
      </c>
      <c r="H11" s="67" t="s">
        <v>2760</v>
      </c>
      <c r="I11" s="112" t="s">
        <v>2761</v>
      </c>
      <c r="J11" s="67">
        <v>42</v>
      </c>
      <c r="K11" s="112" t="s">
        <v>2762</v>
      </c>
      <c r="L11" s="112" t="s">
        <v>2763</v>
      </c>
    </row>
    <row r="12" spans="1:16" ht="18" customHeight="1">
      <c r="A12" s="113" t="s">
        <v>63</v>
      </c>
      <c r="B12" s="114" t="s">
        <v>2764</v>
      </c>
      <c r="C12" s="13">
        <v>185</v>
      </c>
      <c r="D12" s="115" t="s">
        <v>2765</v>
      </c>
      <c r="E12" s="116" t="s">
        <v>2766</v>
      </c>
      <c r="F12" s="114" t="s">
        <v>2767</v>
      </c>
      <c r="H12" s="117" t="s">
        <v>2768</v>
      </c>
      <c r="I12" s="118" t="s">
        <v>2769</v>
      </c>
      <c r="J12" s="117">
        <v>38</v>
      </c>
      <c r="K12" s="20" t="s">
        <v>2770</v>
      </c>
      <c r="L12" s="20" t="s">
        <v>2771</v>
      </c>
    </row>
    <row r="13" spans="1:16" ht="18" customHeight="1">
      <c r="A13" s="108" t="s">
        <v>306</v>
      </c>
      <c r="B13" s="109" t="s">
        <v>2772</v>
      </c>
      <c r="C13" s="17">
        <v>86</v>
      </c>
      <c r="D13" s="110" t="s">
        <v>2773</v>
      </c>
      <c r="E13" s="111" t="s">
        <v>2774</v>
      </c>
      <c r="F13" s="109" t="s">
        <v>2775</v>
      </c>
      <c r="H13" s="67" t="s">
        <v>2776</v>
      </c>
      <c r="I13" s="112" t="s">
        <v>2777</v>
      </c>
      <c r="J13" s="67">
        <v>51</v>
      </c>
      <c r="K13" s="112" t="s">
        <v>2778</v>
      </c>
      <c r="L13" s="112" t="s">
        <v>2763</v>
      </c>
    </row>
    <row r="14" spans="1:16" ht="18" customHeight="1">
      <c r="A14" s="113" t="s">
        <v>80</v>
      </c>
      <c r="B14" s="114" t="s">
        <v>2779</v>
      </c>
      <c r="C14" s="13">
        <v>152</v>
      </c>
      <c r="D14" s="115" t="s">
        <v>2773</v>
      </c>
      <c r="E14" s="116" t="s">
        <v>2780</v>
      </c>
      <c r="F14" s="114" t="s">
        <v>2759</v>
      </c>
      <c r="H14" s="67" t="s">
        <v>2781</v>
      </c>
      <c r="I14" s="112" t="s">
        <v>2782</v>
      </c>
      <c r="J14" s="67">
        <v>47</v>
      </c>
      <c r="K14" s="119" t="s">
        <v>2783</v>
      </c>
      <c r="L14" s="112" t="s">
        <v>2763</v>
      </c>
    </row>
    <row r="15" spans="1:16" ht="18" customHeight="1">
      <c r="H15" s="67" t="s">
        <v>2784</v>
      </c>
      <c r="I15" s="112" t="s">
        <v>2785</v>
      </c>
      <c r="J15" s="67">
        <v>62</v>
      </c>
      <c r="K15" s="112" t="s">
        <v>2786</v>
      </c>
      <c r="L15" s="112" t="s">
        <v>2763</v>
      </c>
    </row>
    <row r="16" spans="1:16" ht="12" customHeight="1">
      <c r="H16" s="67" t="s">
        <v>2787</v>
      </c>
      <c r="I16" s="112" t="s">
        <v>2788</v>
      </c>
      <c r="J16" s="67">
        <v>59</v>
      </c>
      <c r="K16" s="119" t="s">
        <v>2789</v>
      </c>
      <c r="L16" s="112" t="s">
        <v>2763</v>
      </c>
    </row>
    <row r="17" spans="1:16" ht="21.75" customHeight="1">
      <c r="A17" s="171" t="s">
        <v>2790</v>
      </c>
      <c r="B17" s="144"/>
      <c r="C17" s="144"/>
      <c r="D17" s="144"/>
      <c r="E17" s="144"/>
      <c r="F17" s="145"/>
      <c r="H17" s="149" t="s">
        <v>2791</v>
      </c>
      <c r="I17" s="144"/>
      <c r="J17" s="144"/>
      <c r="K17" s="144"/>
      <c r="L17" s="145"/>
    </row>
    <row r="18" spans="1:16" ht="18" customHeight="1">
      <c r="A18" s="107" t="s">
        <v>44</v>
      </c>
      <c r="B18" s="107" t="s">
        <v>2630</v>
      </c>
      <c r="C18" s="107" t="s">
        <v>2792</v>
      </c>
      <c r="D18" s="107" t="s">
        <v>2612</v>
      </c>
      <c r="E18" s="107" t="s">
        <v>2793</v>
      </c>
      <c r="F18" s="107" t="s">
        <v>2794</v>
      </c>
      <c r="H18" s="107" t="s">
        <v>2635</v>
      </c>
      <c r="I18" s="107" t="s">
        <v>44</v>
      </c>
      <c r="J18" s="107" t="s">
        <v>2753</v>
      </c>
      <c r="K18" s="107" t="s">
        <v>2612</v>
      </c>
      <c r="L18" s="107" t="s">
        <v>2794</v>
      </c>
    </row>
    <row r="19" spans="1:16" ht="19.5" customHeight="1">
      <c r="A19" s="120" t="s">
        <v>99</v>
      </c>
      <c r="B19" s="109" t="s">
        <v>2795</v>
      </c>
      <c r="C19" s="121" t="s">
        <v>2796</v>
      </c>
      <c r="D19" s="17">
        <v>275</v>
      </c>
      <c r="E19" s="110" t="s">
        <v>2773</v>
      </c>
      <c r="F19" s="122">
        <v>1</v>
      </c>
      <c r="H19" s="17" t="s">
        <v>220</v>
      </c>
      <c r="I19" s="123" t="s">
        <v>99</v>
      </c>
      <c r="J19" s="124" t="s">
        <v>2797</v>
      </c>
      <c r="K19" s="17">
        <v>10</v>
      </c>
      <c r="L19" s="110">
        <v>1</v>
      </c>
    </row>
    <row r="20" spans="1:16" ht="19.5" customHeight="1">
      <c r="A20" s="125" t="s">
        <v>112</v>
      </c>
      <c r="B20" s="114" t="s">
        <v>2798</v>
      </c>
      <c r="C20" s="126" t="s">
        <v>2799</v>
      </c>
      <c r="D20" s="13">
        <v>165</v>
      </c>
      <c r="E20" s="115" t="s">
        <v>2800</v>
      </c>
      <c r="F20" s="127">
        <v>2</v>
      </c>
      <c r="H20" s="117" t="s">
        <v>2801</v>
      </c>
      <c r="I20" s="128" t="s">
        <v>99</v>
      </c>
      <c r="J20" s="118" t="s">
        <v>2802</v>
      </c>
      <c r="K20" s="117">
        <v>10</v>
      </c>
      <c r="L20" s="129">
        <v>2</v>
      </c>
    </row>
    <row r="21" spans="1:16" ht="19.5" customHeight="1">
      <c r="A21" s="130" t="s">
        <v>139</v>
      </c>
      <c r="B21" s="109" t="s">
        <v>2803</v>
      </c>
      <c r="C21" s="121" t="s">
        <v>2804</v>
      </c>
      <c r="D21" s="17">
        <v>82</v>
      </c>
      <c r="E21" s="110" t="s">
        <v>2773</v>
      </c>
      <c r="F21" s="122">
        <v>3</v>
      </c>
      <c r="H21" s="17" t="s">
        <v>2637</v>
      </c>
      <c r="I21" s="123" t="s">
        <v>139</v>
      </c>
      <c r="J21" s="124" t="s">
        <v>2761</v>
      </c>
      <c r="K21" s="17">
        <v>10</v>
      </c>
      <c r="L21" s="110">
        <v>3</v>
      </c>
    </row>
    <row r="22" spans="1:16" ht="19.5" customHeight="1">
      <c r="A22" s="114" t="s">
        <v>66</v>
      </c>
      <c r="B22" s="114" t="s">
        <v>2805</v>
      </c>
      <c r="C22" s="126" t="s">
        <v>2806</v>
      </c>
      <c r="D22" s="13">
        <v>120</v>
      </c>
      <c r="E22" s="115" t="s">
        <v>2807</v>
      </c>
      <c r="F22" s="127">
        <v>4</v>
      </c>
      <c r="H22" s="117" t="s">
        <v>2808</v>
      </c>
      <c r="I22" s="128" t="s">
        <v>139</v>
      </c>
      <c r="J22" s="118" t="s">
        <v>2769</v>
      </c>
      <c r="K22" s="117">
        <v>10</v>
      </c>
      <c r="L22" s="129">
        <v>4</v>
      </c>
    </row>
    <row r="23" spans="1:16" ht="19.5" customHeight="1">
      <c r="A23" s="131" t="s">
        <v>83</v>
      </c>
      <c r="B23" s="109" t="s">
        <v>2809</v>
      </c>
      <c r="C23" s="121" t="s">
        <v>2810</v>
      </c>
      <c r="D23" s="17">
        <v>32</v>
      </c>
      <c r="E23" s="110" t="s">
        <v>2773</v>
      </c>
      <c r="F23" s="122">
        <v>5</v>
      </c>
      <c r="H23" s="17" t="s">
        <v>2811</v>
      </c>
      <c r="I23" s="123" t="s">
        <v>99</v>
      </c>
      <c r="J23" s="124" t="s">
        <v>2812</v>
      </c>
      <c r="K23" s="17">
        <v>10</v>
      </c>
      <c r="L23" s="110">
        <v>5</v>
      </c>
    </row>
    <row r="24" spans="1:16" ht="18" customHeight="1"/>
    <row r="25" spans="1:16" ht="31.5" customHeight="1">
      <c r="A25" s="211" t="s">
        <v>2813</v>
      </c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5"/>
    </row>
    <row r="26" spans="1:16" ht="18" customHeight="1"/>
    <row r="27" spans="1:16" ht="15.75" customHeight="1"/>
    <row r="28" spans="1:16" ht="15.75" customHeight="1"/>
    <row r="29" spans="1:16" ht="15.75" customHeight="1"/>
    <row r="30" spans="1:16" ht="15.75" customHeight="1"/>
    <row r="31" spans="1:16" ht="15.75" customHeight="1"/>
    <row r="32" spans="1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25:P25"/>
    <mergeCell ref="A6:C6"/>
    <mergeCell ref="A7:C7"/>
    <mergeCell ref="D7:F7"/>
    <mergeCell ref="G7:I7"/>
    <mergeCell ref="J7:L7"/>
    <mergeCell ref="M7:O7"/>
    <mergeCell ref="H9:L9"/>
    <mergeCell ref="M5:O5"/>
    <mergeCell ref="D6:F6"/>
    <mergeCell ref="M6:O6"/>
    <mergeCell ref="A9:F9"/>
    <mergeCell ref="A17:F17"/>
    <mergeCell ref="H17:L17"/>
    <mergeCell ref="G6:I6"/>
    <mergeCell ref="J6:L6"/>
    <mergeCell ref="A5:C5"/>
    <mergeCell ref="D5:F5"/>
    <mergeCell ref="G5:I5"/>
    <mergeCell ref="J5:L5"/>
    <mergeCell ref="A1:P1"/>
    <mergeCell ref="A2:P2"/>
    <mergeCell ref="A4:C4"/>
    <mergeCell ref="D4:F4"/>
    <mergeCell ref="G4:I4"/>
    <mergeCell ref="J4:L4"/>
    <mergeCell ref="M4:O4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A8A04"/>
  </sheetPr>
  <dimension ref="A1:M1000"/>
  <sheetViews>
    <sheetView workbookViewId="0">
      <selection sqref="A1:J1"/>
    </sheetView>
  </sheetViews>
  <sheetFormatPr defaultColWidth="14.44140625" defaultRowHeight="15" customHeight="1"/>
  <cols>
    <col min="1" max="1" width="10" customWidth="1"/>
    <col min="2" max="2" width="48" customWidth="1"/>
    <col min="3" max="3" width="18" customWidth="1"/>
    <col min="4" max="4" width="14" customWidth="1"/>
    <col min="5" max="5" width="12" customWidth="1"/>
    <col min="6" max="6" width="10" customWidth="1"/>
    <col min="7" max="7" width="8" customWidth="1"/>
    <col min="8" max="8" width="12" customWidth="1"/>
    <col min="9" max="9" width="10" customWidth="1"/>
    <col min="10" max="10" width="14" customWidth="1"/>
    <col min="11" max="11" width="12" customWidth="1"/>
    <col min="12" max="12" width="10" customWidth="1"/>
    <col min="13" max="13" width="16" customWidth="1"/>
    <col min="14" max="26" width="8.6640625" customWidth="1"/>
  </cols>
  <sheetData>
    <row r="1" spans="1:10" ht="25.5" customHeight="1">
      <c r="A1" s="212" t="s">
        <v>2814</v>
      </c>
      <c r="B1" s="144"/>
      <c r="C1" s="144"/>
      <c r="D1" s="144"/>
      <c r="E1" s="144"/>
      <c r="F1" s="144"/>
      <c r="G1" s="144"/>
      <c r="H1" s="144"/>
      <c r="I1" s="144"/>
      <c r="J1" s="145"/>
    </row>
    <row r="2" spans="1:10" ht="25.5" customHeight="1">
      <c r="A2" s="213" t="s">
        <v>2815</v>
      </c>
      <c r="B2" s="144"/>
      <c r="C2" s="144"/>
      <c r="D2" s="144"/>
      <c r="E2" s="144"/>
      <c r="F2" s="144"/>
      <c r="G2" s="144"/>
      <c r="H2" s="144"/>
      <c r="I2" s="144"/>
      <c r="J2" s="145"/>
    </row>
    <row r="3" spans="1:10" ht="25.5" customHeight="1">
      <c r="A3" s="154" t="s">
        <v>2816</v>
      </c>
      <c r="B3" s="144"/>
      <c r="C3" s="144"/>
      <c r="D3" s="144"/>
      <c r="E3" s="144"/>
      <c r="F3" s="144"/>
      <c r="G3" s="144"/>
      <c r="H3" s="144"/>
      <c r="I3" s="144"/>
      <c r="J3" s="145"/>
    </row>
    <row r="4" spans="1:10" ht="14.4">
      <c r="A4" s="1" t="s">
        <v>2337</v>
      </c>
      <c r="B4" s="1" t="s">
        <v>2817</v>
      </c>
      <c r="C4" s="1" t="s">
        <v>2818</v>
      </c>
      <c r="D4" s="1" t="s">
        <v>2819</v>
      </c>
      <c r="E4" s="1" t="s">
        <v>2820</v>
      </c>
    </row>
    <row r="5" spans="1:10" ht="21.75" customHeight="1">
      <c r="A5" s="132">
        <v>1</v>
      </c>
      <c r="B5" s="3" t="s">
        <v>2821</v>
      </c>
      <c r="C5" s="133" t="s">
        <v>2822</v>
      </c>
      <c r="D5" s="134">
        <v>10</v>
      </c>
      <c r="E5" s="135"/>
    </row>
    <row r="6" spans="1:10" ht="21.75" customHeight="1">
      <c r="A6" s="136">
        <v>2</v>
      </c>
      <c r="B6" s="5" t="s">
        <v>2823</v>
      </c>
      <c r="C6" s="137" t="s">
        <v>2824</v>
      </c>
      <c r="D6" s="138">
        <v>10</v>
      </c>
      <c r="E6" s="135"/>
    </row>
    <row r="7" spans="1:10" ht="21.75" customHeight="1">
      <c r="A7" s="132">
        <v>3</v>
      </c>
      <c r="B7" s="3" t="s">
        <v>2825</v>
      </c>
      <c r="C7" s="133" t="s">
        <v>2826</v>
      </c>
      <c r="D7" s="134">
        <v>10</v>
      </c>
      <c r="E7" s="135"/>
    </row>
    <row r="8" spans="1:10" ht="21.75" customHeight="1">
      <c r="A8" s="136">
        <v>4</v>
      </c>
      <c r="B8" s="5" t="s">
        <v>2827</v>
      </c>
      <c r="C8" s="137" t="s">
        <v>2828</v>
      </c>
      <c r="D8" s="138">
        <v>10</v>
      </c>
      <c r="E8" s="135"/>
    </row>
    <row r="9" spans="1:10" ht="21.75" customHeight="1">
      <c r="A9" s="132">
        <v>5</v>
      </c>
      <c r="B9" s="3" t="s">
        <v>2829</v>
      </c>
      <c r="C9" s="133" t="s">
        <v>2830</v>
      </c>
      <c r="D9" s="134">
        <v>10</v>
      </c>
      <c r="E9" s="135"/>
    </row>
    <row r="10" spans="1:10" ht="21.75" customHeight="1">
      <c r="A10" s="136">
        <v>6</v>
      </c>
      <c r="B10" s="5" t="s">
        <v>2831</v>
      </c>
      <c r="C10" s="137" t="s">
        <v>2832</v>
      </c>
      <c r="D10" s="138">
        <v>10</v>
      </c>
      <c r="E10" s="135"/>
    </row>
    <row r="11" spans="1:10" ht="21.75" customHeight="1">
      <c r="A11" s="132">
        <v>7</v>
      </c>
      <c r="B11" s="3" t="s">
        <v>2833</v>
      </c>
      <c r="C11" s="133" t="s">
        <v>2834</v>
      </c>
      <c r="D11" s="134">
        <v>15</v>
      </c>
      <c r="E11" s="135"/>
    </row>
    <row r="12" spans="1:10" ht="21.75" customHeight="1">
      <c r="A12" s="136">
        <v>8</v>
      </c>
      <c r="B12" s="5" t="s">
        <v>2835</v>
      </c>
      <c r="C12" s="137" t="s">
        <v>2836</v>
      </c>
      <c r="D12" s="138">
        <v>15</v>
      </c>
      <c r="E12" s="135"/>
    </row>
    <row r="13" spans="1:10" ht="21.75" customHeight="1">
      <c r="A13" s="132">
        <v>9</v>
      </c>
      <c r="B13" s="3" t="s">
        <v>2837</v>
      </c>
      <c r="C13" s="133" t="s">
        <v>2838</v>
      </c>
      <c r="D13" s="134">
        <v>10</v>
      </c>
      <c r="E13" s="135"/>
    </row>
    <row r="14" spans="1:10" ht="25.5" customHeight="1">
      <c r="A14" s="214" t="s">
        <v>2839</v>
      </c>
      <c r="B14" s="144"/>
      <c r="C14" s="144"/>
      <c r="D14" s="144"/>
      <c r="E14" s="145"/>
    </row>
    <row r="16" spans="1:10" ht="25.5" customHeight="1">
      <c r="A16" s="168" t="s">
        <v>2840</v>
      </c>
      <c r="B16" s="144"/>
      <c r="C16" s="144"/>
      <c r="D16" s="144"/>
      <c r="E16" s="144"/>
      <c r="F16" s="144"/>
      <c r="G16" s="144"/>
      <c r="H16" s="144"/>
      <c r="I16" s="144"/>
      <c r="J16" s="145"/>
    </row>
    <row r="17" spans="1:13" ht="18" customHeight="1">
      <c r="A17" s="94" t="s">
        <v>2841</v>
      </c>
      <c r="B17" s="94" t="s">
        <v>2842</v>
      </c>
      <c r="C17" s="94" t="s">
        <v>2843</v>
      </c>
      <c r="D17" s="94" t="s">
        <v>39</v>
      </c>
      <c r="E17" s="94" t="s">
        <v>2844</v>
      </c>
      <c r="F17" s="94" t="s">
        <v>2845</v>
      </c>
      <c r="G17" s="94" t="s">
        <v>2846</v>
      </c>
      <c r="H17" s="94" t="s">
        <v>2847</v>
      </c>
      <c r="I17" s="94" t="s">
        <v>2848</v>
      </c>
      <c r="J17" s="94" t="s">
        <v>2849</v>
      </c>
      <c r="K17" s="94" t="s">
        <v>2850</v>
      </c>
      <c r="L17" s="94" t="s">
        <v>2603</v>
      </c>
      <c r="M17" s="94" t="s">
        <v>2851</v>
      </c>
    </row>
    <row r="18" spans="1:13" ht="15.75" customHeight="1">
      <c r="A18" s="17" t="s">
        <v>2852</v>
      </c>
      <c r="B18" s="18" t="s">
        <v>2853</v>
      </c>
      <c r="C18" s="18" t="s">
        <v>2854</v>
      </c>
      <c r="D18" s="18" t="s">
        <v>485</v>
      </c>
      <c r="E18" s="18" t="s">
        <v>2855</v>
      </c>
      <c r="F18" s="17">
        <v>3</v>
      </c>
      <c r="G18" s="17">
        <v>8.31</v>
      </c>
      <c r="H18" s="17">
        <v>99</v>
      </c>
      <c r="I18" s="17">
        <v>2</v>
      </c>
      <c r="J18" s="17" t="s">
        <v>2856</v>
      </c>
      <c r="K18" s="17">
        <v>8.9</v>
      </c>
      <c r="L18" s="17" t="s">
        <v>2857</v>
      </c>
      <c r="M18" s="17">
        <v>2024</v>
      </c>
    </row>
    <row r="19" spans="1:13" ht="15.75" customHeight="1">
      <c r="A19" s="13" t="s">
        <v>2858</v>
      </c>
      <c r="B19" s="14" t="s">
        <v>2859</v>
      </c>
      <c r="C19" s="14" t="s">
        <v>2860</v>
      </c>
      <c r="D19" s="14" t="s">
        <v>172</v>
      </c>
      <c r="E19" s="14" t="s">
        <v>2855</v>
      </c>
      <c r="F19" s="13">
        <v>4</v>
      </c>
      <c r="G19" s="13">
        <v>8.48</v>
      </c>
      <c r="H19" s="13">
        <v>68</v>
      </c>
      <c r="I19" s="13">
        <v>5</v>
      </c>
      <c r="J19" s="13" t="s">
        <v>2861</v>
      </c>
      <c r="K19" s="13">
        <v>13.6</v>
      </c>
      <c r="L19" s="13" t="s">
        <v>2605</v>
      </c>
      <c r="M19" s="13" t="s">
        <v>2862</v>
      </c>
    </row>
    <row r="20" spans="1:13" ht="15.75" customHeight="1">
      <c r="A20" s="17" t="s">
        <v>2863</v>
      </c>
      <c r="B20" s="18" t="s">
        <v>2864</v>
      </c>
      <c r="C20" s="18" t="s">
        <v>2865</v>
      </c>
      <c r="D20" s="18" t="s">
        <v>485</v>
      </c>
      <c r="E20" s="18" t="s">
        <v>2866</v>
      </c>
      <c r="F20" s="17">
        <v>1</v>
      </c>
      <c r="G20" s="17">
        <v>5.33</v>
      </c>
      <c r="H20" s="17">
        <v>98.7</v>
      </c>
      <c r="I20" s="17">
        <v>2</v>
      </c>
      <c r="J20" s="17" t="s">
        <v>2867</v>
      </c>
      <c r="K20" s="17">
        <v>14.1</v>
      </c>
      <c r="L20" s="17" t="s">
        <v>2868</v>
      </c>
      <c r="M20" s="17">
        <v>2024</v>
      </c>
    </row>
    <row r="21" spans="1:13" ht="15.75" customHeight="1">
      <c r="A21" s="13" t="s">
        <v>2869</v>
      </c>
      <c r="B21" s="14" t="s">
        <v>2870</v>
      </c>
      <c r="C21" s="14" t="s">
        <v>2871</v>
      </c>
      <c r="D21" s="14" t="s">
        <v>172</v>
      </c>
      <c r="E21" s="14" t="s">
        <v>2872</v>
      </c>
      <c r="F21" s="13">
        <v>7</v>
      </c>
      <c r="G21" s="13">
        <v>5.14</v>
      </c>
      <c r="H21" s="13">
        <v>85.8</v>
      </c>
      <c r="I21" s="13">
        <v>4</v>
      </c>
      <c r="J21" s="13" t="s">
        <v>2861</v>
      </c>
      <c r="K21" s="13">
        <v>4.7</v>
      </c>
      <c r="L21" s="13" t="s">
        <v>2857</v>
      </c>
      <c r="M21" s="13" t="s">
        <v>2862</v>
      </c>
    </row>
    <row r="22" spans="1:13" ht="15.75" customHeight="1">
      <c r="A22" s="17" t="s">
        <v>2873</v>
      </c>
      <c r="B22" s="18" t="s">
        <v>2874</v>
      </c>
      <c r="C22" s="18" t="s">
        <v>2875</v>
      </c>
      <c r="D22" s="18" t="s">
        <v>122</v>
      </c>
      <c r="E22" s="18" t="s">
        <v>2855</v>
      </c>
      <c r="F22" s="17">
        <v>1</v>
      </c>
      <c r="G22" s="17">
        <v>10.15</v>
      </c>
      <c r="H22" s="17">
        <v>75.099999999999994</v>
      </c>
      <c r="I22" s="17">
        <v>0</v>
      </c>
      <c r="J22" s="17" t="s">
        <v>2856</v>
      </c>
      <c r="K22" s="17"/>
      <c r="L22" s="17" t="s">
        <v>2876</v>
      </c>
      <c r="M22" s="17">
        <v>2025</v>
      </c>
    </row>
    <row r="23" spans="1:13" ht="15.75" customHeight="1">
      <c r="A23" s="13" t="s">
        <v>2873</v>
      </c>
      <c r="B23" s="14" t="s">
        <v>291</v>
      </c>
      <c r="C23" s="14" t="s">
        <v>2860</v>
      </c>
      <c r="D23" s="14" t="s">
        <v>172</v>
      </c>
      <c r="E23" s="14" t="s">
        <v>2877</v>
      </c>
      <c r="F23" s="13">
        <v>6</v>
      </c>
      <c r="G23" s="13">
        <v>5.78</v>
      </c>
      <c r="H23" s="13">
        <v>95.7</v>
      </c>
      <c r="I23" s="13">
        <v>4</v>
      </c>
      <c r="J23" s="13" t="s">
        <v>2856</v>
      </c>
      <c r="K23" s="13"/>
      <c r="L23" s="13" t="s">
        <v>2878</v>
      </c>
      <c r="M23" s="13" t="s">
        <v>2862</v>
      </c>
    </row>
    <row r="24" spans="1:13" ht="15.75" customHeight="1">
      <c r="A24" s="17" t="s">
        <v>2879</v>
      </c>
      <c r="B24" s="18" t="s">
        <v>2880</v>
      </c>
      <c r="C24" s="18" t="s">
        <v>2881</v>
      </c>
      <c r="D24" s="18" t="s">
        <v>122</v>
      </c>
      <c r="E24" s="18" t="s">
        <v>2877</v>
      </c>
      <c r="F24" s="17">
        <v>2</v>
      </c>
      <c r="G24" s="17">
        <v>9.16</v>
      </c>
      <c r="H24" s="17">
        <v>52.2</v>
      </c>
      <c r="I24" s="17">
        <v>4</v>
      </c>
      <c r="J24" s="17" t="s">
        <v>2861</v>
      </c>
      <c r="K24" s="17">
        <v>18.899999999999999</v>
      </c>
      <c r="L24" s="17" t="s">
        <v>2868</v>
      </c>
      <c r="M24" s="17">
        <v>2023</v>
      </c>
    </row>
    <row r="25" spans="1:13" ht="15.75" customHeight="1">
      <c r="A25" s="13" t="s">
        <v>2882</v>
      </c>
      <c r="B25" s="14" t="s">
        <v>291</v>
      </c>
      <c r="C25" s="14" t="s">
        <v>2875</v>
      </c>
      <c r="D25" s="14" t="s">
        <v>172</v>
      </c>
      <c r="E25" s="14" t="s">
        <v>2872</v>
      </c>
      <c r="F25" s="13">
        <v>7</v>
      </c>
      <c r="G25" s="13">
        <v>10.35</v>
      </c>
      <c r="H25" s="13">
        <v>68.599999999999994</v>
      </c>
      <c r="I25" s="13">
        <v>5</v>
      </c>
      <c r="J25" s="13" t="s">
        <v>2861</v>
      </c>
      <c r="K25" s="13">
        <v>19.5</v>
      </c>
      <c r="L25" s="13" t="s">
        <v>2606</v>
      </c>
      <c r="M25" s="13">
        <v>2023</v>
      </c>
    </row>
    <row r="26" spans="1:13" ht="15.75" customHeight="1">
      <c r="A26" s="17" t="s">
        <v>2883</v>
      </c>
      <c r="B26" s="18" t="s">
        <v>2859</v>
      </c>
      <c r="C26" s="18" t="s">
        <v>2875</v>
      </c>
      <c r="D26" s="18" t="s">
        <v>61</v>
      </c>
      <c r="E26" s="18" t="s">
        <v>2884</v>
      </c>
      <c r="F26" s="17">
        <v>4</v>
      </c>
      <c r="G26" s="17">
        <v>7.47</v>
      </c>
      <c r="H26" s="17">
        <v>56.3</v>
      </c>
      <c r="I26" s="17">
        <v>3</v>
      </c>
      <c r="J26" s="17" t="s">
        <v>2856</v>
      </c>
      <c r="K26" s="17">
        <v>8.6999999999999993</v>
      </c>
      <c r="L26" s="17" t="s">
        <v>2604</v>
      </c>
      <c r="M26" s="17">
        <v>2024</v>
      </c>
    </row>
    <row r="27" spans="1:13" ht="15.75" customHeight="1">
      <c r="A27" s="13" t="s">
        <v>2885</v>
      </c>
      <c r="B27" s="14" t="s">
        <v>2859</v>
      </c>
      <c r="C27" s="14" t="s">
        <v>2865</v>
      </c>
      <c r="D27" s="14" t="s">
        <v>151</v>
      </c>
      <c r="E27" s="14" t="s">
        <v>2886</v>
      </c>
      <c r="F27" s="13">
        <v>1</v>
      </c>
      <c r="G27" s="13">
        <v>10.220000000000001</v>
      </c>
      <c r="H27" s="13">
        <v>102.5</v>
      </c>
      <c r="I27" s="13">
        <v>4</v>
      </c>
      <c r="J27" s="13" t="s">
        <v>2867</v>
      </c>
      <c r="K27" s="13"/>
      <c r="L27" s="13" t="s">
        <v>2857</v>
      </c>
      <c r="M27" s="13">
        <v>2023</v>
      </c>
    </row>
    <row r="28" spans="1:13" ht="15.75" customHeight="1">
      <c r="A28" s="17" t="s">
        <v>2887</v>
      </c>
      <c r="B28" s="18"/>
      <c r="C28" s="18" t="s">
        <v>2871</v>
      </c>
      <c r="D28" s="18" t="s">
        <v>439</v>
      </c>
      <c r="E28" s="18" t="s">
        <v>2886</v>
      </c>
      <c r="F28" s="17">
        <v>1</v>
      </c>
      <c r="G28" s="17">
        <v>8.93</v>
      </c>
      <c r="H28" s="17">
        <v>72.8</v>
      </c>
      <c r="I28" s="17">
        <v>2</v>
      </c>
      <c r="J28" s="17" t="s">
        <v>2888</v>
      </c>
      <c r="K28" s="17"/>
      <c r="L28" s="17" t="s">
        <v>2605</v>
      </c>
      <c r="M28" s="17" t="s">
        <v>2862</v>
      </c>
    </row>
    <row r="29" spans="1:13" ht="15.75" customHeight="1">
      <c r="A29" s="13" t="s">
        <v>2889</v>
      </c>
      <c r="B29" s="14" t="s">
        <v>2890</v>
      </c>
      <c r="C29" s="14" t="s">
        <v>2865</v>
      </c>
      <c r="D29" s="14" t="s">
        <v>439</v>
      </c>
      <c r="E29" s="14" t="s">
        <v>2855</v>
      </c>
      <c r="F29" s="13">
        <v>5</v>
      </c>
      <c r="G29" s="13">
        <v>9.94</v>
      </c>
      <c r="H29" s="13">
        <v>59</v>
      </c>
      <c r="I29" s="13">
        <v>4</v>
      </c>
      <c r="J29" s="13" t="s">
        <v>2867</v>
      </c>
      <c r="K29" s="13"/>
      <c r="L29" s="13" t="s">
        <v>2606</v>
      </c>
      <c r="M29" s="13">
        <v>2025</v>
      </c>
    </row>
    <row r="30" spans="1:13" ht="15.75" customHeight="1">
      <c r="A30" s="17" t="s">
        <v>2891</v>
      </c>
      <c r="B30" s="18" t="s">
        <v>2892</v>
      </c>
      <c r="C30" s="18" t="s">
        <v>2893</v>
      </c>
      <c r="D30" s="18" t="s">
        <v>61</v>
      </c>
      <c r="E30" s="18" t="s">
        <v>2872</v>
      </c>
      <c r="F30" s="17">
        <v>5</v>
      </c>
      <c r="G30" s="17">
        <v>9.59</v>
      </c>
      <c r="H30" s="17">
        <v>91.5</v>
      </c>
      <c r="I30" s="17">
        <v>3</v>
      </c>
      <c r="J30" s="17" t="s">
        <v>2856</v>
      </c>
      <c r="K30" s="17"/>
      <c r="L30" s="17" t="s">
        <v>2857</v>
      </c>
      <c r="M30" s="17">
        <v>2025</v>
      </c>
    </row>
    <row r="31" spans="1:13" ht="15.75" customHeight="1">
      <c r="A31" s="13" t="s">
        <v>2894</v>
      </c>
      <c r="B31" s="14" t="s">
        <v>2859</v>
      </c>
      <c r="C31" s="14" t="s">
        <v>2875</v>
      </c>
      <c r="D31" s="14" t="s">
        <v>151</v>
      </c>
      <c r="E31" s="14" t="s">
        <v>2872</v>
      </c>
      <c r="F31" s="13">
        <v>5</v>
      </c>
      <c r="G31" s="13">
        <v>6.02</v>
      </c>
      <c r="H31" s="13">
        <v>52.3</v>
      </c>
      <c r="I31" s="13">
        <v>5</v>
      </c>
      <c r="J31" s="13" t="s">
        <v>2888</v>
      </c>
      <c r="K31" s="13">
        <v>19.3</v>
      </c>
      <c r="L31" s="13" t="s">
        <v>2868</v>
      </c>
      <c r="M31" s="13" t="s">
        <v>2862</v>
      </c>
    </row>
    <row r="32" spans="1:13" ht="15.75" customHeight="1">
      <c r="A32" s="17" t="s">
        <v>2895</v>
      </c>
      <c r="B32" s="18" t="s">
        <v>291</v>
      </c>
      <c r="C32" s="18" t="s">
        <v>2871</v>
      </c>
      <c r="D32" s="18" t="s">
        <v>439</v>
      </c>
      <c r="E32" s="18" t="s">
        <v>2884</v>
      </c>
      <c r="F32" s="17">
        <v>5</v>
      </c>
      <c r="G32" s="17">
        <v>7.55</v>
      </c>
      <c r="H32" s="17">
        <v>85.6</v>
      </c>
      <c r="I32" s="17">
        <v>0</v>
      </c>
      <c r="J32" s="17" t="s">
        <v>2861</v>
      </c>
      <c r="K32" s="17"/>
      <c r="L32" s="17" t="s">
        <v>2896</v>
      </c>
      <c r="M32" s="17" t="s">
        <v>2862</v>
      </c>
    </row>
    <row r="33" spans="1:13" ht="15.75" customHeight="1">
      <c r="A33" s="13" t="s">
        <v>2897</v>
      </c>
      <c r="B33" s="14" t="s">
        <v>2859</v>
      </c>
      <c r="C33" s="14" t="s">
        <v>2893</v>
      </c>
      <c r="D33" s="14" t="s">
        <v>172</v>
      </c>
      <c r="E33" s="14" t="s">
        <v>2898</v>
      </c>
      <c r="F33" s="13">
        <v>5</v>
      </c>
      <c r="G33" s="13">
        <v>7.75</v>
      </c>
      <c r="H33" s="13">
        <v>89.6</v>
      </c>
      <c r="I33" s="13">
        <v>5</v>
      </c>
      <c r="J33" s="13" t="s">
        <v>2861</v>
      </c>
      <c r="K33" s="13">
        <v>13.1</v>
      </c>
      <c r="L33" s="13" t="s">
        <v>2605</v>
      </c>
      <c r="M33" s="13">
        <v>2023</v>
      </c>
    </row>
    <row r="34" spans="1:13" ht="15.75" customHeight="1">
      <c r="A34" s="17" t="s">
        <v>2899</v>
      </c>
      <c r="B34" s="18" t="s">
        <v>2900</v>
      </c>
      <c r="C34" s="18" t="s">
        <v>2893</v>
      </c>
      <c r="D34" s="18" t="s">
        <v>151</v>
      </c>
      <c r="E34" s="18" t="s">
        <v>2898</v>
      </c>
      <c r="F34" s="17">
        <v>3</v>
      </c>
      <c r="G34" s="17">
        <v>9.69</v>
      </c>
      <c r="H34" s="17">
        <v>84.1</v>
      </c>
      <c r="I34" s="17">
        <v>0</v>
      </c>
      <c r="J34" s="17" t="s">
        <v>2856</v>
      </c>
      <c r="K34" s="17">
        <v>23.8</v>
      </c>
      <c r="L34" s="17" t="s">
        <v>2876</v>
      </c>
      <c r="M34" s="17">
        <v>2024</v>
      </c>
    </row>
    <row r="35" spans="1:13" ht="15.75" customHeight="1">
      <c r="A35" s="13" t="s">
        <v>2901</v>
      </c>
      <c r="B35" s="14"/>
      <c r="C35" s="14" t="s">
        <v>2854</v>
      </c>
      <c r="D35" s="14" t="s">
        <v>61</v>
      </c>
      <c r="E35" s="14" t="s">
        <v>2884</v>
      </c>
      <c r="F35" s="13">
        <v>5</v>
      </c>
      <c r="G35" s="13">
        <v>6.05</v>
      </c>
      <c r="H35" s="13">
        <v>73.3</v>
      </c>
      <c r="I35" s="13">
        <v>1</v>
      </c>
      <c r="J35" s="13" t="s">
        <v>2867</v>
      </c>
      <c r="K35" s="13">
        <v>4.7</v>
      </c>
      <c r="L35" s="13" t="s">
        <v>2857</v>
      </c>
      <c r="M35" s="13">
        <v>2024</v>
      </c>
    </row>
    <row r="36" spans="1:13" ht="15.75" customHeight="1">
      <c r="A36" s="17" t="s">
        <v>2902</v>
      </c>
      <c r="B36" s="18" t="s">
        <v>2874</v>
      </c>
      <c r="C36" s="18" t="s">
        <v>2881</v>
      </c>
      <c r="D36" s="18" t="s">
        <v>61</v>
      </c>
      <c r="E36" s="18" t="s">
        <v>2884</v>
      </c>
      <c r="F36" s="17">
        <v>4</v>
      </c>
      <c r="G36" s="17">
        <v>10.06</v>
      </c>
      <c r="H36" s="17">
        <v>90.9</v>
      </c>
      <c r="I36" s="17">
        <v>3</v>
      </c>
      <c r="J36" s="17" t="s">
        <v>2903</v>
      </c>
      <c r="K36" s="17">
        <v>3.7</v>
      </c>
      <c r="L36" s="17" t="s">
        <v>2606</v>
      </c>
      <c r="M36" s="17" t="s">
        <v>2862</v>
      </c>
    </row>
    <row r="37" spans="1:13" ht="15.75" customHeight="1">
      <c r="A37" s="13" t="s">
        <v>2904</v>
      </c>
      <c r="B37" s="14" t="s">
        <v>2870</v>
      </c>
      <c r="C37" s="14" t="s">
        <v>2893</v>
      </c>
      <c r="D37" s="14" t="s">
        <v>151</v>
      </c>
      <c r="E37" s="14" t="s">
        <v>2886</v>
      </c>
      <c r="F37" s="13">
        <v>1</v>
      </c>
      <c r="G37" s="13">
        <v>5.12</v>
      </c>
      <c r="H37" s="13">
        <v>81</v>
      </c>
      <c r="I37" s="13">
        <v>0</v>
      </c>
      <c r="J37" s="13" t="s">
        <v>2905</v>
      </c>
      <c r="K37" s="13"/>
      <c r="L37" s="13" t="s">
        <v>2906</v>
      </c>
      <c r="M37" s="13">
        <v>2025</v>
      </c>
    </row>
    <row r="38" spans="1:13" ht="15.75" customHeight="1">
      <c r="A38" s="17" t="s">
        <v>2907</v>
      </c>
      <c r="B38" s="18" t="s">
        <v>2908</v>
      </c>
      <c r="C38" s="18" t="s">
        <v>2865</v>
      </c>
      <c r="D38" s="18" t="s">
        <v>228</v>
      </c>
      <c r="E38" s="18" t="s">
        <v>2872</v>
      </c>
      <c r="F38" s="17">
        <v>8</v>
      </c>
      <c r="G38" s="17">
        <v>5.96</v>
      </c>
      <c r="H38" s="17">
        <v>50.7</v>
      </c>
      <c r="I38" s="17">
        <v>1</v>
      </c>
      <c r="J38" s="17" t="s">
        <v>2867</v>
      </c>
      <c r="K38" s="17">
        <v>17.399999999999999</v>
      </c>
      <c r="L38" s="17" t="s">
        <v>2604</v>
      </c>
      <c r="M38" s="17" t="s">
        <v>2862</v>
      </c>
    </row>
    <row r="39" spans="1:13" ht="15.75" customHeight="1">
      <c r="A39" s="13" t="s">
        <v>2909</v>
      </c>
      <c r="B39" s="14" t="s">
        <v>2859</v>
      </c>
      <c r="C39" s="14" t="s">
        <v>2854</v>
      </c>
      <c r="D39" s="14" t="s">
        <v>485</v>
      </c>
      <c r="E39" s="14" t="s">
        <v>2886</v>
      </c>
      <c r="F39" s="13">
        <v>8</v>
      </c>
      <c r="G39" s="13">
        <v>6.29</v>
      </c>
      <c r="H39" s="13">
        <v>74.599999999999994</v>
      </c>
      <c r="I39" s="13">
        <v>1</v>
      </c>
      <c r="J39" s="13" t="s">
        <v>2888</v>
      </c>
      <c r="K39" s="13"/>
      <c r="L39" s="13" t="s">
        <v>2604</v>
      </c>
      <c r="M39" s="13" t="s">
        <v>2862</v>
      </c>
    </row>
    <row r="40" spans="1:13" ht="15.75" customHeight="1">
      <c r="A40" s="17" t="s">
        <v>2910</v>
      </c>
      <c r="B40" s="18" t="s">
        <v>291</v>
      </c>
      <c r="C40" s="18" t="s">
        <v>2865</v>
      </c>
      <c r="D40" s="18" t="s">
        <v>439</v>
      </c>
      <c r="E40" s="18" t="s">
        <v>2898</v>
      </c>
      <c r="F40" s="17">
        <v>3</v>
      </c>
      <c r="G40" s="17">
        <v>5.49</v>
      </c>
      <c r="H40" s="17">
        <v>70.2</v>
      </c>
      <c r="I40" s="17">
        <v>2</v>
      </c>
      <c r="J40" s="17" t="s">
        <v>2888</v>
      </c>
      <c r="K40" s="17">
        <v>15</v>
      </c>
      <c r="L40" s="17" t="s">
        <v>2876</v>
      </c>
      <c r="M40" s="17">
        <v>2025</v>
      </c>
    </row>
    <row r="41" spans="1:13" ht="15.75" customHeight="1">
      <c r="A41" s="13" t="s">
        <v>2911</v>
      </c>
      <c r="B41" s="14" t="s">
        <v>2892</v>
      </c>
      <c r="C41" s="14" t="s">
        <v>2893</v>
      </c>
      <c r="D41" s="14" t="s">
        <v>151</v>
      </c>
      <c r="E41" s="14" t="s">
        <v>2898</v>
      </c>
      <c r="F41" s="13">
        <v>7</v>
      </c>
      <c r="G41" s="13">
        <v>8.19</v>
      </c>
      <c r="H41" s="13">
        <v>70.5</v>
      </c>
      <c r="I41" s="13">
        <v>2</v>
      </c>
      <c r="J41" s="13" t="s">
        <v>2905</v>
      </c>
      <c r="K41" s="13">
        <v>19.899999999999999</v>
      </c>
      <c r="L41" s="13" t="s">
        <v>2605</v>
      </c>
      <c r="M41" s="13" t="s">
        <v>2862</v>
      </c>
    </row>
    <row r="42" spans="1:13" ht="15.75" customHeight="1">
      <c r="A42" s="17" t="s">
        <v>2912</v>
      </c>
      <c r="B42" s="18" t="s">
        <v>2892</v>
      </c>
      <c r="C42" s="18" t="s">
        <v>2881</v>
      </c>
      <c r="D42" s="18" t="s">
        <v>228</v>
      </c>
      <c r="E42" s="18" t="s">
        <v>2898</v>
      </c>
      <c r="F42" s="17">
        <v>3</v>
      </c>
      <c r="G42" s="17">
        <v>6.83</v>
      </c>
      <c r="H42" s="17">
        <v>69.7</v>
      </c>
      <c r="I42" s="17">
        <v>4</v>
      </c>
      <c r="J42" s="17" t="s">
        <v>2867</v>
      </c>
      <c r="K42" s="17">
        <v>19.600000000000001</v>
      </c>
      <c r="L42" s="17" t="s">
        <v>2606</v>
      </c>
      <c r="M42" s="17">
        <v>2024</v>
      </c>
    </row>
    <row r="43" spans="1:13" ht="15.75" customHeight="1">
      <c r="A43" s="13" t="s">
        <v>2913</v>
      </c>
      <c r="B43" s="14" t="s">
        <v>2880</v>
      </c>
      <c r="C43" s="14" t="s">
        <v>2893</v>
      </c>
      <c r="D43" s="14" t="s">
        <v>61</v>
      </c>
      <c r="E43" s="14" t="s">
        <v>2898</v>
      </c>
      <c r="F43" s="13">
        <v>1</v>
      </c>
      <c r="G43" s="13">
        <v>5.77</v>
      </c>
      <c r="H43" s="13">
        <v>94.9</v>
      </c>
      <c r="I43" s="13">
        <v>4</v>
      </c>
      <c r="J43" s="13" t="s">
        <v>2856</v>
      </c>
      <c r="K43" s="13"/>
      <c r="L43" s="13" t="s">
        <v>2604</v>
      </c>
      <c r="M43" s="13" t="s">
        <v>2862</v>
      </c>
    </row>
    <row r="44" spans="1:13" ht="15.75" customHeight="1">
      <c r="A44" s="17" t="s">
        <v>2914</v>
      </c>
      <c r="B44" s="18" t="s">
        <v>2890</v>
      </c>
      <c r="C44" s="18" t="s">
        <v>2881</v>
      </c>
      <c r="D44" s="18" t="s">
        <v>228</v>
      </c>
      <c r="E44" s="18" t="s">
        <v>2872</v>
      </c>
      <c r="F44" s="17">
        <v>6</v>
      </c>
      <c r="G44" s="17">
        <v>8.66</v>
      </c>
      <c r="H44" s="17">
        <v>59.1</v>
      </c>
      <c r="I44" s="17">
        <v>4</v>
      </c>
      <c r="J44" s="17" t="s">
        <v>2905</v>
      </c>
      <c r="K44" s="17"/>
      <c r="L44" s="17" t="s">
        <v>2606</v>
      </c>
      <c r="M44" s="17">
        <v>2025</v>
      </c>
    </row>
    <row r="45" spans="1:13" ht="15.75" customHeight="1">
      <c r="A45" s="13" t="s">
        <v>2915</v>
      </c>
      <c r="B45" s="14" t="s">
        <v>2859</v>
      </c>
      <c r="C45" s="14" t="s">
        <v>2871</v>
      </c>
      <c r="D45" s="14" t="s">
        <v>485</v>
      </c>
      <c r="E45" s="14" t="s">
        <v>2872</v>
      </c>
      <c r="F45" s="13">
        <v>4</v>
      </c>
      <c r="G45" s="13">
        <v>8.17</v>
      </c>
      <c r="H45" s="13">
        <v>91.2</v>
      </c>
      <c r="I45" s="13">
        <v>5</v>
      </c>
      <c r="J45" s="13" t="s">
        <v>2856</v>
      </c>
      <c r="K45" s="13">
        <v>24.7</v>
      </c>
      <c r="L45" s="13" t="s">
        <v>2606</v>
      </c>
      <c r="M45" s="13">
        <v>2023</v>
      </c>
    </row>
    <row r="46" spans="1:13" ht="15.75" customHeight="1">
      <c r="A46" s="17" t="s">
        <v>2916</v>
      </c>
      <c r="B46" s="18" t="s">
        <v>2853</v>
      </c>
      <c r="C46" s="18" t="s">
        <v>2875</v>
      </c>
      <c r="D46" s="18" t="s">
        <v>151</v>
      </c>
      <c r="E46" s="18" t="s">
        <v>2884</v>
      </c>
      <c r="F46" s="17">
        <v>4</v>
      </c>
      <c r="G46" s="17">
        <v>5.79</v>
      </c>
      <c r="H46" s="17">
        <v>54</v>
      </c>
      <c r="I46" s="17">
        <v>0</v>
      </c>
      <c r="J46" s="17" t="s">
        <v>2856</v>
      </c>
      <c r="K46" s="17">
        <v>8.3000000000000007</v>
      </c>
      <c r="L46" s="17" t="s">
        <v>2604</v>
      </c>
      <c r="M46" s="17" t="s">
        <v>2862</v>
      </c>
    </row>
    <row r="47" spans="1:13" ht="15.75" customHeight="1">
      <c r="A47" s="13" t="s">
        <v>2917</v>
      </c>
      <c r="B47" s="14" t="s">
        <v>2874</v>
      </c>
      <c r="C47" s="14" t="s">
        <v>2860</v>
      </c>
      <c r="D47" s="14" t="s">
        <v>151</v>
      </c>
      <c r="E47" s="14" t="s">
        <v>2886</v>
      </c>
      <c r="F47" s="13">
        <v>1</v>
      </c>
      <c r="G47" s="13">
        <v>6.14</v>
      </c>
      <c r="H47" s="13">
        <v>95.5</v>
      </c>
      <c r="I47" s="13">
        <v>5</v>
      </c>
      <c r="J47" s="13" t="s">
        <v>2903</v>
      </c>
      <c r="K47" s="13">
        <v>4.5</v>
      </c>
      <c r="L47" s="13" t="s">
        <v>2878</v>
      </c>
      <c r="M47" s="13" t="s">
        <v>2862</v>
      </c>
    </row>
    <row r="48" spans="1:13" ht="15.75" customHeight="1">
      <c r="A48" s="17" t="s">
        <v>2918</v>
      </c>
      <c r="B48" s="18" t="s">
        <v>2908</v>
      </c>
      <c r="C48" s="18" t="s">
        <v>2865</v>
      </c>
      <c r="D48" s="18" t="s">
        <v>172</v>
      </c>
      <c r="E48" s="18" t="s">
        <v>2884</v>
      </c>
      <c r="F48" s="17">
        <v>8</v>
      </c>
      <c r="G48" s="17">
        <v>7.06</v>
      </c>
      <c r="H48" s="17">
        <v>66.7</v>
      </c>
      <c r="I48" s="17">
        <v>2</v>
      </c>
      <c r="J48" s="17" t="s">
        <v>2867</v>
      </c>
      <c r="K48" s="17">
        <v>23.2</v>
      </c>
      <c r="L48" s="17" t="s">
        <v>2604</v>
      </c>
      <c r="M48" s="17" t="s">
        <v>2862</v>
      </c>
    </row>
    <row r="49" spans="1:13" ht="15.75" customHeight="1">
      <c r="A49" s="13" t="s">
        <v>2919</v>
      </c>
      <c r="B49" s="14" t="s">
        <v>2864</v>
      </c>
      <c r="C49" s="14" t="s">
        <v>2860</v>
      </c>
      <c r="D49" s="14" t="s">
        <v>151</v>
      </c>
      <c r="E49" s="14" t="s">
        <v>2886</v>
      </c>
      <c r="F49" s="13">
        <v>1</v>
      </c>
      <c r="G49" s="13">
        <v>7.6</v>
      </c>
      <c r="H49" s="13">
        <v>93.9</v>
      </c>
      <c r="I49" s="13">
        <v>3</v>
      </c>
      <c r="J49" s="13" t="s">
        <v>2856</v>
      </c>
      <c r="K49" s="13">
        <v>19.899999999999999</v>
      </c>
      <c r="L49" s="13" t="s">
        <v>2857</v>
      </c>
      <c r="M49" s="13">
        <v>2023</v>
      </c>
    </row>
    <row r="50" spans="1:13" ht="15.75" customHeight="1">
      <c r="A50" s="17" t="s">
        <v>2920</v>
      </c>
      <c r="B50" s="18" t="s">
        <v>2853</v>
      </c>
      <c r="C50" s="18" t="s">
        <v>2881</v>
      </c>
      <c r="D50" s="18" t="s">
        <v>172</v>
      </c>
      <c r="E50" s="18" t="s">
        <v>2886</v>
      </c>
      <c r="F50" s="17">
        <v>6</v>
      </c>
      <c r="G50" s="17">
        <v>6.39</v>
      </c>
      <c r="H50" s="17">
        <v>55.1</v>
      </c>
      <c r="I50" s="17">
        <v>1</v>
      </c>
      <c r="J50" s="17" t="s">
        <v>2903</v>
      </c>
      <c r="K50" s="17"/>
      <c r="L50" s="17" t="s">
        <v>2857</v>
      </c>
      <c r="M50" s="17">
        <v>2023</v>
      </c>
    </row>
    <row r="51" spans="1:13" ht="15.75" customHeight="1">
      <c r="A51" s="13" t="s">
        <v>2921</v>
      </c>
      <c r="B51" s="14"/>
      <c r="C51" s="14" t="s">
        <v>2871</v>
      </c>
      <c r="D51" s="14" t="s">
        <v>439</v>
      </c>
      <c r="E51" s="14" t="s">
        <v>2866</v>
      </c>
      <c r="F51" s="13">
        <v>1</v>
      </c>
      <c r="G51" s="13">
        <v>6.7</v>
      </c>
      <c r="H51" s="13">
        <v>92.7</v>
      </c>
      <c r="I51" s="13">
        <v>4</v>
      </c>
      <c r="J51" s="13" t="s">
        <v>2905</v>
      </c>
      <c r="K51" s="13">
        <v>7.8</v>
      </c>
      <c r="L51" s="13" t="s">
        <v>2605</v>
      </c>
      <c r="M51" s="13">
        <v>2024</v>
      </c>
    </row>
    <row r="52" spans="1:13" ht="15.75" customHeight="1">
      <c r="A52" s="17" t="s">
        <v>2922</v>
      </c>
      <c r="B52" s="18" t="s">
        <v>2853</v>
      </c>
      <c r="C52" s="18" t="s">
        <v>2881</v>
      </c>
      <c r="D52" s="18" t="s">
        <v>151</v>
      </c>
      <c r="E52" s="18" t="s">
        <v>2898</v>
      </c>
      <c r="F52" s="17">
        <v>8</v>
      </c>
      <c r="G52" s="17">
        <v>6.51</v>
      </c>
      <c r="H52" s="17">
        <v>81.099999999999994</v>
      </c>
      <c r="I52" s="17">
        <v>1</v>
      </c>
      <c r="J52" s="17" t="s">
        <v>2905</v>
      </c>
      <c r="K52" s="17">
        <v>14.8</v>
      </c>
      <c r="L52" s="17" t="s">
        <v>2878</v>
      </c>
      <c r="M52" s="17">
        <v>2024</v>
      </c>
    </row>
    <row r="53" spans="1:13" ht="15.75" customHeight="1">
      <c r="A53" s="13" t="s">
        <v>2923</v>
      </c>
      <c r="B53" s="14" t="s">
        <v>2900</v>
      </c>
      <c r="C53" s="14" t="s">
        <v>2871</v>
      </c>
      <c r="D53" s="14" t="s">
        <v>172</v>
      </c>
      <c r="E53" s="14" t="s">
        <v>2886</v>
      </c>
      <c r="F53" s="13">
        <v>4</v>
      </c>
      <c r="G53" s="13">
        <v>6.6</v>
      </c>
      <c r="H53" s="13">
        <v>68.2</v>
      </c>
      <c r="I53" s="13">
        <v>0</v>
      </c>
      <c r="J53" s="13" t="s">
        <v>2905</v>
      </c>
      <c r="K53" s="13"/>
      <c r="L53" s="13" t="s">
        <v>2896</v>
      </c>
      <c r="M53" s="13">
        <v>2025</v>
      </c>
    </row>
    <row r="54" spans="1:13" ht="15.75" customHeight="1">
      <c r="A54" s="17" t="s">
        <v>2924</v>
      </c>
      <c r="B54" s="18" t="s">
        <v>2900</v>
      </c>
      <c r="C54" s="18" t="s">
        <v>2854</v>
      </c>
      <c r="D54" s="18" t="s">
        <v>151</v>
      </c>
      <c r="E54" s="18" t="s">
        <v>2884</v>
      </c>
      <c r="F54" s="17">
        <v>2</v>
      </c>
      <c r="G54" s="17">
        <v>6.66</v>
      </c>
      <c r="H54" s="17">
        <v>62.3</v>
      </c>
      <c r="I54" s="17">
        <v>1</v>
      </c>
      <c r="J54" s="17" t="s">
        <v>2861</v>
      </c>
      <c r="K54" s="17">
        <v>15.8</v>
      </c>
      <c r="L54" s="17" t="s">
        <v>2896</v>
      </c>
      <c r="M54" s="17">
        <v>2023</v>
      </c>
    </row>
    <row r="55" spans="1:13" ht="15.75" customHeight="1">
      <c r="A55" s="13" t="s">
        <v>2925</v>
      </c>
      <c r="B55" s="14" t="s">
        <v>2853</v>
      </c>
      <c r="C55" s="14" t="s">
        <v>2875</v>
      </c>
      <c r="D55" s="14" t="s">
        <v>61</v>
      </c>
      <c r="E55" s="14" t="s">
        <v>2886</v>
      </c>
      <c r="F55" s="13">
        <v>8</v>
      </c>
      <c r="G55" s="13">
        <v>7.73</v>
      </c>
      <c r="H55" s="13">
        <v>93.7</v>
      </c>
      <c r="I55" s="13">
        <v>0</v>
      </c>
      <c r="J55" s="13" t="s">
        <v>2867</v>
      </c>
      <c r="K55" s="13">
        <v>18.600000000000001</v>
      </c>
      <c r="L55" s="13" t="s">
        <v>2906</v>
      </c>
      <c r="M55" s="13">
        <v>2025</v>
      </c>
    </row>
    <row r="56" spans="1:13" ht="15.75" customHeight="1">
      <c r="A56" s="17" t="s">
        <v>2926</v>
      </c>
      <c r="B56" s="18" t="s">
        <v>2874</v>
      </c>
      <c r="C56" s="18" t="s">
        <v>2871</v>
      </c>
      <c r="D56" s="18" t="s">
        <v>61</v>
      </c>
      <c r="E56" s="18" t="s">
        <v>2884</v>
      </c>
      <c r="F56" s="17">
        <v>3</v>
      </c>
      <c r="G56" s="17">
        <v>5.36</v>
      </c>
      <c r="H56" s="17">
        <v>64.5</v>
      </c>
      <c r="I56" s="17">
        <v>0</v>
      </c>
      <c r="J56" s="17" t="s">
        <v>2903</v>
      </c>
      <c r="K56" s="17">
        <v>10.9</v>
      </c>
      <c r="L56" s="17" t="s">
        <v>2896</v>
      </c>
      <c r="M56" s="17">
        <v>2024</v>
      </c>
    </row>
    <row r="57" spans="1:13" ht="15.75" customHeight="1">
      <c r="A57" s="13" t="s">
        <v>2927</v>
      </c>
      <c r="B57" s="14" t="s">
        <v>2853</v>
      </c>
      <c r="C57" s="14" t="s">
        <v>2875</v>
      </c>
      <c r="D57" s="14" t="s">
        <v>172</v>
      </c>
      <c r="E57" s="14" t="s">
        <v>2884</v>
      </c>
      <c r="F57" s="13">
        <v>1</v>
      </c>
      <c r="G57" s="13">
        <v>8.6300000000000008</v>
      </c>
      <c r="H57" s="13">
        <v>80</v>
      </c>
      <c r="I57" s="13">
        <v>1</v>
      </c>
      <c r="J57" s="13" t="s">
        <v>2861</v>
      </c>
      <c r="K57" s="13">
        <v>13.5</v>
      </c>
      <c r="L57" s="13" t="s">
        <v>2896</v>
      </c>
      <c r="M57" s="13" t="s">
        <v>2862</v>
      </c>
    </row>
    <row r="58" spans="1:13" ht="15.75" customHeight="1">
      <c r="A58" s="17" t="s">
        <v>2928</v>
      </c>
      <c r="B58" s="18"/>
      <c r="C58" s="18" t="s">
        <v>2875</v>
      </c>
      <c r="D58" s="18" t="s">
        <v>151</v>
      </c>
      <c r="E58" s="18" t="s">
        <v>2855</v>
      </c>
      <c r="F58" s="17">
        <v>1</v>
      </c>
      <c r="G58" s="17">
        <v>9.11</v>
      </c>
      <c r="H58" s="17">
        <v>71.5</v>
      </c>
      <c r="I58" s="17">
        <v>2</v>
      </c>
      <c r="J58" s="17" t="s">
        <v>2861</v>
      </c>
      <c r="K58" s="17"/>
      <c r="L58" s="17" t="s">
        <v>2876</v>
      </c>
      <c r="M58" s="17">
        <v>2024</v>
      </c>
    </row>
    <row r="59" spans="1:13" ht="15.75" customHeight="1">
      <c r="A59" s="13" t="s">
        <v>2929</v>
      </c>
      <c r="B59" s="14" t="s">
        <v>2853</v>
      </c>
      <c r="C59" s="14" t="s">
        <v>2865</v>
      </c>
      <c r="D59" s="14" t="s">
        <v>151</v>
      </c>
      <c r="E59" s="14" t="s">
        <v>2898</v>
      </c>
      <c r="F59" s="13">
        <v>2</v>
      </c>
      <c r="G59" s="13">
        <v>9.41</v>
      </c>
      <c r="H59" s="13">
        <v>60.4</v>
      </c>
      <c r="I59" s="13">
        <v>1</v>
      </c>
      <c r="J59" s="13" t="s">
        <v>2888</v>
      </c>
      <c r="K59" s="13">
        <v>13.5</v>
      </c>
      <c r="L59" s="13" t="s">
        <v>2896</v>
      </c>
      <c r="M59" s="13">
        <v>2024</v>
      </c>
    </row>
    <row r="60" spans="1:13" ht="15.75" customHeight="1">
      <c r="A60" s="17" t="s">
        <v>2930</v>
      </c>
      <c r="B60" s="18" t="s">
        <v>2874</v>
      </c>
      <c r="C60" s="18" t="s">
        <v>2893</v>
      </c>
      <c r="D60" s="18" t="s">
        <v>485</v>
      </c>
      <c r="E60" s="18" t="s">
        <v>2872</v>
      </c>
      <c r="F60" s="17">
        <v>6</v>
      </c>
      <c r="G60" s="17">
        <v>7.63</v>
      </c>
      <c r="H60" s="17">
        <v>104.4</v>
      </c>
      <c r="I60" s="17">
        <v>1</v>
      </c>
      <c r="J60" s="17" t="s">
        <v>2867</v>
      </c>
      <c r="K60" s="17"/>
      <c r="L60" s="17" t="s">
        <v>2906</v>
      </c>
      <c r="M60" s="17">
        <v>2023</v>
      </c>
    </row>
    <row r="61" spans="1:13" ht="15.75" customHeight="1">
      <c r="A61" s="13" t="s">
        <v>2931</v>
      </c>
      <c r="B61" s="14" t="s">
        <v>2908</v>
      </c>
      <c r="C61" s="14" t="s">
        <v>2860</v>
      </c>
      <c r="D61" s="14" t="s">
        <v>172</v>
      </c>
      <c r="E61" s="14" t="s">
        <v>2886</v>
      </c>
      <c r="F61" s="13">
        <v>4</v>
      </c>
      <c r="G61" s="13">
        <v>5.24</v>
      </c>
      <c r="H61" s="13">
        <v>67.599999999999994</v>
      </c>
      <c r="I61" s="13">
        <v>5</v>
      </c>
      <c r="J61" s="13" t="s">
        <v>2861</v>
      </c>
      <c r="K61" s="13"/>
      <c r="L61" s="13" t="s">
        <v>2857</v>
      </c>
      <c r="M61" s="13">
        <v>2025</v>
      </c>
    </row>
    <row r="62" spans="1:13" ht="15.75" customHeight="1">
      <c r="A62" s="17" t="s">
        <v>2932</v>
      </c>
      <c r="B62" s="18" t="s">
        <v>2933</v>
      </c>
      <c r="C62" s="18" t="s">
        <v>2881</v>
      </c>
      <c r="D62" s="18" t="s">
        <v>172</v>
      </c>
      <c r="E62" s="18" t="s">
        <v>2898</v>
      </c>
      <c r="F62" s="17">
        <v>1</v>
      </c>
      <c r="G62" s="17">
        <v>9.8000000000000007</v>
      </c>
      <c r="H62" s="17">
        <v>84.9</v>
      </c>
      <c r="I62" s="17">
        <v>3</v>
      </c>
      <c r="J62" s="17" t="s">
        <v>2856</v>
      </c>
      <c r="K62" s="17"/>
      <c r="L62" s="17" t="s">
        <v>2606</v>
      </c>
      <c r="M62" s="17">
        <v>2023</v>
      </c>
    </row>
    <row r="63" spans="1:13" ht="15.75" customHeight="1">
      <c r="A63" s="13" t="s">
        <v>2934</v>
      </c>
      <c r="B63" s="14" t="s">
        <v>2864</v>
      </c>
      <c r="C63" s="14" t="s">
        <v>2854</v>
      </c>
      <c r="D63" s="14" t="s">
        <v>228</v>
      </c>
      <c r="E63" s="14" t="s">
        <v>2855</v>
      </c>
      <c r="F63" s="13">
        <v>6</v>
      </c>
      <c r="G63" s="13">
        <v>9.9</v>
      </c>
      <c r="H63" s="13">
        <v>58</v>
      </c>
      <c r="I63" s="13">
        <v>2</v>
      </c>
      <c r="J63" s="13" t="s">
        <v>2905</v>
      </c>
      <c r="K63" s="13">
        <v>11.1</v>
      </c>
      <c r="L63" s="13" t="s">
        <v>2606</v>
      </c>
      <c r="M63" s="13">
        <v>2025</v>
      </c>
    </row>
    <row r="64" spans="1:13" ht="15.75" customHeight="1">
      <c r="A64" s="17" t="s">
        <v>2935</v>
      </c>
      <c r="B64" s="18" t="s">
        <v>2908</v>
      </c>
      <c r="C64" s="18" t="s">
        <v>2854</v>
      </c>
      <c r="D64" s="18" t="s">
        <v>439</v>
      </c>
      <c r="E64" s="18" t="s">
        <v>2877</v>
      </c>
      <c r="F64" s="17">
        <v>8</v>
      </c>
      <c r="G64" s="17">
        <v>9.17</v>
      </c>
      <c r="H64" s="17">
        <v>96.2</v>
      </c>
      <c r="I64" s="17">
        <v>2</v>
      </c>
      <c r="J64" s="17" t="s">
        <v>2856</v>
      </c>
      <c r="K64" s="17">
        <v>15.3</v>
      </c>
      <c r="L64" s="17" t="s">
        <v>2857</v>
      </c>
      <c r="M64" s="17" t="s">
        <v>2862</v>
      </c>
    </row>
    <row r="65" spans="1:13" ht="15.75" customHeight="1">
      <c r="A65" s="13" t="s">
        <v>2936</v>
      </c>
      <c r="B65" s="14" t="s">
        <v>2890</v>
      </c>
      <c r="C65" s="14" t="s">
        <v>2860</v>
      </c>
      <c r="D65" s="14" t="s">
        <v>439</v>
      </c>
      <c r="E65" s="14" t="s">
        <v>2898</v>
      </c>
      <c r="F65" s="13">
        <v>4</v>
      </c>
      <c r="G65" s="13">
        <v>7.84</v>
      </c>
      <c r="H65" s="13">
        <v>84.7</v>
      </c>
      <c r="I65" s="13">
        <v>2</v>
      </c>
      <c r="J65" s="13" t="s">
        <v>2867</v>
      </c>
      <c r="K65" s="13"/>
      <c r="L65" s="13" t="s">
        <v>2868</v>
      </c>
      <c r="M65" s="13">
        <v>2024</v>
      </c>
    </row>
    <row r="66" spans="1:13" ht="15.75" customHeight="1">
      <c r="A66" s="17" t="s">
        <v>2937</v>
      </c>
      <c r="B66" s="18" t="s">
        <v>291</v>
      </c>
      <c r="C66" s="18" t="s">
        <v>2875</v>
      </c>
      <c r="D66" s="18" t="s">
        <v>172</v>
      </c>
      <c r="E66" s="18" t="s">
        <v>2872</v>
      </c>
      <c r="F66" s="17">
        <v>4</v>
      </c>
      <c r="G66" s="17">
        <v>10.35</v>
      </c>
      <c r="H66" s="17">
        <v>60.6</v>
      </c>
      <c r="I66" s="17">
        <v>4</v>
      </c>
      <c r="J66" s="17" t="s">
        <v>2861</v>
      </c>
      <c r="K66" s="17"/>
      <c r="L66" s="17" t="s">
        <v>2878</v>
      </c>
      <c r="M66" s="17">
        <v>2024</v>
      </c>
    </row>
    <row r="67" spans="1:13" ht="15.75" customHeight="1">
      <c r="A67" s="13" t="s">
        <v>2938</v>
      </c>
      <c r="B67" s="14" t="s">
        <v>2933</v>
      </c>
      <c r="C67" s="14" t="s">
        <v>2881</v>
      </c>
      <c r="D67" s="14" t="s">
        <v>151</v>
      </c>
      <c r="E67" s="14" t="s">
        <v>2872</v>
      </c>
      <c r="F67" s="13">
        <v>5</v>
      </c>
      <c r="G67" s="13">
        <v>8.77</v>
      </c>
      <c r="H67" s="13">
        <v>89.2</v>
      </c>
      <c r="I67" s="13">
        <v>5</v>
      </c>
      <c r="J67" s="13" t="s">
        <v>2861</v>
      </c>
      <c r="K67" s="13">
        <v>7.5</v>
      </c>
      <c r="L67" s="13" t="s">
        <v>2868</v>
      </c>
      <c r="M67" s="13" t="s">
        <v>2862</v>
      </c>
    </row>
    <row r="68" spans="1:13" ht="15.75" customHeight="1">
      <c r="A68" s="17" t="s">
        <v>2939</v>
      </c>
      <c r="B68" s="18" t="s">
        <v>2892</v>
      </c>
      <c r="C68" s="18" t="s">
        <v>2875</v>
      </c>
      <c r="D68" s="18" t="s">
        <v>172</v>
      </c>
      <c r="E68" s="18" t="s">
        <v>2898</v>
      </c>
      <c r="F68" s="17">
        <v>6</v>
      </c>
      <c r="G68" s="17">
        <v>9.8800000000000008</v>
      </c>
      <c r="H68" s="17">
        <v>94.5</v>
      </c>
      <c r="I68" s="17">
        <v>1</v>
      </c>
      <c r="J68" s="17" t="s">
        <v>2867</v>
      </c>
      <c r="K68" s="17"/>
      <c r="L68" s="17" t="s">
        <v>2605</v>
      </c>
      <c r="M68" s="17" t="s">
        <v>2862</v>
      </c>
    </row>
    <row r="69" spans="1:13" ht="15.75" customHeight="1">
      <c r="A69" s="13" t="s">
        <v>2940</v>
      </c>
      <c r="B69" s="14" t="s">
        <v>2874</v>
      </c>
      <c r="C69" s="14" t="s">
        <v>2893</v>
      </c>
      <c r="D69" s="14" t="s">
        <v>172</v>
      </c>
      <c r="E69" s="14" t="s">
        <v>2898</v>
      </c>
      <c r="F69" s="13">
        <v>5</v>
      </c>
      <c r="G69" s="13">
        <v>10.32</v>
      </c>
      <c r="H69" s="13">
        <v>94.7</v>
      </c>
      <c r="I69" s="13">
        <v>4</v>
      </c>
      <c r="J69" s="13" t="s">
        <v>2903</v>
      </c>
      <c r="K69" s="13">
        <v>3.1</v>
      </c>
      <c r="L69" s="13" t="s">
        <v>2906</v>
      </c>
      <c r="M69" s="13">
        <v>2024</v>
      </c>
    </row>
    <row r="70" spans="1:13" ht="15.75" customHeight="1">
      <c r="A70" s="17" t="s">
        <v>2941</v>
      </c>
      <c r="B70" s="18" t="s">
        <v>2870</v>
      </c>
      <c r="C70" s="18" t="s">
        <v>2881</v>
      </c>
      <c r="D70" s="18" t="s">
        <v>122</v>
      </c>
      <c r="E70" s="18" t="s">
        <v>2877</v>
      </c>
      <c r="F70" s="17">
        <v>2</v>
      </c>
      <c r="G70" s="17">
        <v>5.28</v>
      </c>
      <c r="H70" s="17">
        <v>73.5</v>
      </c>
      <c r="I70" s="17">
        <v>2</v>
      </c>
      <c r="J70" s="17" t="s">
        <v>2856</v>
      </c>
      <c r="K70" s="17">
        <v>16.100000000000001</v>
      </c>
      <c r="L70" s="17" t="s">
        <v>2604</v>
      </c>
      <c r="M70" s="17">
        <v>2023</v>
      </c>
    </row>
    <row r="71" spans="1:13" ht="15.75" customHeight="1">
      <c r="A71" s="13" t="s">
        <v>2942</v>
      </c>
      <c r="B71" s="14" t="s">
        <v>2870</v>
      </c>
      <c r="C71" s="14" t="s">
        <v>2893</v>
      </c>
      <c r="D71" s="14" t="s">
        <v>122</v>
      </c>
      <c r="E71" s="14" t="s">
        <v>2884</v>
      </c>
      <c r="F71" s="13">
        <v>1</v>
      </c>
      <c r="G71" s="13">
        <v>5.59</v>
      </c>
      <c r="H71" s="13">
        <v>79.400000000000006</v>
      </c>
      <c r="I71" s="13">
        <v>0</v>
      </c>
      <c r="J71" s="13" t="s">
        <v>2856</v>
      </c>
      <c r="K71" s="13"/>
      <c r="L71" s="13" t="s">
        <v>2876</v>
      </c>
      <c r="M71" s="13" t="s">
        <v>2862</v>
      </c>
    </row>
    <row r="72" spans="1:13" ht="15.75" customHeight="1">
      <c r="A72" s="17" t="s">
        <v>2943</v>
      </c>
      <c r="B72" s="18" t="s">
        <v>2870</v>
      </c>
      <c r="C72" s="18" t="s">
        <v>2854</v>
      </c>
      <c r="D72" s="18" t="s">
        <v>122</v>
      </c>
      <c r="E72" s="18" t="s">
        <v>2877</v>
      </c>
      <c r="F72" s="17">
        <v>1</v>
      </c>
      <c r="G72" s="17">
        <v>7.36</v>
      </c>
      <c r="H72" s="17">
        <v>62.7</v>
      </c>
      <c r="I72" s="17">
        <v>4</v>
      </c>
      <c r="J72" s="17" t="s">
        <v>2903</v>
      </c>
      <c r="K72" s="17">
        <v>15.6</v>
      </c>
      <c r="L72" s="17" t="s">
        <v>2876</v>
      </c>
      <c r="M72" s="17">
        <v>2024</v>
      </c>
    </row>
    <row r="73" spans="1:13" ht="15.75" customHeight="1">
      <c r="A73" s="13" t="s">
        <v>2944</v>
      </c>
      <c r="B73" s="14" t="s">
        <v>2892</v>
      </c>
      <c r="C73" s="14" t="s">
        <v>2881</v>
      </c>
      <c r="D73" s="14" t="s">
        <v>439</v>
      </c>
      <c r="E73" s="14" t="s">
        <v>2872</v>
      </c>
      <c r="F73" s="13">
        <v>5</v>
      </c>
      <c r="G73" s="13">
        <v>9.43</v>
      </c>
      <c r="H73" s="13">
        <v>95.4</v>
      </c>
      <c r="I73" s="13">
        <v>3</v>
      </c>
      <c r="J73" s="13" t="s">
        <v>2856</v>
      </c>
      <c r="K73" s="13"/>
      <c r="L73" s="13" t="s">
        <v>2605</v>
      </c>
      <c r="M73" s="13">
        <v>2024</v>
      </c>
    </row>
    <row r="74" spans="1:13" ht="15.75" customHeight="1">
      <c r="A74" s="17" t="s">
        <v>2945</v>
      </c>
      <c r="B74" s="18" t="s">
        <v>2908</v>
      </c>
      <c r="C74" s="18" t="s">
        <v>2881</v>
      </c>
      <c r="D74" s="18" t="s">
        <v>61</v>
      </c>
      <c r="E74" s="18" t="s">
        <v>2877</v>
      </c>
      <c r="F74" s="17">
        <v>5</v>
      </c>
      <c r="G74" s="17">
        <v>6.22</v>
      </c>
      <c r="H74" s="17">
        <v>75.3</v>
      </c>
      <c r="I74" s="17">
        <v>3</v>
      </c>
      <c r="J74" s="17" t="s">
        <v>2903</v>
      </c>
      <c r="K74" s="17"/>
      <c r="L74" s="17" t="s">
        <v>2906</v>
      </c>
      <c r="M74" s="17">
        <v>2025</v>
      </c>
    </row>
    <row r="75" spans="1:13" ht="15.75" customHeight="1">
      <c r="A75" s="13" t="s">
        <v>2946</v>
      </c>
      <c r="B75" s="14" t="s">
        <v>2859</v>
      </c>
      <c r="C75" s="14" t="s">
        <v>2854</v>
      </c>
      <c r="D75" s="14" t="s">
        <v>439</v>
      </c>
      <c r="E75" s="14" t="s">
        <v>2866</v>
      </c>
      <c r="F75" s="13">
        <v>7</v>
      </c>
      <c r="G75" s="13">
        <v>6.28</v>
      </c>
      <c r="H75" s="13">
        <v>96.6</v>
      </c>
      <c r="I75" s="13">
        <v>0</v>
      </c>
      <c r="J75" s="13" t="s">
        <v>2903</v>
      </c>
      <c r="K75" s="13">
        <v>12.8</v>
      </c>
      <c r="L75" s="13" t="s">
        <v>2878</v>
      </c>
      <c r="M75" s="13">
        <v>2024</v>
      </c>
    </row>
    <row r="76" spans="1:13" ht="15.75" customHeight="1">
      <c r="A76" s="17" t="s">
        <v>2947</v>
      </c>
      <c r="B76" s="18" t="s">
        <v>2933</v>
      </c>
      <c r="C76" s="18" t="s">
        <v>2854</v>
      </c>
      <c r="D76" s="18" t="s">
        <v>172</v>
      </c>
      <c r="E76" s="18" t="s">
        <v>2898</v>
      </c>
      <c r="F76" s="17">
        <v>4</v>
      </c>
      <c r="G76" s="17">
        <v>7.7</v>
      </c>
      <c r="H76" s="17">
        <v>93.4</v>
      </c>
      <c r="I76" s="17">
        <v>2</v>
      </c>
      <c r="J76" s="17" t="s">
        <v>2861</v>
      </c>
      <c r="K76" s="17">
        <v>10.1</v>
      </c>
      <c r="L76" s="17" t="s">
        <v>2605</v>
      </c>
      <c r="M76" s="17">
        <v>2025</v>
      </c>
    </row>
    <row r="77" spans="1:13" ht="15.75" customHeight="1">
      <c r="A77" s="13" t="s">
        <v>2948</v>
      </c>
      <c r="B77" s="14" t="s">
        <v>2892</v>
      </c>
      <c r="C77" s="14" t="s">
        <v>2860</v>
      </c>
      <c r="D77" s="14" t="s">
        <v>122</v>
      </c>
      <c r="E77" s="14" t="s">
        <v>2886</v>
      </c>
      <c r="F77" s="13">
        <v>8</v>
      </c>
      <c r="G77" s="13">
        <v>9.33</v>
      </c>
      <c r="H77" s="13">
        <v>61.4</v>
      </c>
      <c r="I77" s="13">
        <v>0</v>
      </c>
      <c r="J77" s="13" t="s">
        <v>2888</v>
      </c>
      <c r="K77" s="13"/>
      <c r="L77" s="13" t="s">
        <v>2868</v>
      </c>
      <c r="M77" s="13">
        <v>2023</v>
      </c>
    </row>
    <row r="78" spans="1:13" ht="15.75" customHeight="1">
      <c r="A78" s="17" t="s">
        <v>2948</v>
      </c>
      <c r="B78" s="18" t="s">
        <v>2853</v>
      </c>
      <c r="C78" s="18" t="s">
        <v>2893</v>
      </c>
      <c r="D78" s="18" t="s">
        <v>172</v>
      </c>
      <c r="E78" s="18" t="s">
        <v>2884</v>
      </c>
      <c r="F78" s="17">
        <v>7</v>
      </c>
      <c r="G78" s="17">
        <v>8.92</v>
      </c>
      <c r="H78" s="17">
        <v>51.2</v>
      </c>
      <c r="I78" s="17">
        <v>2</v>
      </c>
      <c r="J78" s="17" t="s">
        <v>2867</v>
      </c>
      <c r="K78" s="17">
        <v>10.9</v>
      </c>
      <c r="L78" s="17" t="s">
        <v>2868</v>
      </c>
      <c r="M78" s="17" t="s">
        <v>2862</v>
      </c>
    </row>
    <row r="79" spans="1:13" ht="15.75" customHeight="1">
      <c r="A79" s="13" t="s">
        <v>2949</v>
      </c>
      <c r="B79" s="14" t="s">
        <v>291</v>
      </c>
      <c r="C79" s="14" t="s">
        <v>2875</v>
      </c>
      <c r="D79" s="14" t="s">
        <v>439</v>
      </c>
      <c r="E79" s="14" t="s">
        <v>2898</v>
      </c>
      <c r="F79" s="13">
        <v>4</v>
      </c>
      <c r="G79" s="13">
        <v>10.01</v>
      </c>
      <c r="H79" s="13">
        <v>64.3</v>
      </c>
      <c r="I79" s="13">
        <v>0</v>
      </c>
      <c r="J79" s="13" t="s">
        <v>2905</v>
      </c>
      <c r="K79" s="13"/>
      <c r="L79" s="13" t="s">
        <v>2876</v>
      </c>
      <c r="M79" s="13">
        <v>2023</v>
      </c>
    </row>
    <row r="80" spans="1:13" ht="15.75" customHeight="1">
      <c r="A80" s="17" t="s">
        <v>2950</v>
      </c>
      <c r="B80" s="18"/>
      <c r="C80" s="18" t="s">
        <v>2881</v>
      </c>
      <c r="D80" s="18" t="s">
        <v>439</v>
      </c>
      <c r="E80" s="18" t="s">
        <v>2855</v>
      </c>
      <c r="F80" s="17">
        <v>8</v>
      </c>
      <c r="G80" s="17">
        <v>5.49</v>
      </c>
      <c r="H80" s="17">
        <v>100.4</v>
      </c>
      <c r="I80" s="17">
        <v>1</v>
      </c>
      <c r="J80" s="17" t="s">
        <v>2867</v>
      </c>
      <c r="K80" s="17"/>
      <c r="L80" s="17" t="s">
        <v>2896</v>
      </c>
      <c r="M80" s="17">
        <v>2025</v>
      </c>
    </row>
    <row r="81" spans="1:13" ht="15.75" customHeight="1">
      <c r="A81" s="13" t="s">
        <v>2951</v>
      </c>
      <c r="B81" s="14" t="s">
        <v>2870</v>
      </c>
      <c r="C81" s="14" t="s">
        <v>2875</v>
      </c>
      <c r="D81" s="14" t="s">
        <v>61</v>
      </c>
      <c r="E81" s="14" t="s">
        <v>2898</v>
      </c>
      <c r="F81" s="13">
        <v>3</v>
      </c>
      <c r="G81" s="13">
        <v>9.7899999999999991</v>
      </c>
      <c r="H81" s="13">
        <v>60.2</v>
      </c>
      <c r="I81" s="13">
        <v>2</v>
      </c>
      <c r="J81" s="13" t="s">
        <v>2903</v>
      </c>
      <c r="K81" s="13">
        <v>6.7</v>
      </c>
      <c r="L81" s="13" t="s">
        <v>2857</v>
      </c>
      <c r="M81" s="13">
        <v>2025</v>
      </c>
    </row>
    <row r="82" spans="1:13" ht="15.75" customHeight="1">
      <c r="A82" s="17" t="s">
        <v>2952</v>
      </c>
      <c r="B82" s="18"/>
      <c r="C82" s="18" t="s">
        <v>2881</v>
      </c>
      <c r="D82" s="18" t="s">
        <v>228</v>
      </c>
      <c r="E82" s="18" t="s">
        <v>2866</v>
      </c>
      <c r="F82" s="17">
        <v>3</v>
      </c>
      <c r="G82" s="17">
        <v>6.3</v>
      </c>
      <c r="H82" s="17">
        <v>94.4</v>
      </c>
      <c r="I82" s="17">
        <v>4</v>
      </c>
      <c r="J82" s="17" t="s">
        <v>2856</v>
      </c>
      <c r="K82" s="17"/>
      <c r="L82" s="17" t="s">
        <v>2857</v>
      </c>
      <c r="M82" s="17" t="s">
        <v>2862</v>
      </c>
    </row>
    <row r="83" spans="1:13" ht="15.75" customHeight="1">
      <c r="A83" s="13" t="s">
        <v>2953</v>
      </c>
      <c r="B83" s="14" t="s">
        <v>2864</v>
      </c>
      <c r="C83" s="14" t="s">
        <v>2871</v>
      </c>
      <c r="D83" s="14" t="s">
        <v>485</v>
      </c>
      <c r="E83" s="14" t="s">
        <v>2855</v>
      </c>
      <c r="F83" s="13">
        <v>1</v>
      </c>
      <c r="G83" s="13">
        <v>5.98</v>
      </c>
      <c r="H83" s="13">
        <v>79.400000000000006</v>
      </c>
      <c r="I83" s="13">
        <v>4</v>
      </c>
      <c r="J83" s="13" t="s">
        <v>2903</v>
      </c>
      <c r="K83" s="13"/>
      <c r="L83" s="13" t="s">
        <v>2604</v>
      </c>
      <c r="M83" s="13">
        <v>2025</v>
      </c>
    </row>
    <row r="84" spans="1:13" ht="15.75" customHeight="1">
      <c r="A84" s="17" t="s">
        <v>2954</v>
      </c>
      <c r="B84" s="18" t="s">
        <v>2892</v>
      </c>
      <c r="C84" s="18" t="s">
        <v>2854</v>
      </c>
      <c r="D84" s="18" t="s">
        <v>228</v>
      </c>
      <c r="E84" s="18" t="s">
        <v>2886</v>
      </c>
      <c r="F84" s="17">
        <v>4</v>
      </c>
      <c r="G84" s="17">
        <v>5.92</v>
      </c>
      <c r="H84" s="17">
        <v>75.8</v>
      </c>
      <c r="I84" s="17">
        <v>3</v>
      </c>
      <c r="J84" s="17" t="s">
        <v>2861</v>
      </c>
      <c r="K84" s="17">
        <v>8.3000000000000007</v>
      </c>
      <c r="L84" s="17" t="s">
        <v>2605</v>
      </c>
      <c r="M84" s="17">
        <v>2024</v>
      </c>
    </row>
    <row r="85" spans="1:13" ht="15.75" customHeight="1">
      <c r="A85" s="13" t="s">
        <v>2955</v>
      </c>
      <c r="B85" s="14"/>
      <c r="C85" s="14" t="s">
        <v>2893</v>
      </c>
      <c r="D85" s="14" t="s">
        <v>439</v>
      </c>
      <c r="E85" s="14" t="s">
        <v>2866</v>
      </c>
      <c r="F85" s="13">
        <v>8</v>
      </c>
      <c r="G85" s="13">
        <v>8.52</v>
      </c>
      <c r="H85" s="13">
        <v>91.5</v>
      </c>
      <c r="I85" s="13">
        <v>5</v>
      </c>
      <c r="J85" s="13" t="s">
        <v>2905</v>
      </c>
      <c r="K85" s="13"/>
      <c r="L85" s="13" t="s">
        <v>2606</v>
      </c>
      <c r="M85" s="13">
        <v>2025</v>
      </c>
    </row>
    <row r="86" spans="1:13" ht="15.75" customHeight="1">
      <c r="A86" s="17" t="s">
        <v>2956</v>
      </c>
      <c r="B86" s="18" t="s">
        <v>2890</v>
      </c>
      <c r="C86" s="18" t="s">
        <v>2893</v>
      </c>
      <c r="D86" s="18" t="s">
        <v>485</v>
      </c>
      <c r="E86" s="18" t="s">
        <v>2855</v>
      </c>
      <c r="F86" s="17">
        <v>7</v>
      </c>
      <c r="G86" s="17">
        <v>7.57</v>
      </c>
      <c r="H86" s="17">
        <v>85.6</v>
      </c>
      <c r="I86" s="17">
        <v>1</v>
      </c>
      <c r="J86" s="17" t="s">
        <v>2903</v>
      </c>
      <c r="K86" s="17">
        <v>20.3</v>
      </c>
      <c r="L86" s="17" t="s">
        <v>2857</v>
      </c>
      <c r="M86" s="17">
        <v>2024</v>
      </c>
    </row>
    <row r="87" spans="1:13" ht="15.75" customHeight="1">
      <c r="A87" s="13" t="s">
        <v>2957</v>
      </c>
      <c r="B87" s="14" t="s">
        <v>2900</v>
      </c>
      <c r="C87" s="14" t="s">
        <v>2893</v>
      </c>
      <c r="D87" s="14" t="s">
        <v>172</v>
      </c>
      <c r="E87" s="14" t="s">
        <v>2886</v>
      </c>
      <c r="F87" s="13">
        <v>5</v>
      </c>
      <c r="G87" s="13">
        <v>6.14</v>
      </c>
      <c r="H87" s="13">
        <v>83</v>
      </c>
      <c r="I87" s="13">
        <v>2</v>
      </c>
      <c r="J87" s="13" t="s">
        <v>2856</v>
      </c>
      <c r="K87" s="13"/>
      <c r="L87" s="13" t="s">
        <v>2876</v>
      </c>
      <c r="M87" s="13">
        <v>2025</v>
      </c>
    </row>
    <row r="88" spans="1:13" ht="15.75" customHeight="1">
      <c r="A88" s="17" t="s">
        <v>2958</v>
      </c>
      <c r="B88" s="18" t="s">
        <v>2859</v>
      </c>
      <c r="C88" s="18" t="s">
        <v>2854</v>
      </c>
      <c r="D88" s="18" t="s">
        <v>151</v>
      </c>
      <c r="E88" s="18" t="s">
        <v>2877</v>
      </c>
      <c r="F88" s="17">
        <v>5</v>
      </c>
      <c r="G88" s="17">
        <v>9.1300000000000008</v>
      </c>
      <c r="H88" s="17">
        <v>61.9</v>
      </c>
      <c r="I88" s="17">
        <v>3</v>
      </c>
      <c r="J88" s="17" t="s">
        <v>2861</v>
      </c>
      <c r="K88" s="17">
        <v>19.5</v>
      </c>
      <c r="L88" s="17" t="s">
        <v>2896</v>
      </c>
      <c r="M88" s="17">
        <v>2023</v>
      </c>
    </row>
    <row r="89" spans="1:13" ht="15.75" customHeight="1">
      <c r="A89" s="13" t="s">
        <v>2959</v>
      </c>
      <c r="B89" s="14" t="s">
        <v>2859</v>
      </c>
      <c r="C89" s="14" t="s">
        <v>2871</v>
      </c>
      <c r="D89" s="14" t="s">
        <v>172</v>
      </c>
      <c r="E89" s="14" t="s">
        <v>2877</v>
      </c>
      <c r="F89" s="13">
        <v>7</v>
      </c>
      <c r="G89" s="13">
        <v>9.9700000000000006</v>
      </c>
      <c r="H89" s="13">
        <v>63.9</v>
      </c>
      <c r="I89" s="13">
        <v>0</v>
      </c>
      <c r="J89" s="13" t="s">
        <v>2861</v>
      </c>
      <c r="K89" s="13"/>
      <c r="L89" s="13" t="s">
        <v>2896</v>
      </c>
      <c r="M89" s="13">
        <v>2023</v>
      </c>
    </row>
    <row r="90" spans="1:13" ht="15.75" customHeight="1">
      <c r="A90" s="17" t="s">
        <v>2960</v>
      </c>
      <c r="B90" s="18" t="s">
        <v>2870</v>
      </c>
      <c r="C90" s="18" t="s">
        <v>2860</v>
      </c>
      <c r="D90" s="18" t="s">
        <v>228</v>
      </c>
      <c r="E90" s="18" t="s">
        <v>2866</v>
      </c>
      <c r="F90" s="17">
        <v>8</v>
      </c>
      <c r="G90" s="17">
        <v>7.06</v>
      </c>
      <c r="H90" s="17">
        <v>69.3</v>
      </c>
      <c r="I90" s="17">
        <v>0</v>
      </c>
      <c r="J90" s="17" t="s">
        <v>2905</v>
      </c>
      <c r="K90" s="17">
        <v>22.5</v>
      </c>
      <c r="L90" s="17" t="s">
        <v>2605</v>
      </c>
      <c r="M90" s="17" t="s">
        <v>2862</v>
      </c>
    </row>
    <row r="91" spans="1:13" ht="15.75" customHeight="1">
      <c r="A91" s="13" t="s">
        <v>2961</v>
      </c>
      <c r="B91" s="14" t="s">
        <v>291</v>
      </c>
      <c r="C91" s="14" t="s">
        <v>2865</v>
      </c>
      <c r="D91" s="14" t="s">
        <v>439</v>
      </c>
      <c r="E91" s="14" t="s">
        <v>2855</v>
      </c>
      <c r="F91" s="13">
        <v>1</v>
      </c>
      <c r="G91" s="13">
        <v>6.06</v>
      </c>
      <c r="H91" s="13">
        <v>100.7</v>
      </c>
      <c r="I91" s="13">
        <v>0</v>
      </c>
      <c r="J91" s="13" t="s">
        <v>2903</v>
      </c>
      <c r="K91" s="13"/>
      <c r="L91" s="13" t="s">
        <v>2868</v>
      </c>
      <c r="M91" s="13" t="s">
        <v>2862</v>
      </c>
    </row>
    <row r="92" spans="1:13" ht="15.75" customHeight="1">
      <c r="A92" s="17" t="s">
        <v>2962</v>
      </c>
      <c r="B92" s="18" t="s">
        <v>2900</v>
      </c>
      <c r="C92" s="18" t="s">
        <v>2854</v>
      </c>
      <c r="D92" s="18" t="s">
        <v>439</v>
      </c>
      <c r="E92" s="18" t="s">
        <v>2898</v>
      </c>
      <c r="F92" s="17">
        <v>2</v>
      </c>
      <c r="G92" s="17">
        <v>7.47</v>
      </c>
      <c r="H92" s="17">
        <v>68.400000000000006</v>
      </c>
      <c r="I92" s="17">
        <v>3</v>
      </c>
      <c r="J92" s="17" t="s">
        <v>2905</v>
      </c>
      <c r="K92" s="17">
        <v>10.6</v>
      </c>
      <c r="L92" s="17" t="s">
        <v>2906</v>
      </c>
      <c r="M92" s="17">
        <v>2023</v>
      </c>
    </row>
    <row r="93" spans="1:13" ht="15.75" customHeight="1">
      <c r="A93" s="13" t="s">
        <v>2963</v>
      </c>
      <c r="B93" s="14" t="s">
        <v>2933</v>
      </c>
      <c r="C93" s="14" t="s">
        <v>2893</v>
      </c>
      <c r="D93" s="14" t="s">
        <v>228</v>
      </c>
      <c r="E93" s="14" t="s">
        <v>2872</v>
      </c>
      <c r="F93" s="13">
        <v>8</v>
      </c>
      <c r="G93" s="13">
        <v>9.2899999999999991</v>
      </c>
      <c r="H93" s="13">
        <v>90.1</v>
      </c>
      <c r="I93" s="13">
        <v>5</v>
      </c>
      <c r="J93" s="13" t="s">
        <v>2888</v>
      </c>
      <c r="K93" s="13">
        <v>4.5</v>
      </c>
      <c r="L93" s="13" t="s">
        <v>2878</v>
      </c>
      <c r="M93" s="13">
        <v>2024</v>
      </c>
    </row>
    <row r="94" spans="1:13" ht="15.75" customHeight="1">
      <c r="A94" s="17" t="s">
        <v>2964</v>
      </c>
      <c r="B94" s="18"/>
      <c r="C94" s="18" t="s">
        <v>2881</v>
      </c>
      <c r="D94" s="18" t="s">
        <v>122</v>
      </c>
      <c r="E94" s="18" t="s">
        <v>2877</v>
      </c>
      <c r="F94" s="17">
        <v>7</v>
      </c>
      <c r="G94" s="17">
        <v>9.19</v>
      </c>
      <c r="H94" s="17">
        <v>60.8</v>
      </c>
      <c r="I94" s="17">
        <v>4</v>
      </c>
      <c r="J94" s="17" t="s">
        <v>2861</v>
      </c>
      <c r="K94" s="17">
        <v>9.1</v>
      </c>
      <c r="L94" s="17" t="s">
        <v>2906</v>
      </c>
      <c r="M94" s="17">
        <v>2024</v>
      </c>
    </row>
    <row r="95" spans="1:13" ht="15.75" customHeight="1">
      <c r="A95" s="13" t="s">
        <v>2965</v>
      </c>
      <c r="B95" s="14" t="s">
        <v>2908</v>
      </c>
      <c r="C95" s="14" t="s">
        <v>2860</v>
      </c>
      <c r="D95" s="14" t="s">
        <v>151</v>
      </c>
      <c r="E95" s="14" t="s">
        <v>2886</v>
      </c>
      <c r="F95" s="13">
        <v>2</v>
      </c>
      <c r="G95" s="13">
        <v>8.01</v>
      </c>
      <c r="H95" s="13">
        <v>64</v>
      </c>
      <c r="I95" s="13">
        <v>1</v>
      </c>
      <c r="J95" s="13" t="s">
        <v>2905</v>
      </c>
      <c r="K95" s="13">
        <v>3</v>
      </c>
      <c r="L95" s="13" t="s">
        <v>2896</v>
      </c>
      <c r="M95" s="13">
        <v>2025</v>
      </c>
    </row>
    <row r="96" spans="1:13" ht="15.75" customHeight="1">
      <c r="A96" s="17" t="s">
        <v>2966</v>
      </c>
      <c r="B96" s="18" t="s">
        <v>2874</v>
      </c>
      <c r="C96" s="18" t="s">
        <v>2860</v>
      </c>
      <c r="D96" s="18" t="s">
        <v>439</v>
      </c>
      <c r="E96" s="18" t="s">
        <v>2898</v>
      </c>
      <c r="F96" s="17">
        <v>6</v>
      </c>
      <c r="G96" s="17">
        <v>5.44</v>
      </c>
      <c r="H96" s="17">
        <v>75.3</v>
      </c>
      <c r="I96" s="17">
        <v>5</v>
      </c>
      <c r="J96" s="17" t="s">
        <v>2888</v>
      </c>
      <c r="K96" s="17">
        <v>16.600000000000001</v>
      </c>
      <c r="L96" s="17" t="s">
        <v>2876</v>
      </c>
      <c r="M96" s="17">
        <v>2024</v>
      </c>
    </row>
    <row r="97" spans="1:13" ht="15.75" customHeight="1">
      <c r="A97" s="13" t="s">
        <v>2967</v>
      </c>
      <c r="B97" s="14" t="s">
        <v>2933</v>
      </c>
      <c r="C97" s="14" t="s">
        <v>2871</v>
      </c>
      <c r="D97" s="14" t="s">
        <v>485</v>
      </c>
      <c r="E97" s="14" t="s">
        <v>2884</v>
      </c>
      <c r="F97" s="13">
        <v>7</v>
      </c>
      <c r="G97" s="13">
        <v>8.75</v>
      </c>
      <c r="H97" s="13">
        <v>89.4</v>
      </c>
      <c r="I97" s="13">
        <v>3</v>
      </c>
      <c r="J97" s="13" t="s">
        <v>2867</v>
      </c>
      <c r="K97" s="13">
        <v>9.1</v>
      </c>
      <c r="L97" s="13" t="s">
        <v>2876</v>
      </c>
      <c r="M97" s="13" t="s">
        <v>2862</v>
      </c>
    </row>
    <row r="98" spans="1:13" ht="15.75" customHeight="1">
      <c r="A98" s="17" t="s">
        <v>2968</v>
      </c>
      <c r="B98" s="18" t="s">
        <v>2853</v>
      </c>
      <c r="C98" s="18" t="s">
        <v>2860</v>
      </c>
      <c r="D98" s="18" t="s">
        <v>61</v>
      </c>
      <c r="E98" s="18" t="s">
        <v>2866</v>
      </c>
      <c r="F98" s="17">
        <v>3</v>
      </c>
      <c r="G98" s="17">
        <v>10.35</v>
      </c>
      <c r="H98" s="17">
        <v>104.5</v>
      </c>
      <c r="I98" s="17">
        <v>4</v>
      </c>
      <c r="J98" s="17" t="s">
        <v>2861</v>
      </c>
      <c r="K98" s="17"/>
      <c r="L98" s="17" t="s">
        <v>2868</v>
      </c>
      <c r="M98" s="17">
        <v>2024</v>
      </c>
    </row>
    <row r="99" spans="1:13" ht="15.75" customHeight="1">
      <c r="A99" s="13" t="s">
        <v>2969</v>
      </c>
      <c r="B99" s="14" t="s">
        <v>2853</v>
      </c>
      <c r="C99" s="14" t="s">
        <v>2875</v>
      </c>
      <c r="D99" s="14" t="s">
        <v>228</v>
      </c>
      <c r="E99" s="14" t="s">
        <v>2855</v>
      </c>
      <c r="F99" s="13">
        <v>2</v>
      </c>
      <c r="G99" s="13">
        <v>9.98</v>
      </c>
      <c r="H99" s="13">
        <v>100.9</v>
      </c>
      <c r="I99" s="13">
        <v>1</v>
      </c>
      <c r="J99" s="13" t="s">
        <v>2861</v>
      </c>
      <c r="K99" s="13">
        <v>14.1</v>
      </c>
      <c r="L99" s="13" t="s">
        <v>2857</v>
      </c>
      <c r="M99" s="13">
        <v>2023</v>
      </c>
    </row>
    <row r="100" spans="1:13" ht="15.75" customHeight="1">
      <c r="A100" s="17" t="s">
        <v>2970</v>
      </c>
      <c r="B100" s="18" t="s">
        <v>291</v>
      </c>
      <c r="C100" s="18" t="s">
        <v>2860</v>
      </c>
      <c r="D100" s="18" t="s">
        <v>228</v>
      </c>
      <c r="E100" s="18" t="s">
        <v>2884</v>
      </c>
      <c r="F100" s="17">
        <v>5</v>
      </c>
      <c r="G100" s="17">
        <v>10.09</v>
      </c>
      <c r="H100" s="17">
        <v>53.1</v>
      </c>
      <c r="I100" s="17">
        <v>1</v>
      </c>
      <c r="J100" s="17" t="s">
        <v>2905</v>
      </c>
      <c r="K100" s="17">
        <v>12.5</v>
      </c>
      <c r="L100" s="17" t="s">
        <v>2857</v>
      </c>
      <c r="M100" s="17">
        <v>2025</v>
      </c>
    </row>
    <row r="101" spans="1:13" ht="15.75" customHeight="1">
      <c r="A101" s="13" t="s">
        <v>2971</v>
      </c>
      <c r="B101" s="14" t="s">
        <v>2880</v>
      </c>
      <c r="C101" s="14" t="s">
        <v>2860</v>
      </c>
      <c r="D101" s="14" t="s">
        <v>122</v>
      </c>
      <c r="E101" s="14" t="s">
        <v>2898</v>
      </c>
      <c r="F101" s="13">
        <v>6</v>
      </c>
      <c r="G101" s="13">
        <v>6.18</v>
      </c>
      <c r="H101" s="13">
        <v>73.7</v>
      </c>
      <c r="I101" s="13">
        <v>4</v>
      </c>
      <c r="J101" s="13" t="s">
        <v>2905</v>
      </c>
      <c r="K101" s="13"/>
      <c r="L101" s="13" t="s">
        <v>2605</v>
      </c>
      <c r="M101" s="13">
        <v>2023</v>
      </c>
    </row>
    <row r="102" spans="1:13" ht="15.75" customHeight="1">
      <c r="A102" s="17" t="s">
        <v>2972</v>
      </c>
      <c r="B102" s="18" t="s">
        <v>2874</v>
      </c>
      <c r="C102" s="18" t="s">
        <v>2854</v>
      </c>
      <c r="D102" s="18" t="s">
        <v>485</v>
      </c>
      <c r="E102" s="18" t="s">
        <v>2872</v>
      </c>
      <c r="F102" s="17">
        <v>3</v>
      </c>
      <c r="G102" s="17">
        <v>5.45</v>
      </c>
      <c r="H102" s="17">
        <v>90.6</v>
      </c>
      <c r="I102" s="17">
        <v>0</v>
      </c>
      <c r="J102" s="17" t="s">
        <v>2856</v>
      </c>
      <c r="K102" s="17"/>
      <c r="L102" s="17" t="s">
        <v>2857</v>
      </c>
      <c r="M102" s="17">
        <v>2024</v>
      </c>
    </row>
    <row r="103" spans="1:13" ht="15.75" customHeight="1">
      <c r="A103" s="13" t="s">
        <v>2973</v>
      </c>
      <c r="B103" s="14" t="s">
        <v>2900</v>
      </c>
      <c r="C103" s="14" t="s">
        <v>2860</v>
      </c>
      <c r="D103" s="14" t="s">
        <v>151</v>
      </c>
      <c r="E103" s="14" t="s">
        <v>2898</v>
      </c>
      <c r="F103" s="13">
        <v>2</v>
      </c>
      <c r="G103" s="13">
        <v>5.73</v>
      </c>
      <c r="H103" s="13">
        <v>104.1</v>
      </c>
      <c r="I103" s="13">
        <v>0</v>
      </c>
      <c r="J103" s="13" t="s">
        <v>2861</v>
      </c>
      <c r="K103" s="13"/>
      <c r="L103" s="13" t="s">
        <v>2878</v>
      </c>
      <c r="M103" s="13" t="s">
        <v>2862</v>
      </c>
    </row>
    <row r="104" spans="1:13" ht="15.75" customHeight="1">
      <c r="A104" s="17" t="s">
        <v>2974</v>
      </c>
      <c r="B104" s="18" t="s">
        <v>2874</v>
      </c>
      <c r="C104" s="18" t="s">
        <v>2871</v>
      </c>
      <c r="D104" s="18" t="s">
        <v>172</v>
      </c>
      <c r="E104" s="18" t="s">
        <v>2866</v>
      </c>
      <c r="F104" s="17">
        <v>8</v>
      </c>
      <c r="G104" s="17">
        <v>5.21</v>
      </c>
      <c r="H104" s="17">
        <v>82.1</v>
      </c>
      <c r="I104" s="17">
        <v>0</v>
      </c>
      <c r="J104" s="17" t="s">
        <v>2867</v>
      </c>
      <c r="K104" s="17">
        <v>16.5</v>
      </c>
      <c r="L104" s="17" t="s">
        <v>2878</v>
      </c>
      <c r="M104" s="17">
        <v>2023</v>
      </c>
    </row>
    <row r="105" spans="1:13" ht="15.75" customHeight="1">
      <c r="A105" s="13" t="s">
        <v>2975</v>
      </c>
      <c r="B105" s="14" t="s">
        <v>2880</v>
      </c>
      <c r="C105" s="14" t="s">
        <v>2881</v>
      </c>
      <c r="D105" s="14" t="s">
        <v>172</v>
      </c>
      <c r="E105" s="14" t="s">
        <v>2898</v>
      </c>
      <c r="F105" s="13">
        <v>4</v>
      </c>
      <c r="G105" s="13">
        <v>6.56</v>
      </c>
      <c r="H105" s="13">
        <v>53.6</v>
      </c>
      <c r="I105" s="13">
        <v>5</v>
      </c>
      <c r="J105" s="13" t="s">
        <v>2867</v>
      </c>
      <c r="K105" s="13">
        <v>8.6999999999999993</v>
      </c>
      <c r="L105" s="13" t="s">
        <v>2604</v>
      </c>
      <c r="M105" s="13">
        <v>2025</v>
      </c>
    </row>
    <row r="106" spans="1:13" ht="15.75" customHeight="1">
      <c r="A106" s="17" t="s">
        <v>2976</v>
      </c>
      <c r="B106" s="18" t="s">
        <v>291</v>
      </c>
      <c r="C106" s="18" t="s">
        <v>2865</v>
      </c>
      <c r="D106" s="18" t="s">
        <v>485</v>
      </c>
      <c r="E106" s="18" t="s">
        <v>2886</v>
      </c>
      <c r="F106" s="17">
        <v>7</v>
      </c>
      <c r="G106" s="17">
        <v>8.66</v>
      </c>
      <c r="H106" s="17">
        <v>88.2</v>
      </c>
      <c r="I106" s="17">
        <v>1</v>
      </c>
      <c r="J106" s="17" t="s">
        <v>2867</v>
      </c>
      <c r="K106" s="17">
        <v>10.9</v>
      </c>
      <c r="L106" s="17" t="s">
        <v>2876</v>
      </c>
      <c r="M106" s="17">
        <v>2024</v>
      </c>
    </row>
    <row r="107" spans="1:13" ht="15.75" customHeight="1">
      <c r="A107" s="13" t="s">
        <v>2977</v>
      </c>
      <c r="B107" s="14" t="s">
        <v>2859</v>
      </c>
      <c r="C107" s="14" t="s">
        <v>2871</v>
      </c>
      <c r="D107" s="14" t="s">
        <v>61</v>
      </c>
      <c r="E107" s="14" t="s">
        <v>2886</v>
      </c>
      <c r="F107" s="13">
        <v>3</v>
      </c>
      <c r="G107" s="13">
        <v>7.54</v>
      </c>
      <c r="H107" s="13">
        <v>88.7</v>
      </c>
      <c r="I107" s="13">
        <v>1</v>
      </c>
      <c r="J107" s="13" t="s">
        <v>2888</v>
      </c>
      <c r="K107" s="13"/>
      <c r="L107" s="13" t="s">
        <v>2605</v>
      </c>
      <c r="M107" s="13" t="s">
        <v>2862</v>
      </c>
    </row>
    <row r="108" spans="1:13" ht="15.75" customHeight="1">
      <c r="A108" s="17" t="s">
        <v>2978</v>
      </c>
      <c r="B108" s="18" t="s">
        <v>291</v>
      </c>
      <c r="C108" s="18" t="s">
        <v>2865</v>
      </c>
      <c r="D108" s="18" t="s">
        <v>439</v>
      </c>
      <c r="E108" s="18" t="s">
        <v>2872</v>
      </c>
      <c r="F108" s="17">
        <v>5</v>
      </c>
      <c r="G108" s="17">
        <v>8.7799999999999994</v>
      </c>
      <c r="H108" s="17">
        <v>81.900000000000006</v>
      </c>
      <c r="I108" s="17">
        <v>5</v>
      </c>
      <c r="J108" s="17" t="s">
        <v>2861</v>
      </c>
      <c r="K108" s="17">
        <v>12.6</v>
      </c>
      <c r="L108" s="17" t="s">
        <v>2857</v>
      </c>
      <c r="M108" s="17">
        <v>2023</v>
      </c>
    </row>
    <row r="109" spans="1:13" ht="15.75" customHeight="1">
      <c r="A109" s="13" t="s">
        <v>2978</v>
      </c>
      <c r="B109" s="14" t="s">
        <v>291</v>
      </c>
      <c r="C109" s="14" t="s">
        <v>2860</v>
      </c>
      <c r="D109" s="14" t="s">
        <v>172</v>
      </c>
      <c r="E109" s="14" t="s">
        <v>2877</v>
      </c>
      <c r="F109" s="13">
        <v>8</v>
      </c>
      <c r="G109" s="13">
        <v>5.86</v>
      </c>
      <c r="H109" s="13">
        <v>60.5</v>
      </c>
      <c r="I109" s="13">
        <v>3</v>
      </c>
      <c r="J109" s="13" t="s">
        <v>2888</v>
      </c>
      <c r="K109" s="13"/>
      <c r="L109" s="13" t="s">
        <v>2906</v>
      </c>
      <c r="M109" s="13" t="s">
        <v>2862</v>
      </c>
    </row>
    <row r="110" spans="1:13" ht="15.75" customHeight="1">
      <c r="A110" s="17" t="s">
        <v>2979</v>
      </c>
      <c r="B110" s="18" t="s">
        <v>2853</v>
      </c>
      <c r="C110" s="18" t="s">
        <v>2875</v>
      </c>
      <c r="D110" s="18" t="s">
        <v>485</v>
      </c>
      <c r="E110" s="18" t="s">
        <v>2872</v>
      </c>
      <c r="F110" s="17">
        <v>3</v>
      </c>
      <c r="G110" s="17">
        <v>5.73</v>
      </c>
      <c r="H110" s="17">
        <v>68</v>
      </c>
      <c r="I110" s="17">
        <v>0</v>
      </c>
      <c r="J110" s="17" t="s">
        <v>2861</v>
      </c>
      <c r="K110" s="17">
        <v>12.3</v>
      </c>
      <c r="L110" s="17" t="s">
        <v>2878</v>
      </c>
      <c r="M110" s="17">
        <v>2025</v>
      </c>
    </row>
    <row r="111" spans="1:13" ht="15.75" customHeight="1">
      <c r="A111" s="13" t="s">
        <v>2980</v>
      </c>
      <c r="B111" s="14" t="s">
        <v>2874</v>
      </c>
      <c r="C111" s="14" t="s">
        <v>2875</v>
      </c>
      <c r="D111" s="14" t="s">
        <v>172</v>
      </c>
      <c r="E111" s="14" t="s">
        <v>2855</v>
      </c>
      <c r="F111" s="13">
        <v>4</v>
      </c>
      <c r="G111" s="13">
        <v>7.68</v>
      </c>
      <c r="H111" s="13">
        <v>104.4</v>
      </c>
      <c r="I111" s="13">
        <v>5</v>
      </c>
      <c r="J111" s="13" t="s">
        <v>2861</v>
      </c>
      <c r="K111" s="13"/>
      <c r="L111" s="13" t="s">
        <v>2906</v>
      </c>
      <c r="M111" s="13">
        <v>2023</v>
      </c>
    </row>
    <row r="112" spans="1:13" ht="15.75" customHeight="1">
      <c r="A112" s="17" t="s">
        <v>2980</v>
      </c>
      <c r="B112" s="18" t="s">
        <v>2900</v>
      </c>
      <c r="C112" s="18" t="s">
        <v>2854</v>
      </c>
      <c r="D112" s="18" t="s">
        <v>439</v>
      </c>
      <c r="E112" s="18" t="s">
        <v>2877</v>
      </c>
      <c r="F112" s="17">
        <v>4</v>
      </c>
      <c r="G112" s="17">
        <v>8.4700000000000006</v>
      </c>
      <c r="H112" s="17">
        <v>89.1</v>
      </c>
      <c r="I112" s="17">
        <v>1</v>
      </c>
      <c r="J112" s="17" t="s">
        <v>2867</v>
      </c>
      <c r="K112" s="17">
        <v>11.2</v>
      </c>
      <c r="L112" s="17" t="s">
        <v>2606</v>
      </c>
      <c r="M112" s="17" t="s">
        <v>2862</v>
      </c>
    </row>
    <row r="113" spans="1:13" ht="15.75" customHeight="1">
      <c r="A113" s="13" t="s">
        <v>2981</v>
      </c>
      <c r="B113" s="14" t="s">
        <v>2890</v>
      </c>
      <c r="C113" s="14" t="s">
        <v>2865</v>
      </c>
      <c r="D113" s="14" t="s">
        <v>485</v>
      </c>
      <c r="E113" s="14" t="s">
        <v>2884</v>
      </c>
      <c r="F113" s="13">
        <v>8</v>
      </c>
      <c r="G113" s="13">
        <v>7.15</v>
      </c>
      <c r="H113" s="13">
        <v>79.099999999999994</v>
      </c>
      <c r="I113" s="13">
        <v>5</v>
      </c>
      <c r="J113" s="13" t="s">
        <v>2903</v>
      </c>
      <c r="K113" s="13">
        <v>23.4</v>
      </c>
      <c r="L113" s="13" t="s">
        <v>2606</v>
      </c>
      <c r="M113" s="13" t="s">
        <v>2862</v>
      </c>
    </row>
    <row r="114" spans="1:13" ht="15.75" customHeight="1">
      <c r="A114" s="17" t="s">
        <v>2981</v>
      </c>
      <c r="B114" s="18" t="s">
        <v>2890</v>
      </c>
      <c r="C114" s="18" t="s">
        <v>2854</v>
      </c>
      <c r="D114" s="18" t="s">
        <v>61</v>
      </c>
      <c r="E114" s="18" t="s">
        <v>2886</v>
      </c>
      <c r="F114" s="17">
        <v>7</v>
      </c>
      <c r="G114" s="17">
        <v>10.48</v>
      </c>
      <c r="H114" s="17">
        <v>75.099999999999994</v>
      </c>
      <c r="I114" s="17">
        <v>3</v>
      </c>
      <c r="J114" s="17" t="s">
        <v>2903</v>
      </c>
      <c r="K114" s="17"/>
      <c r="L114" s="17" t="s">
        <v>2868</v>
      </c>
      <c r="M114" s="17" t="s">
        <v>2862</v>
      </c>
    </row>
    <row r="115" spans="1:13" ht="15.75" customHeight="1">
      <c r="A115" s="13" t="s">
        <v>2982</v>
      </c>
      <c r="B115" s="14" t="s">
        <v>2880</v>
      </c>
      <c r="C115" s="14" t="s">
        <v>2875</v>
      </c>
      <c r="D115" s="14" t="s">
        <v>228</v>
      </c>
      <c r="E115" s="14" t="s">
        <v>2886</v>
      </c>
      <c r="F115" s="13">
        <v>5</v>
      </c>
      <c r="G115" s="13">
        <v>6.23</v>
      </c>
      <c r="H115" s="13">
        <v>64.599999999999994</v>
      </c>
      <c r="I115" s="13">
        <v>0</v>
      </c>
      <c r="J115" s="13" t="s">
        <v>2903</v>
      </c>
      <c r="K115" s="13">
        <v>21.7</v>
      </c>
      <c r="L115" s="13" t="s">
        <v>2868</v>
      </c>
      <c r="M115" s="13">
        <v>2023</v>
      </c>
    </row>
    <row r="116" spans="1:13" ht="15.75" customHeight="1">
      <c r="A116" s="17" t="s">
        <v>2983</v>
      </c>
      <c r="B116" s="18" t="s">
        <v>2859</v>
      </c>
      <c r="C116" s="18" t="s">
        <v>2854</v>
      </c>
      <c r="D116" s="18" t="s">
        <v>485</v>
      </c>
      <c r="E116" s="18" t="s">
        <v>2855</v>
      </c>
      <c r="F116" s="17">
        <v>7</v>
      </c>
      <c r="G116" s="17">
        <v>10.24</v>
      </c>
      <c r="H116" s="17">
        <v>74.7</v>
      </c>
      <c r="I116" s="17">
        <v>0</v>
      </c>
      <c r="J116" s="17" t="s">
        <v>2903</v>
      </c>
      <c r="K116" s="17"/>
      <c r="L116" s="17" t="s">
        <v>2878</v>
      </c>
      <c r="M116" s="17">
        <v>2023</v>
      </c>
    </row>
    <row r="117" spans="1:13" ht="15.75" customHeight="1">
      <c r="A117" s="13" t="s">
        <v>2984</v>
      </c>
      <c r="B117" s="14" t="s">
        <v>2853</v>
      </c>
      <c r="C117" s="14" t="s">
        <v>2893</v>
      </c>
      <c r="D117" s="14" t="s">
        <v>439</v>
      </c>
      <c r="E117" s="14" t="s">
        <v>2872</v>
      </c>
      <c r="F117" s="13">
        <v>6</v>
      </c>
      <c r="G117" s="13">
        <v>10.44</v>
      </c>
      <c r="H117" s="13">
        <v>61.7</v>
      </c>
      <c r="I117" s="13">
        <v>1</v>
      </c>
      <c r="J117" s="13" t="s">
        <v>2903</v>
      </c>
      <c r="K117" s="13">
        <v>9.3000000000000007</v>
      </c>
      <c r="L117" s="13" t="s">
        <v>2868</v>
      </c>
      <c r="M117" s="13">
        <v>2023</v>
      </c>
    </row>
    <row r="118" spans="1:13" ht="15.75" customHeight="1"/>
    <row r="119" spans="1:13" ht="15.75" customHeight="1"/>
    <row r="120" spans="1:13" ht="15.75" customHeight="1"/>
    <row r="121" spans="1:13" ht="15.75" customHeight="1"/>
    <row r="122" spans="1:13" ht="15.75" customHeight="1"/>
    <row r="123" spans="1:13" ht="15.75" customHeight="1"/>
    <row r="124" spans="1:13" ht="15.75" customHeight="1"/>
    <row r="125" spans="1:13" ht="15.75" customHeight="1"/>
    <row r="126" spans="1:13" ht="15.75" customHeight="1"/>
    <row r="127" spans="1:13" ht="15.75" customHeight="1"/>
    <row r="128" spans="1:1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J1"/>
    <mergeCell ref="A2:J2"/>
    <mergeCell ref="A3:J3"/>
    <mergeCell ref="A14:E14"/>
    <mergeCell ref="A16:J1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📋 INDEX</vt:lpstr>
      <vt:lpstr>Dumy_data</vt:lpstr>
      <vt:lpstr>Raw_Data</vt:lpstr>
      <vt:lpstr>Data_Cleaning_Steps</vt:lpstr>
      <vt:lpstr>Clean_Data</vt:lpstr>
      <vt:lpstr>Data_Validation</vt:lpstr>
      <vt:lpstr>Lists</vt:lpstr>
      <vt:lpstr>Chart_Data</vt:lpstr>
      <vt:lpstr>Visualization_Guide</vt:lpstr>
      <vt:lpstr>Dashboard</vt:lpstr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Jayanth Sanapathi</cp:lastModifiedBy>
  <dcterms:created xsi:type="dcterms:W3CDTF">2026-04-13T06:37:35Z</dcterms:created>
  <dcterms:modified xsi:type="dcterms:W3CDTF">2026-04-27T07:30:50Z</dcterms:modified>
</cp:coreProperties>
</file>