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01_Tables_CtrlT" sheetId="2" state="visible" r:id="rId2"/>
    <sheet xmlns:r="http://schemas.openxmlformats.org/officeDocument/2006/relationships" name="02_Logical_IF_IFS_AND_OR" sheetId="3" state="visible" r:id="rId3"/>
    <sheet xmlns:r="http://schemas.openxmlformats.org/officeDocument/2006/relationships" name="03_Text_Functions" sheetId="4" state="visible" r:id="rId4"/>
    <sheet xmlns:r="http://schemas.openxmlformats.org/officeDocument/2006/relationships" name="04_Date_Functions" sheetId="5" state="visible" r:id="rId5"/>
    <sheet xmlns:r="http://schemas.openxmlformats.org/officeDocument/2006/relationships" name="05_Math_Stat_Functions" sheetId="6" state="visible" r:id="rId6"/>
    <sheet xmlns:r="http://schemas.openxmlformats.org/officeDocument/2006/relationships" name="06_Lookup_VLOOKUP_HLOOKUP" sheetId="7" state="visible" r:id="rId7"/>
    <sheet xmlns:r="http://schemas.openxmlformats.org/officeDocument/2006/relationships" name="07_Conditional_Formatting" sheetId="8" state="visible" r:id="rId8"/>
    <sheet xmlns:r="http://schemas.openxmlformats.org/officeDocument/2006/relationships" name="08_Charts_Column_Bar_Line_Pie" sheetId="9" state="visible" r:id="rId9"/>
    <sheet xmlns:r="http://schemas.openxmlformats.org/officeDocument/2006/relationships" name="09_Pivot_Tables" sheetId="10" state="visible" r:id="rId10"/>
    <sheet xmlns:r="http://schemas.openxmlformats.org/officeDocument/2006/relationships" name="10_XLOOKUP_Advanced" sheetId="11" state="visible" r:id="rId11"/>
    <sheet xmlns:r="http://schemas.openxmlformats.org/officeDocument/2006/relationships" name="11_Advanced_Integr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"/>
    <numFmt numFmtId="165" formatCode="0.0%"/>
    <numFmt numFmtId="166" formatCode="yyyy-mm-dd"/>
    <numFmt numFmtId="167" formatCode="DD-MMM-YYYY"/>
    <numFmt numFmtId="168" formatCode="DD-MMM-YYYY HH:MM"/>
    <numFmt numFmtId="169" formatCode="0.0&quot;%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74151"/>
      <sz val="9"/>
    </font>
    <font>
      <name val="Arial"/>
      <b val="1"/>
      <color rgb="00FFFFFF"/>
      <sz val="10"/>
    </font>
    <font>
      <name val="Arial"/>
      <b val="1"/>
      <color rgb="002563EB"/>
      <sz val="10"/>
    </font>
    <font>
      <name val="Arial"/>
      <color rgb="00374151"/>
      <sz val="10"/>
    </font>
    <font>
      <name val="Arial"/>
      <b val="1"/>
      <color rgb="00059669"/>
      <sz val="10"/>
    </font>
    <font>
      <name val="Courier New"/>
      <color rgb="002563EB"/>
      <sz val="10"/>
    </font>
    <font>
      <name val="Courier New"/>
      <color rgb="00374151"/>
      <sz val="10"/>
    </font>
    <font>
      <name val="Courier New"/>
      <b val="1"/>
      <color rgb="007DD3FC"/>
      <sz val="10"/>
    </font>
    <font>
      <name val="Arial"/>
      <b val="1"/>
      <color rgb="000EA5E9"/>
      <sz val="10"/>
    </font>
    <font>
      <name val="Arial"/>
      <b val="1"/>
      <color rgb="00D97706"/>
      <sz val="10"/>
    </font>
    <font>
      <name val="Arial"/>
      <color rgb="00374151"/>
      <sz val="9"/>
    </font>
    <font>
      <name val="Arial"/>
      <i val="1"/>
      <color rgb="00059669"/>
      <sz val="9"/>
    </font>
    <font>
      <name val="Arial"/>
      <b val="1"/>
      <color rgb="00374151"/>
      <sz val="10"/>
    </font>
    <font>
      <name val="Courier New"/>
      <color rgb="007C3AED"/>
      <sz val="10"/>
    </font>
    <font>
      <name val="Arial"/>
      <b val="1"/>
      <color rgb="007C3AED"/>
      <sz val="10"/>
    </font>
    <font>
      <name val="Arial"/>
      <color rgb="002563EB"/>
      <sz val="10"/>
    </font>
    <font>
      <name val="Arial"/>
      <color rgb="00059669"/>
      <sz val="10"/>
    </font>
    <font>
      <name val="Courier New"/>
      <b val="1"/>
      <color rgb="00059669"/>
      <sz val="10"/>
    </font>
    <font>
      <name val="Arial"/>
      <b val="1"/>
      <color rgb="00EA580C"/>
      <sz val="10"/>
    </font>
    <font>
      <name val="Courier New"/>
      <color rgb="00059669"/>
      <sz val="10"/>
    </font>
    <font>
      <name val="Courier New"/>
      <color rgb="000EA5E9"/>
      <sz val="10"/>
    </font>
    <font>
      <name val="Arial"/>
      <b val="1"/>
      <color rgb="00DC2626"/>
      <sz val="10"/>
    </font>
    <font>
      <name val="Courier New"/>
      <b val="1"/>
      <color rgb="000EA5E9"/>
      <sz val="10"/>
    </font>
    <font>
      <name val="Courier New"/>
      <b val="1"/>
      <color rgb="007C3AED"/>
      <sz val="10"/>
    </font>
    <font>
      <name val="Courier New"/>
      <b val="1"/>
      <color rgb="001B2A4A"/>
      <sz val="10"/>
    </font>
    <font>
      <name val="Arial"/>
      <color rgb="00DC2626"/>
      <sz val="10"/>
    </font>
    <font>
      <name val="Courier New"/>
      <b val="1"/>
      <color rgb="00DB2777"/>
      <sz val="10"/>
    </font>
    <font>
      <name val="Courier New"/>
      <b val="1"/>
      <color rgb="002563EB"/>
      <sz val="10"/>
    </font>
    <font>
      <name val="Courier New"/>
      <b val="1"/>
      <color rgb="00D97706"/>
      <sz val="10"/>
    </font>
    <font>
      <name val="Arial"/>
      <b val="1"/>
      <color rgb="00DB2777"/>
      <sz val="10"/>
    </font>
    <font>
      <name val="Arial"/>
      <b val="1"/>
      <color rgb="00FFFFFF"/>
      <sz val="18"/>
    </font>
    <font>
      <name val="Arial"/>
      <i val="1"/>
      <color rgb="0093C5FD"/>
      <sz val="11"/>
    </font>
    <font>
      <name val="Arial"/>
      <b val="1"/>
      <color rgb="001B2A4A"/>
      <sz val="10"/>
    </font>
    <font>
      <name val="Arial"/>
      <i val="1"/>
      <color rgb="00059669"/>
      <sz val="10"/>
    </font>
  </fonts>
  <fills count="2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EA580C"/>
      </patternFill>
    </fill>
    <fill>
      <patternFill patternType="solid">
        <fgColor rgb="00DBEAFE"/>
      </patternFill>
    </fill>
    <fill>
      <patternFill patternType="solid">
        <fgColor rgb="00DB2777"/>
      </patternFill>
    </fill>
    <fill>
      <patternFill patternType="solid">
        <fgColor rgb="00FCE7F3"/>
      </patternFill>
    </fill>
    <fill>
      <patternFill patternType="solid">
        <fgColor rgb="00DC2626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32" fillId="2" borderId="0" applyAlignment="1" pivotButton="0" quotePrefix="0" xfId="0">
      <alignment horizontal="center" vertical="center"/>
    </xf>
    <xf numFmtId="0" fontId="3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4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left" vertical="center"/>
    </xf>
    <xf numFmtId="0" fontId="35" fillId="9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1" fillId="5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164" fontId="9" fillId="2" borderId="1" applyAlignment="1" pivotButton="0" quotePrefix="0" xfId="0">
      <alignment horizontal="right" vertical="center" wrapText="1"/>
    </xf>
    <xf numFmtId="165" fontId="9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7" fontId="10" fillId="3" borderId="1" applyAlignment="1" pivotButton="0" quotePrefix="0" xfId="0">
      <alignment horizontal="center" vertical="center"/>
    </xf>
    <xf numFmtId="167" fontId="20" fillId="3" borderId="1" applyAlignment="1" pivotButton="0" quotePrefix="0" xfId="0">
      <alignment horizontal="center" vertical="center"/>
    </xf>
    <xf numFmtId="3" fontId="21" fillId="3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left" vertical="center" wrapText="1"/>
    </xf>
    <xf numFmtId="3" fontId="22" fillId="3" borderId="1" applyAlignment="1" pivotButton="0" quotePrefix="0" xfId="0">
      <alignment horizontal="left" vertical="center" wrapText="1"/>
    </xf>
    <xf numFmtId="167" fontId="5" fillId="4" borderId="1" applyAlignment="1" pivotButton="0" quotePrefix="0" xfId="0">
      <alignment horizontal="center" vertical="center"/>
    </xf>
    <xf numFmtId="167" fontId="10" fillId="4" borderId="1" applyAlignment="1" pivotButton="0" quotePrefix="0" xfId="0">
      <alignment horizontal="center" vertical="center"/>
    </xf>
    <xf numFmtId="167" fontId="20" fillId="4" borderId="1" applyAlignment="1" pivotButton="0" quotePrefix="0" xfId="0">
      <alignment horizontal="center" vertical="center"/>
    </xf>
    <xf numFmtId="3" fontId="21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left" vertical="center" wrapText="1"/>
    </xf>
    <xf numFmtId="3" fontId="22" fillId="4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3" fontId="19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168" fontId="19" fillId="4" borderId="1" applyAlignment="1" pivotButton="0" quotePrefix="0" xfId="0">
      <alignment horizontal="center" vertical="center" wrapText="1"/>
    </xf>
    <xf numFmtId="167" fontId="19" fillId="8" borderId="1" applyAlignment="1" pivotButton="0" quotePrefix="0" xfId="0">
      <alignment horizontal="center" vertical="center" wrapText="1"/>
    </xf>
    <xf numFmtId="167" fontId="19" fillId="4" borderId="1" applyAlignment="1" pivotButton="0" quotePrefix="0" xfId="0">
      <alignment horizontal="center" vertical="center" wrapText="1"/>
    </xf>
    <xf numFmtId="3" fontId="19" fillId="4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4" fontId="19" fillId="3" borderId="1" applyAlignment="1" pivotButton="0" quotePrefix="0" xfId="0">
      <alignment horizontal="right" vertical="center" wrapText="1"/>
    </xf>
    <xf numFmtId="9" fontId="23" fillId="3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right" vertical="center" wrapText="1"/>
    </xf>
    <xf numFmtId="164" fontId="25" fillId="3" borderId="1" applyAlignment="1" pivotButton="0" quotePrefix="0" xfId="0">
      <alignment horizontal="right" vertical="center" wrapText="1"/>
    </xf>
    <xf numFmtId="164" fontId="26" fillId="3" borderId="1" applyAlignment="1" pivotButton="0" quotePrefix="0" xfId="0">
      <alignment horizontal="right" vertical="center" wrapText="1"/>
    </xf>
    <xf numFmtId="0" fontId="20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19" fillId="4" borderId="1" applyAlignment="1" pivotButton="0" quotePrefix="0" xfId="0">
      <alignment horizontal="right" vertical="center" wrapText="1"/>
    </xf>
    <xf numFmtId="9" fontId="23" fillId="4" borderId="1" applyAlignment="1" pivotButton="0" quotePrefix="0" xfId="0">
      <alignment horizontal="center" vertical="center"/>
    </xf>
    <xf numFmtId="164" fontId="24" fillId="4" borderId="1" applyAlignment="1" pivotButton="0" quotePrefix="0" xfId="0">
      <alignment horizontal="right" vertical="center" wrapText="1"/>
    </xf>
    <xf numFmtId="164" fontId="25" fillId="4" borderId="1" applyAlignment="1" pivotButton="0" quotePrefix="0" xfId="0">
      <alignment horizontal="right" vertical="center" wrapText="1"/>
    </xf>
    <xf numFmtId="164" fontId="26" fillId="4" borderId="1" applyAlignment="1" pivotButton="0" quotePrefix="0" xfId="0">
      <alignment horizontal="right" vertical="center" wrapText="1"/>
    </xf>
    <xf numFmtId="0" fontId="11" fillId="8" borderId="1" applyAlignment="1" pivotButton="0" quotePrefix="0" xfId="0">
      <alignment horizontal="left" vertical="center"/>
    </xf>
    <xf numFmtId="164" fontId="19" fillId="8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left" vertical="center"/>
    </xf>
    <xf numFmtId="3" fontId="19" fillId="4" borderId="1" applyAlignment="1" pivotButton="0" quotePrefix="0" xfId="0">
      <alignment horizontal="right" vertical="center" wrapText="1"/>
    </xf>
    <xf numFmtId="3" fontId="19" fillId="8" borderId="1" applyAlignment="1" pivotButton="0" quotePrefix="0" xfId="0">
      <alignment horizontal="right" vertical="center" wrapText="1"/>
    </xf>
    <xf numFmtId="0" fontId="16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9" fontId="25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164" fontId="19" fillId="7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164" fontId="28" fillId="3" borderId="1" applyAlignment="1" pivotButton="0" quotePrefix="0" xfId="0">
      <alignment horizontal="right" vertical="center" wrapText="1"/>
    </xf>
    <xf numFmtId="0" fontId="29" fillId="3" borderId="1" applyAlignment="1" pivotButton="0" quotePrefix="0" xfId="0">
      <alignment horizontal="center" vertical="center" wrapText="1"/>
    </xf>
    <xf numFmtId="165" fontId="30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164" fontId="28" fillId="4" borderId="1" applyAlignment="1" pivotButton="0" quotePrefix="0" xfId="0">
      <alignment horizontal="right" vertical="center" wrapText="1"/>
    </xf>
    <xf numFmtId="0" fontId="29" fillId="4" borderId="1" applyAlignment="1" pivotButton="0" quotePrefix="0" xfId="0">
      <alignment horizontal="center" vertical="center" wrapText="1"/>
    </xf>
    <xf numFmtId="165" fontId="30" fillId="4" borderId="1" applyAlignment="1" pivotButton="0" quotePrefix="0" xfId="0">
      <alignment horizontal="center" vertical="center" wrapText="1"/>
    </xf>
    <xf numFmtId="0" fontId="31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 wrapText="1"/>
    </xf>
    <xf numFmtId="0" fontId="31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9" fontId="21" fillId="4" borderId="1" applyAlignment="1" pivotButton="0" quotePrefix="0" xfId="0">
      <alignment horizontal="left" vertical="center" wrapText="1"/>
    </xf>
    <xf numFmtId="169" fontId="21" fillId="3" borderId="1" applyAlignment="1" pivotButton="0" quotePrefix="0" xfId="0">
      <alignment horizontal="left" vertical="center" wrapText="1"/>
    </xf>
    <xf numFmtId="165" fontId="15" fillId="3" borderId="1" applyAlignment="1" pivotButton="0" quotePrefix="0" xfId="0">
      <alignment horizontal="left" vertical="center" wrapText="1"/>
    </xf>
    <xf numFmtId="165" fontId="15" fillId="4" borderId="1" applyAlignment="1" pivotButton="0" quotePrefix="0" xfId="0">
      <alignment horizontal="left" vertical="center" wrapText="1"/>
    </xf>
    <xf numFmtId="164" fontId="16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left" vertical="center" wrapText="1"/>
    </xf>
    <xf numFmtId="164" fontId="16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164" fontId="29" fillId="3" borderId="1" applyAlignment="1" pivotButton="0" quotePrefix="0" xfId="0">
      <alignment horizontal="right" vertical="center" wrapText="1"/>
    </xf>
    <xf numFmtId="164" fontId="29" fillId="4" borderId="1" applyAlignment="1" pivotButton="0" quotePrefix="0" xfId="0">
      <alignment horizontal="right" vertical="center" wrapText="1"/>
    </xf>
    <xf numFmtId="0" fontId="1" fillId="18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3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164" fontId="19" fillId="4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 wrapText="1"/>
    </xf>
    <xf numFmtId="164" fontId="19" fillId="11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164" fontId="19" fillId="15" borderId="1" applyAlignment="1" pivotButton="0" quotePrefix="0" xfId="0">
      <alignment horizontal="center" vertical="center" wrapText="1"/>
    </xf>
    <xf numFmtId="49" fontId="19" fillId="1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>
          <bgColor rgb="00D1FAE5"/>
        </patternFill>
      </fill>
    </dxf>
    <dxf>
      <fill>
        <patternFill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8" customWidth="1" min="4" max="4"/>
    <col width="20" customWidth="1" min="5" max="5"/>
    <col width="20" customWidth="1" min="6" max="6"/>
  </cols>
  <sheetData>
    <row r="2" ht="36" customHeight="1">
      <c r="B2" s="1" t="inlineStr">
        <is>
          <t>🎯  Excel Formulas &amp; Functions — Complete Workbook</t>
        </is>
      </c>
    </row>
    <row r="3" ht="22" customHeight="1">
      <c r="B3" s="2" t="inlineStr">
        <is>
          <t>11 Topic Sheets  ·  All Formulas  ·  Example Data  ·  Exercises  ·  Indian Context</t>
        </is>
      </c>
    </row>
    <row r="5" ht="22" customHeight="1">
      <c r="B5" s="3" t="inlineStr">
        <is>
          <t>Sheet Name</t>
        </is>
      </c>
      <c r="C5" s="3" t="inlineStr">
        <is>
          <t>Topic</t>
        </is>
      </c>
      <c r="D5" s="3" t="inlineStr">
        <is>
          <t>Key Functions &amp; Content</t>
        </is>
      </c>
      <c r="E5" s="4" t="n"/>
      <c r="F5" s="5" t="n"/>
    </row>
    <row r="6" ht="22" customHeight="1">
      <c r="B6" s="6" t="inlineStr">
        <is>
          <t>01_Tables_CtrlT</t>
        </is>
      </c>
      <c r="C6" s="7" t="inlineStr">
        <is>
          <t>📊 Tables (Ctrl+T)</t>
        </is>
      </c>
      <c r="D6" s="8" t="inlineStr">
        <is>
          <t>Smart tables, auto-expand, structured refs, total row</t>
        </is>
      </c>
    </row>
    <row r="7" ht="22" customHeight="1">
      <c r="B7" s="9" t="inlineStr">
        <is>
          <t>02_Logical_IF_IFS_AND_OR</t>
        </is>
      </c>
      <c r="C7" s="10" t="inlineStr">
        <is>
          <t>🧠 Logical Functions</t>
        </is>
      </c>
      <c r="D7" s="11" t="inlineStr">
        <is>
          <t>IF, IFS, AND, OR, NOT — conditional logic with student exam data</t>
        </is>
      </c>
    </row>
    <row r="8" ht="22" customHeight="1">
      <c r="B8" s="12" t="inlineStr">
        <is>
          <t>03_Text_Functions</t>
        </is>
      </c>
      <c r="C8" s="7" t="inlineStr">
        <is>
          <t>📝 Text Functions</t>
        </is>
      </c>
      <c r="D8" s="8" t="inlineStr">
        <is>
          <t>LEFT, RIGHT, MID, LEN, TRIM, UPPER, LOWER, CONCAT, TEXTJOIN</t>
        </is>
      </c>
    </row>
    <row r="9" ht="22" customHeight="1">
      <c r="B9" s="13" t="inlineStr">
        <is>
          <t>04_Date_Functions</t>
        </is>
      </c>
      <c r="C9" s="10" t="inlineStr">
        <is>
          <t>📅 Date Functions</t>
        </is>
      </c>
      <c r="D9" s="11" t="inlineStr">
        <is>
          <t>TODAY, NOW, DATE, EDATE, DATEDIF, NETWORKDAYS — with employee tenure</t>
        </is>
      </c>
    </row>
    <row r="10" ht="22" customHeight="1">
      <c r="B10" s="14" t="inlineStr">
        <is>
          <t>05_Math_Stat_Functions</t>
        </is>
      </c>
      <c r="C10" s="7" t="inlineStr">
        <is>
          <t>🔢 Math &amp; Stat</t>
        </is>
      </c>
      <c r="D10" s="8" t="inlineStr">
        <is>
          <t>SUM, AVERAGE, COUNT, COUNTA, ROUND, INT, MOD — with product data</t>
        </is>
      </c>
    </row>
    <row r="11" ht="22" customHeight="1">
      <c r="B11" s="15" t="inlineStr">
        <is>
          <t>06_Lookup_VLOOKUP_HLOOKUP</t>
        </is>
      </c>
      <c r="C11" s="10" t="inlineStr">
        <is>
          <t>🔍 VLOOKUP &amp; HLOOKUP</t>
        </is>
      </c>
      <c r="D11" s="11" t="inlineStr">
        <is>
          <t>Vertical and horizontal lookups, IFERROR, comparison with XLOOKUP</t>
        </is>
      </c>
    </row>
    <row r="12" ht="22" customHeight="1">
      <c r="B12" s="16" t="inlineStr">
        <is>
          <t>07_Conditional_Formatting</t>
        </is>
      </c>
      <c r="C12" s="7" t="inlineStr">
        <is>
          <t>🎨 Conditional Formatting</t>
        </is>
      </c>
      <c r="D12" s="8" t="inlineStr">
        <is>
          <t>Greater than, top 10%, duplicates, color scales, data bars, icon sets</t>
        </is>
      </c>
    </row>
    <row r="13" ht="22" customHeight="1">
      <c r="B13" s="17" t="inlineStr">
        <is>
          <t>08_Charts_Column_Bar_Line_Pie</t>
        </is>
      </c>
      <c r="C13" s="10" t="inlineStr">
        <is>
          <t>📊 Charts</t>
        </is>
      </c>
      <c r="D13" s="11" t="inlineStr">
        <is>
          <t>Column, Bar, Line, Pie, Combo — chart selection guide + exercises</t>
        </is>
      </c>
    </row>
    <row r="14" ht="22" customHeight="1">
      <c r="B14" s="18" t="inlineStr">
        <is>
          <t>09_Pivot_Tables</t>
        </is>
      </c>
      <c r="C14" s="7" t="inlineStr">
        <is>
          <t>🔄 Pivot Tables</t>
        </is>
      </c>
      <c r="D14" s="8" t="inlineStr">
        <is>
          <t>Create, group, filter, drill-down, slicer, PivotChart — order data</t>
        </is>
      </c>
    </row>
    <row r="15" ht="22" customHeight="1">
      <c r="B15" s="19" t="inlineStr">
        <is>
          <t>10_XLOOKUP_Advanced</t>
        </is>
      </c>
      <c r="C15" s="10" t="inlineStr">
        <is>
          <t>🚀 XLOOKUP Advanced</t>
        </is>
      </c>
      <c r="D15" s="11" t="inlineStr">
        <is>
          <t>Syntax, wildcard, multi-col, 2-way, reverse search, vs VLOOKUP</t>
        </is>
      </c>
    </row>
    <row r="16" ht="22" customHeight="1">
      <c r="B16" s="6" t="inlineStr">
        <is>
          <t>11_Advanced_Integration</t>
        </is>
      </c>
      <c r="C16" s="7" t="inlineStr">
        <is>
          <t>⚡ Advanced Integration</t>
        </is>
      </c>
      <c r="D16" s="8" t="inlineStr">
        <is>
          <t>XLOOKUP+Pivot, nested formulas, cross-sheet, use cases, dashboard</t>
        </is>
      </c>
    </row>
    <row r="18" ht="20" customHeight="1">
      <c r="B18" s="20" t="inlineStr">
        <is>
          <t>💡  Each sheet contains: Sample Data (Indian context) → Formula Examples → Function Reference → Exercises → Tips</t>
        </is>
      </c>
    </row>
  </sheetData>
  <mergeCells count="15">
    <mergeCell ref="D11:F11"/>
    <mergeCell ref="D13:F13"/>
    <mergeCell ref="D14:F14"/>
    <mergeCell ref="D5:F5"/>
    <mergeCell ref="B2:F2"/>
    <mergeCell ref="B18:F18"/>
    <mergeCell ref="B3:F3"/>
    <mergeCell ref="D12:F12"/>
    <mergeCell ref="D9:F9"/>
    <mergeCell ref="D7:F7"/>
    <mergeCell ref="D8:F8"/>
    <mergeCell ref="D6:F6"/>
    <mergeCell ref="D15:F15"/>
    <mergeCell ref="D16:F16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H3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4" customWidth="1" min="8" max="8"/>
  </cols>
  <sheetData>
    <row r="1" ht="22" customHeight="1">
      <c r="A1" s="21" t="inlineStr">
        <is>
          <t xml:space="preserve">  📊  INTRODUCTION TO TABLES (Ctrl+T)  —  Smart, Auto-Expanding Data Ranges</t>
        </is>
      </c>
    </row>
    <row r="2" ht="18" customHeight="1">
      <c r="A2" s="22" t="inlineStr">
        <is>
          <t xml:space="preserve">  CONCEPT:  Format data as an Excel Table to enable auto-filters, structured references, and automatic formula expansion.</t>
        </is>
      </c>
    </row>
    <row r="3" ht="8" customHeight="1">
      <c r="A3" s="23" t="n"/>
    </row>
    <row r="4" ht="22" customHeight="1">
      <c r="A4" s="24" t="inlineStr">
        <is>
          <t xml:space="preserve">  SAMPLE DATA — Indian Sales Team Performance (Format this range as a Table → Ctrl+T)</t>
        </is>
      </c>
    </row>
    <row r="5">
      <c r="A5" s="25" t="inlineStr">
        <is>
          <t>Emp ID</t>
        </is>
      </c>
      <c r="B5" s="25" t="inlineStr">
        <is>
          <t>Employee Name</t>
        </is>
      </c>
      <c r="C5" s="25" t="inlineStr">
        <is>
          <t>City</t>
        </is>
      </c>
      <c r="D5" s="25" t="inlineStr">
        <is>
          <t>Department</t>
        </is>
      </c>
      <c r="E5" s="25" t="inlineStr">
        <is>
          <t>Sales (₹)</t>
        </is>
      </c>
      <c r="F5" s="25" t="inlineStr">
        <is>
          <t>Target (₹)</t>
        </is>
      </c>
      <c r="G5" s="25" t="inlineStr">
        <is>
          <t>% Achieved</t>
        </is>
      </c>
      <c r="H5" s="25" t="inlineStr">
        <is>
          <t>Status</t>
        </is>
      </c>
    </row>
    <row r="6">
      <c r="A6" s="26" t="inlineStr">
        <is>
          <t>E001</t>
        </is>
      </c>
      <c r="B6" s="27" t="inlineStr">
        <is>
          <t>Aarav Shah</t>
        </is>
      </c>
      <c r="C6" s="27" t="inlineStr">
        <is>
          <t>Mumbai</t>
        </is>
      </c>
      <c r="D6" s="27" t="inlineStr">
        <is>
          <t>Sales</t>
        </is>
      </c>
      <c r="E6" s="28" t="n">
        <v>285000</v>
      </c>
      <c r="F6" s="29" t="n">
        <v>250000</v>
      </c>
      <c r="G6" s="30">
        <f>E6/F6</f>
        <v/>
      </c>
      <c r="H6" s="31">
        <f>IF(G6&gt;=1,"✅ Achieved","❌ Missed")</f>
        <v/>
      </c>
    </row>
    <row r="7">
      <c r="A7" s="32" t="inlineStr">
        <is>
          <t>E002</t>
        </is>
      </c>
      <c r="B7" s="33" t="inlineStr">
        <is>
          <t>Diya Sharma</t>
        </is>
      </c>
      <c r="C7" s="33" t="inlineStr">
        <is>
          <t>Delhi</t>
        </is>
      </c>
      <c r="D7" s="33" t="inlineStr">
        <is>
          <t>Sales</t>
        </is>
      </c>
      <c r="E7" s="34" t="n">
        <v>198000</v>
      </c>
      <c r="F7" s="35" t="n">
        <v>220000</v>
      </c>
      <c r="G7" s="36">
        <f>E7/F7</f>
        <v/>
      </c>
      <c r="H7" s="37">
        <f>IF(G7&gt;=1,"✅ Achieved","❌ Missed")</f>
        <v/>
      </c>
    </row>
    <row r="8">
      <c r="A8" s="26" t="inlineStr">
        <is>
          <t>E003</t>
        </is>
      </c>
      <c r="B8" s="27" t="inlineStr">
        <is>
          <t>Vivaan Reddy</t>
        </is>
      </c>
      <c r="C8" s="27" t="inlineStr">
        <is>
          <t>Bengaluru</t>
        </is>
      </c>
      <c r="D8" s="27" t="inlineStr">
        <is>
          <t>Marketing</t>
        </is>
      </c>
      <c r="E8" s="28" t="n">
        <v>310000</v>
      </c>
      <c r="F8" s="29" t="n">
        <v>300000</v>
      </c>
      <c r="G8" s="30">
        <f>E8/F8</f>
        <v/>
      </c>
      <c r="H8" s="31">
        <f>IF(G8&gt;=1,"✅ Achieved","❌ Missed")</f>
        <v/>
      </c>
    </row>
    <row r="9">
      <c r="A9" s="32" t="inlineStr">
        <is>
          <t>E004</t>
        </is>
      </c>
      <c r="B9" s="33" t="inlineStr">
        <is>
          <t>Ananya Nair</t>
        </is>
      </c>
      <c r="C9" s="33" t="inlineStr">
        <is>
          <t>Hyderabad</t>
        </is>
      </c>
      <c r="D9" s="33" t="inlineStr">
        <is>
          <t>Sales</t>
        </is>
      </c>
      <c r="E9" s="34" t="n">
        <v>175000</v>
      </c>
      <c r="F9" s="35" t="n">
        <v>200000</v>
      </c>
      <c r="G9" s="36">
        <f>E9/F9</f>
        <v/>
      </c>
      <c r="H9" s="37">
        <f>IF(G9&gt;=1,"✅ Achieved","❌ Missed")</f>
        <v/>
      </c>
    </row>
    <row r="10">
      <c r="A10" s="26" t="inlineStr">
        <is>
          <t>E005</t>
        </is>
      </c>
      <c r="B10" s="27" t="inlineStr">
        <is>
          <t>Kabir Mehta</t>
        </is>
      </c>
      <c r="C10" s="27" t="inlineStr">
        <is>
          <t>Chennai</t>
        </is>
      </c>
      <c r="D10" s="27" t="inlineStr">
        <is>
          <t>Marketing</t>
        </is>
      </c>
      <c r="E10" s="28" t="n">
        <v>260000</v>
      </c>
      <c r="F10" s="29" t="n">
        <v>250000</v>
      </c>
      <c r="G10" s="30">
        <f>E10/F10</f>
        <v/>
      </c>
      <c r="H10" s="31">
        <f>IF(G10&gt;=1,"✅ Achieved","❌ Missed")</f>
        <v/>
      </c>
    </row>
    <row r="11">
      <c r="A11" s="32" t="inlineStr">
        <is>
          <t>E006</t>
        </is>
      </c>
      <c r="B11" s="33" t="inlineStr">
        <is>
          <t>Ishaan Bose</t>
        </is>
      </c>
      <c r="C11" s="33" t="inlineStr">
        <is>
          <t>Kolkata</t>
        </is>
      </c>
      <c r="D11" s="33" t="inlineStr">
        <is>
          <t>Sales</t>
        </is>
      </c>
      <c r="E11" s="34" t="n">
        <v>340000</v>
      </c>
      <c r="F11" s="35" t="n">
        <v>300000</v>
      </c>
      <c r="G11" s="36">
        <f>E11/F11</f>
        <v/>
      </c>
      <c r="H11" s="37">
        <f>IF(G11&gt;=1,"✅ Achieved","❌ Missed")</f>
        <v/>
      </c>
    </row>
    <row r="12">
      <c r="A12" s="26" t="inlineStr">
        <is>
          <t>E007</t>
        </is>
      </c>
      <c r="B12" s="27" t="inlineStr">
        <is>
          <t>Myra Joshi</t>
        </is>
      </c>
      <c r="C12" s="27" t="inlineStr">
        <is>
          <t>Pune</t>
        </is>
      </c>
      <c r="D12" s="27" t="inlineStr">
        <is>
          <t>HR</t>
        </is>
      </c>
      <c r="E12" s="28" t="n">
        <v>95000</v>
      </c>
      <c r="F12" s="29" t="n">
        <v>100000</v>
      </c>
      <c r="G12" s="30">
        <f>E12/F12</f>
        <v/>
      </c>
      <c r="H12" s="31">
        <f>IF(G12&gt;=1,"✅ Achieved","❌ Missed")</f>
        <v/>
      </c>
    </row>
    <row r="13">
      <c r="A13" s="32" t="inlineStr">
        <is>
          <t>E008</t>
        </is>
      </c>
      <c r="B13" s="33" t="inlineStr">
        <is>
          <t>Aryan Patel</t>
        </is>
      </c>
      <c r="C13" s="33" t="inlineStr">
        <is>
          <t>Ahmedabad</t>
        </is>
      </c>
      <c r="D13" s="33" t="inlineStr">
        <is>
          <t>Sales</t>
        </is>
      </c>
      <c r="E13" s="34" t="n">
        <v>215000</v>
      </c>
      <c r="F13" s="35" t="n">
        <v>220000</v>
      </c>
      <c r="G13" s="36">
        <f>E13/F13</f>
        <v/>
      </c>
      <c r="H13" s="37">
        <f>IF(G13&gt;=1,"✅ Achieved","❌ Missed")</f>
        <v/>
      </c>
    </row>
    <row r="14">
      <c r="A14" s="26" t="inlineStr">
        <is>
          <t>E009</t>
        </is>
      </c>
      <c r="B14" s="27" t="inlineStr">
        <is>
          <t>Kiara Gupta</t>
        </is>
      </c>
      <c r="C14" s="27" t="inlineStr">
        <is>
          <t>Jaipur</t>
        </is>
      </c>
      <c r="D14" s="27" t="inlineStr">
        <is>
          <t>Marketing</t>
        </is>
      </c>
      <c r="E14" s="28" t="n">
        <v>188000</v>
      </c>
      <c r="F14" s="29" t="n">
        <v>180000</v>
      </c>
      <c r="G14" s="30">
        <f>E14/F14</f>
        <v/>
      </c>
      <c r="H14" s="31">
        <f>IF(G14&gt;=1,"✅ Achieved","❌ Missed")</f>
        <v/>
      </c>
    </row>
    <row r="15">
      <c r="A15" s="32" t="inlineStr">
        <is>
          <t>E010</t>
        </is>
      </c>
      <c r="B15" s="33" t="inlineStr">
        <is>
          <t>Reyansh Singh</t>
        </is>
      </c>
      <c r="C15" s="33" t="inlineStr">
        <is>
          <t>Lucknow</t>
        </is>
      </c>
      <c r="D15" s="33" t="inlineStr">
        <is>
          <t>Sales</t>
        </is>
      </c>
      <c r="E15" s="34" t="n">
        <v>305000</v>
      </c>
      <c r="F15" s="35" t="n">
        <v>280000</v>
      </c>
      <c r="G15" s="36">
        <f>E15/F15</f>
        <v/>
      </c>
      <c r="H15" s="37">
        <f>IF(G15&gt;=1,"✅ Achieved","❌ Missed")</f>
        <v/>
      </c>
    </row>
    <row r="16">
      <c r="A16" s="26" t="inlineStr">
        <is>
          <t>E011</t>
        </is>
      </c>
      <c r="B16" s="27" t="inlineStr">
        <is>
          <t>Ira Desai</t>
        </is>
      </c>
      <c r="C16" s="27" t="inlineStr">
        <is>
          <t>Surat</t>
        </is>
      </c>
      <c r="D16" s="27" t="inlineStr">
        <is>
          <t>HR</t>
        </is>
      </c>
      <c r="E16" s="28" t="n">
        <v>88000</v>
      </c>
      <c r="F16" s="29" t="n">
        <v>100000</v>
      </c>
      <c r="G16" s="30">
        <f>E16/F16</f>
        <v/>
      </c>
      <c r="H16" s="31">
        <f>IF(G16&gt;=1,"✅ Achieved","❌ Missed")</f>
        <v/>
      </c>
    </row>
    <row r="17">
      <c r="A17" s="32" t="inlineStr">
        <is>
          <t>E012</t>
        </is>
      </c>
      <c r="B17" s="33" t="inlineStr">
        <is>
          <t>Shaurya Verma</t>
        </is>
      </c>
      <c r="C17" s="33" t="inlineStr">
        <is>
          <t>Kanpur</t>
        </is>
      </c>
      <c r="D17" s="33" t="inlineStr">
        <is>
          <t>Sales</t>
        </is>
      </c>
      <c r="E17" s="34" t="n">
        <v>240000</v>
      </c>
      <c r="F17" s="35" t="n">
        <v>230000</v>
      </c>
      <c r="G17" s="36">
        <f>E17/F17</f>
        <v/>
      </c>
      <c r="H17" s="37">
        <f>IF(G17&gt;=1,"✅ Achieved","❌ Missed")</f>
        <v/>
      </c>
    </row>
    <row r="18">
      <c r="A18" s="26" t="inlineStr">
        <is>
          <t>E013</t>
        </is>
      </c>
      <c r="B18" s="27" t="inlineStr">
        <is>
          <t>Aanya Kulkarni</t>
        </is>
      </c>
      <c r="C18" s="27" t="inlineStr">
        <is>
          <t>Nagpur</t>
        </is>
      </c>
      <c r="D18" s="27" t="inlineStr">
        <is>
          <t>Marketing</t>
        </is>
      </c>
      <c r="E18" s="28" t="n">
        <v>275000</v>
      </c>
      <c r="F18" s="29" t="n">
        <v>260000</v>
      </c>
      <c r="G18" s="30">
        <f>E18/F18</f>
        <v/>
      </c>
      <c r="H18" s="31">
        <f>IF(G18&gt;=1,"✅ Achieved","❌ Missed")</f>
        <v/>
      </c>
    </row>
    <row r="19">
      <c r="A19" s="32" t="inlineStr">
        <is>
          <t>E014</t>
        </is>
      </c>
      <c r="B19" s="33" t="inlineStr">
        <is>
          <t>Dhruv Tiwari</t>
        </is>
      </c>
      <c r="C19" s="33" t="inlineStr">
        <is>
          <t>Indore</t>
        </is>
      </c>
      <c r="D19" s="33" t="inlineStr">
        <is>
          <t>Sales</t>
        </is>
      </c>
      <c r="E19" s="34" t="n">
        <v>190000</v>
      </c>
      <c r="F19" s="35" t="n">
        <v>210000</v>
      </c>
      <c r="G19" s="36">
        <f>E19/F19</f>
        <v/>
      </c>
      <c r="H19" s="37">
        <f>IF(G19&gt;=1,"✅ Achieved","❌ Missed")</f>
        <v/>
      </c>
    </row>
    <row r="20">
      <c r="A20" s="26" t="inlineStr">
        <is>
          <t>E015</t>
        </is>
      </c>
      <c r="B20" s="27" t="inlineStr">
        <is>
          <t>Zara Malhotra</t>
        </is>
      </c>
      <c r="C20" s="27" t="inlineStr">
        <is>
          <t>Bhopal</t>
        </is>
      </c>
      <c r="D20" s="27" t="inlineStr">
        <is>
          <t>HR</t>
        </is>
      </c>
      <c r="E20" s="28" t="n">
        <v>110000</v>
      </c>
      <c r="F20" s="29" t="n">
        <v>100000</v>
      </c>
      <c r="G20" s="30">
        <f>E20/F20</f>
        <v/>
      </c>
      <c r="H20" s="31">
        <f>IF(G20&gt;=1,"✅ Achieved","❌ Missed")</f>
        <v/>
      </c>
    </row>
    <row r="21" ht="20" customHeight="1">
      <c r="A21" s="3" t="inlineStr">
        <is>
          <t>TOTALS</t>
        </is>
      </c>
      <c r="B21" s="3" t="inlineStr">
        <is>
          <t>15 Employees</t>
        </is>
      </c>
      <c r="E21" s="38">
        <f>SUM(E6:E20)</f>
        <v/>
      </c>
      <c r="F21" s="38">
        <f>SUM(F6:F20)</f>
        <v/>
      </c>
      <c r="G21" s="39">
        <f>E21/F21</f>
        <v/>
      </c>
      <c r="H21" s="40">
        <f>COUNTIF(H6:H20,"✅ Achieved")&amp;" of 15"</f>
        <v/>
      </c>
    </row>
    <row r="23" ht="22" customHeight="1">
      <c r="A23" s="41" t="inlineStr">
        <is>
          <t xml:space="preserve">  TABLE BENEFITS &amp; KEY FEATURES</t>
        </is>
      </c>
    </row>
    <row r="24">
      <c r="A24" s="42" t="inlineStr">
        <is>
          <t>Feature</t>
        </is>
      </c>
      <c r="B24" s="42" t="inlineStr">
        <is>
          <t>What It Does</t>
        </is>
      </c>
      <c r="C24" s="42" t="inlineStr">
        <is>
          <t>Example / Action</t>
        </is>
      </c>
    </row>
    <row r="25" ht="20" customHeight="1">
      <c r="A25" s="43" t="inlineStr">
        <is>
          <t>Auto-Filter Dropdowns</t>
        </is>
      </c>
      <c r="B25" s="44" t="inlineStr">
        <is>
          <t>Dropdown arrows appear on every column header automatically.</t>
        </is>
      </c>
      <c r="C25" s="45">
        <f>Ctrl+T on any range</f>
        <v/>
      </c>
    </row>
    <row r="26" ht="20" customHeight="1">
      <c r="A26" s="46" t="inlineStr">
        <is>
          <t>Structured References</t>
        </is>
      </c>
      <c r="B26" s="11" t="inlineStr">
        <is>
          <t>Use =Table1[Sales] instead of =$E$6:$E$20. Much easier to read.</t>
        </is>
      </c>
      <c r="C26" s="9">
        <f>SUM(Table1[Sales (₹)])</f>
        <v/>
      </c>
    </row>
    <row r="27" ht="20" customHeight="1">
      <c r="A27" s="43" t="inlineStr">
        <is>
          <t>Auto-Expansion</t>
        </is>
      </c>
      <c r="B27" s="44" t="inlineStr">
        <is>
          <t>Add a new row below the table — formulas fill down automatically.</t>
        </is>
      </c>
      <c r="C27" s="45" t="inlineStr">
        <is>
          <t>Type in row 21 to test</t>
        </is>
      </c>
    </row>
    <row r="28" ht="20" customHeight="1">
      <c r="A28" s="46" t="inlineStr">
        <is>
          <t>Total Row</t>
        </is>
      </c>
      <c r="B28" s="11" t="inlineStr">
        <is>
          <t>Right-click table → Table → Toggle Total Row for instant aggregates.</t>
        </is>
      </c>
      <c r="C28" s="9" t="inlineStr">
        <is>
          <t>SUM, AVG, COUNT, MAX...</t>
        </is>
      </c>
    </row>
    <row r="29" ht="20" customHeight="1">
      <c r="A29" s="43" t="inlineStr">
        <is>
          <t>Named Table</t>
        </is>
      </c>
      <c r="B29" s="44" t="inlineStr">
        <is>
          <t>Every table has a name (Table1). Rename in Table Design → Table Name.</t>
        </is>
      </c>
      <c r="C29" s="45" t="inlineStr">
        <is>
          <t>Use name in VLOOKUP etc.</t>
        </is>
      </c>
    </row>
    <row r="31" ht="20" customHeight="1">
      <c r="A31" s="47" t="inlineStr">
        <is>
          <t>✏️  EXERCISE — Apply Ctrl+T, Rename, Add Total Row, Sort, Filter</t>
        </is>
      </c>
    </row>
    <row r="32" ht="18" customHeight="1">
      <c r="A32" s="48" t="inlineStr">
        <is>
          <t>1.  Select the data range (including headers) → Press Ctrl+T → Confirm 'My table has headers' → OK</t>
        </is>
      </c>
    </row>
    <row r="33" ht="18" customHeight="1">
      <c r="A33" s="48" t="inlineStr">
        <is>
          <t>2.  Go to Table Design tab → Change Table Name from 'Table1' to 'SalesTeam'</t>
        </is>
      </c>
    </row>
    <row r="34" ht="18" customHeight="1">
      <c r="A34" s="48" t="inlineStr">
        <is>
          <t>3.  Click any cell in the table → Table Design → check 'Total Row' → see aggregates appear</t>
        </is>
      </c>
    </row>
    <row r="35" ht="18" customHeight="1">
      <c r="A35" s="48" t="inlineStr">
        <is>
          <t>4.  Click the Department filter dropdown → show only 'Sales' department employees</t>
        </is>
      </c>
    </row>
    <row r="36" ht="18" customHeight="1">
      <c r="A36" s="48" t="inlineStr">
        <is>
          <t>5.  Sort the table by 'Sales (₹)' column — Largest to Smallest</t>
        </is>
      </c>
    </row>
    <row r="37" ht="18" customHeight="1">
      <c r="A37" s="48" t="inlineStr">
        <is>
          <t>6.  In an empty cell, type:  =SUM(SalesTeam[Sales (₹)])  — observe structured reference</t>
        </is>
      </c>
    </row>
    <row r="38" ht="18" customHeight="1">
      <c r="A38" s="48" t="inlineStr">
        <is>
          <t>7.  Add a new employee row below the last row → observe formula auto-fill in columns G and H</t>
        </is>
      </c>
    </row>
    <row r="39" ht="16" customHeight="1">
      <c r="A39" s="49" t="inlineStr">
        <is>
          <t>💡  Ctrl+T is the FIRST thing a data analyst does on any new dataset. Tables are the foundation of all professional Excel work.</t>
        </is>
      </c>
    </row>
  </sheetData>
  <mergeCells count="15">
    <mergeCell ref="A4:H4"/>
    <mergeCell ref="A3:H3"/>
    <mergeCell ref="A39:H39"/>
    <mergeCell ref="A35:H35"/>
    <mergeCell ref="A38:H38"/>
    <mergeCell ref="A2:H2"/>
    <mergeCell ref="A33:H33"/>
    <mergeCell ref="A36:H36"/>
    <mergeCell ref="B21:D21"/>
    <mergeCell ref="A37:H37"/>
    <mergeCell ref="A1:H1"/>
    <mergeCell ref="A23:H23"/>
    <mergeCell ref="A32:H32"/>
    <mergeCell ref="A31:H3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12" customWidth="1" min="10" max="10"/>
  </cols>
  <sheetData>
    <row r="1" ht="22" customHeight="1">
      <c r="A1" s="21" t="inlineStr">
        <is>
          <t xml:space="preserve">  🧠  LOGICAL FUNCTIONS — IF, IFS, AND, OR, NOT</t>
        </is>
      </c>
    </row>
    <row r="2" ht="18" customHeight="1">
      <c r="A2" s="22" t="inlineStr">
        <is>
          <t xml:space="preserve">  Logical functions evaluate conditions and return different values based on TRUE/FALSE outcomes.</t>
        </is>
      </c>
    </row>
    <row r="3" ht="8" customHeight="1">
      <c r="A3" s="23" t="n"/>
    </row>
    <row r="4" ht="22" customHeight="1">
      <c r="A4" s="24" t="inlineStr">
        <is>
          <t xml:space="preserve">  SAMPLE DATA — Student Exam Results (Indian Students)</t>
        </is>
      </c>
    </row>
    <row r="5">
      <c r="A5" s="25" t="inlineStr">
        <is>
          <t>S.No</t>
        </is>
      </c>
      <c r="B5" s="25" t="inlineStr">
        <is>
          <t>Student Name</t>
        </is>
      </c>
      <c r="C5" s="25" t="inlineStr">
        <is>
          <t>City</t>
        </is>
      </c>
      <c r="D5" s="25" t="inlineStr">
        <is>
          <t>Math</t>
        </is>
      </c>
      <c r="E5" s="25" t="inlineStr">
        <is>
          <t>Science</t>
        </is>
      </c>
      <c r="F5" s="25" t="inlineStr">
        <is>
          <t>English</t>
        </is>
      </c>
      <c r="G5" s="25" t="inlineStr">
        <is>
          <t>Total</t>
        </is>
      </c>
      <c r="H5" s="25" t="inlineStr">
        <is>
          <t>Average</t>
        </is>
      </c>
      <c r="I5" s="25" t="inlineStr">
        <is>
          <t>Grade</t>
        </is>
      </c>
      <c r="J5" s="25" t="inlineStr">
        <is>
          <t>Pass/Fail</t>
        </is>
      </c>
    </row>
    <row r="6" ht="18" customHeight="1">
      <c r="A6" s="26" t="n">
        <v>1</v>
      </c>
      <c r="B6" s="27" t="inlineStr">
        <is>
          <t>Aarav Shah</t>
        </is>
      </c>
      <c r="C6" s="27" t="inlineStr">
        <is>
          <t>Mumbai</t>
        </is>
      </c>
      <c r="D6" s="50" t="n">
        <v>88</v>
      </c>
      <c r="E6" s="50" t="n">
        <v>92</v>
      </c>
      <c r="F6" s="50" t="n">
        <v>78</v>
      </c>
      <c r="G6" s="51">
        <f>D6+E6+F6</f>
        <v/>
      </c>
      <c r="H6" s="51">
        <f>ROUND(G6/3,1)</f>
        <v/>
      </c>
      <c r="I6" s="52">
        <f>IFS(H6&gt;=90,"A+",H6&gt;=80,"A",H6&gt;=70,"B+",H6&gt;=60,"B",H6&gt;=50,"C",TRUE,"F")</f>
        <v/>
      </c>
      <c r="J6" s="31">
        <f>IF(AND(D6&gt;=40,E6&gt;=40,F6&gt;=40),"✅ Pass","❌ Fail")</f>
        <v/>
      </c>
    </row>
    <row r="7" ht="18" customHeight="1">
      <c r="A7" s="32" t="n">
        <v>2</v>
      </c>
      <c r="B7" s="33" t="inlineStr">
        <is>
          <t>Diya Sharma</t>
        </is>
      </c>
      <c r="C7" s="33" t="inlineStr">
        <is>
          <t>Delhi</t>
        </is>
      </c>
      <c r="D7" s="53" t="n">
        <v>72</v>
      </c>
      <c r="E7" s="53" t="n">
        <v>68</v>
      </c>
      <c r="F7" s="53" t="n">
        <v>80</v>
      </c>
      <c r="G7" s="54">
        <f>D7+E7+F7</f>
        <v/>
      </c>
      <c r="H7" s="54">
        <f>ROUND(G7/3,1)</f>
        <v/>
      </c>
      <c r="I7" s="55">
        <f>IFS(H7&gt;=90,"A+",H7&gt;=80,"A",H7&gt;=70,"B+",H7&gt;=60,"B",H7&gt;=50,"C",TRUE,"F")</f>
        <v/>
      </c>
      <c r="J7" s="37">
        <f>IF(AND(D7&gt;=40,E7&gt;=40,F7&gt;=40),"✅ Pass","❌ Fail")</f>
        <v/>
      </c>
    </row>
    <row r="8" ht="18" customHeight="1">
      <c r="A8" s="26" t="n">
        <v>3</v>
      </c>
      <c r="B8" s="27" t="inlineStr">
        <is>
          <t>Vivaan Reddy</t>
        </is>
      </c>
      <c r="C8" s="27" t="inlineStr">
        <is>
          <t>Bengaluru</t>
        </is>
      </c>
      <c r="D8" s="50" t="n">
        <v>95</v>
      </c>
      <c r="E8" s="50" t="n">
        <v>88</v>
      </c>
      <c r="F8" s="50" t="n">
        <v>92</v>
      </c>
      <c r="G8" s="51">
        <f>D8+E8+F8</f>
        <v/>
      </c>
      <c r="H8" s="51">
        <f>ROUND(G8/3,1)</f>
        <v/>
      </c>
      <c r="I8" s="52">
        <f>IFS(H8&gt;=90,"A+",H8&gt;=80,"A",H8&gt;=70,"B+",H8&gt;=60,"B",H8&gt;=50,"C",TRUE,"F")</f>
        <v/>
      </c>
      <c r="J8" s="31">
        <f>IF(AND(D8&gt;=40,E8&gt;=40,F8&gt;=40),"✅ Pass","❌ Fail")</f>
        <v/>
      </c>
    </row>
    <row r="9" ht="18" customHeight="1">
      <c r="A9" s="32" t="n">
        <v>4</v>
      </c>
      <c r="B9" s="33" t="inlineStr">
        <is>
          <t>Ananya Nair</t>
        </is>
      </c>
      <c r="C9" s="33" t="inlineStr">
        <is>
          <t>Hyderabad</t>
        </is>
      </c>
      <c r="D9" s="53" t="n">
        <v>45</v>
      </c>
      <c r="E9" s="53" t="n">
        <v>58</v>
      </c>
      <c r="F9" s="53" t="n">
        <v>62</v>
      </c>
      <c r="G9" s="54">
        <f>D9+E9+F9</f>
        <v/>
      </c>
      <c r="H9" s="54">
        <f>ROUND(G9/3,1)</f>
        <v/>
      </c>
      <c r="I9" s="55">
        <f>IFS(H9&gt;=90,"A+",H9&gt;=80,"A",H9&gt;=70,"B+",H9&gt;=60,"B",H9&gt;=50,"C",TRUE,"F")</f>
        <v/>
      </c>
      <c r="J9" s="37">
        <f>IF(AND(D9&gt;=40,E9&gt;=40,F9&gt;=40),"✅ Pass","❌ Fail")</f>
        <v/>
      </c>
    </row>
    <row r="10" ht="18" customHeight="1">
      <c r="A10" s="26" t="n">
        <v>5</v>
      </c>
      <c r="B10" s="27" t="inlineStr">
        <is>
          <t>Kabir Mehta</t>
        </is>
      </c>
      <c r="C10" s="27" t="inlineStr">
        <is>
          <t>Chennai</t>
        </is>
      </c>
      <c r="D10" s="50" t="n">
        <v>78</v>
      </c>
      <c r="E10" s="50" t="n">
        <v>75</v>
      </c>
      <c r="F10" s="50" t="n">
        <v>80</v>
      </c>
      <c r="G10" s="51">
        <f>D10+E10+F10</f>
        <v/>
      </c>
      <c r="H10" s="51">
        <f>ROUND(G10/3,1)</f>
        <v/>
      </c>
      <c r="I10" s="52">
        <f>IFS(H10&gt;=90,"A+",H10&gt;=80,"A",H10&gt;=70,"B+",H10&gt;=60,"B",H10&gt;=50,"C",TRUE,"F")</f>
        <v/>
      </c>
      <c r="J10" s="31">
        <f>IF(AND(D10&gt;=40,E10&gt;=40,F10&gt;=40),"✅ Pass","❌ Fail")</f>
        <v/>
      </c>
    </row>
    <row r="11" ht="18" customHeight="1">
      <c r="A11" s="32" t="n">
        <v>6</v>
      </c>
      <c r="B11" s="33" t="inlineStr">
        <is>
          <t>Ishaan Bose</t>
        </is>
      </c>
      <c r="C11" s="33" t="inlineStr">
        <is>
          <t>Kolkata</t>
        </is>
      </c>
      <c r="D11" s="53" t="n">
        <v>55</v>
      </c>
      <c r="E11" s="53" t="n">
        <v>60</v>
      </c>
      <c r="F11" s="53" t="n">
        <v>50</v>
      </c>
      <c r="G11" s="54">
        <f>D11+E11+F11</f>
        <v/>
      </c>
      <c r="H11" s="54">
        <f>ROUND(G11/3,1)</f>
        <v/>
      </c>
      <c r="I11" s="55">
        <f>IFS(H11&gt;=90,"A+",H11&gt;=80,"A",H11&gt;=70,"B+",H11&gt;=60,"B",H11&gt;=50,"C",TRUE,"F")</f>
        <v/>
      </c>
      <c r="J11" s="37">
        <f>IF(AND(D11&gt;=40,E11&gt;=40,F11&gt;=40),"✅ Pass","❌ Fail")</f>
        <v/>
      </c>
    </row>
    <row r="12" ht="18" customHeight="1">
      <c r="A12" s="26" t="n">
        <v>7</v>
      </c>
      <c r="B12" s="27" t="inlineStr">
        <is>
          <t>Myra Joshi</t>
        </is>
      </c>
      <c r="C12" s="27" t="inlineStr">
        <is>
          <t>Pune</t>
        </is>
      </c>
      <c r="D12" s="50" t="n">
        <v>91</v>
      </c>
      <c r="E12" s="50" t="n">
        <v>94</v>
      </c>
      <c r="F12" s="50" t="n">
        <v>89</v>
      </c>
      <c r="G12" s="51">
        <f>D12+E12+F12</f>
        <v/>
      </c>
      <c r="H12" s="51">
        <f>ROUND(G12/3,1)</f>
        <v/>
      </c>
      <c r="I12" s="52">
        <f>IFS(H12&gt;=90,"A+",H12&gt;=80,"A",H12&gt;=70,"B+",H12&gt;=60,"B",H12&gt;=50,"C",TRUE,"F")</f>
        <v/>
      </c>
      <c r="J12" s="31">
        <f>IF(AND(D12&gt;=40,E12&gt;=40,F12&gt;=40),"✅ Pass","❌ Fail")</f>
        <v/>
      </c>
    </row>
    <row r="13" ht="18" customHeight="1">
      <c r="A13" s="32" t="n">
        <v>8</v>
      </c>
      <c r="B13" s="33" t="inlineStr">
        <is>
          <t>Aryan Patel</t>
        </is>
      </c>
      <c r="C13" s="33" t="inlineStr">
        <is>
          <t>Ahmedabad</t>
        </is>
      </c>
      <c r="D13" s="53" t="n">
        <v>38</v>
      </c>
      <c r="E13" s="53" t="n">
        <v>45</v>
      </c>
      <c r="F13" s="53" t="n">
        <v>55</v>
      </c>
      <c r="G13" s="54">
        <f>D13+E13+F13</f>
        <v/>
      </c>
      <c r="H13" s="54">
        <f>ROUND(G13/3,1)</f>
        <v/>
      </c>
      <c r="I13" s="55">
        <f>IFS(H13&gt;=90,"A+",H13&gt;=80,"A",H13&gt;=70,"B+",H13&gt;=60,"B",H13&gt;=50,"C",TRUE,"F")</f>
        <v/>
      </c>
      <c r="J13" s="37">
        <f>IF(AND(D13&gt;=40,E13&gt;=40,F13&gt;=40),"✅ Pass","❌ Fail")</f>
        <v/>
      </c>
    </row>
    <row r="14" ht="18" customHeight="1">
      <c r="A14" s="26" t="n">
        <v>9</v>
      </c>
      <c r="B14" s="27" t="inlineStr">
        <is>
          <t>Kiara Gupta</t>
        </is>
      </c>
      <c r="C14" s="27" t="inlineStr">
        <is>
          <t>Jaipur</t>
        </is>
      </c>
      <c r="D14" s="50" t="n">
        <v>82</v>
      </c>
      <c r="E14" s="50" t="n">
        <v>79</v>
      </c>
      <c r="F14" s="50" t="n">
        <v>76</v>
      </c>
      <c r="G14" s="51">
        <f>D14+E14+F14</f>
        <v/>
      </c>
      <c r="H14" s="51">
        <f>ROUND(G14/3,1)</f>
        <v/>
      </c>
      <c r="I14" s="52">
        <f>IFS(H14&gt;=90,"A+",H14&gt;=80,"A",H14&gt;=70,"B+",H14&gt;=60,"B",H14&gt;=50,"C",TRUE,"F")</f>
        <v/>
      </c>
      <c r="J14" s="31">
        <f>IF(AND(D14&gt;=40,E14&gt;=40,F14&gt;=40),"✅ Pass","❌ Fail")</f>
        <v/>
      </c>
    </row>
    <row r="15" ht="18" customHeight="1">
      <c r="A15" s="32" t="n">
        <v>10</v>
      </c>
      <c r="B15" s="33" t="inlineStr">
        <is>
          <t>Reyansh Singh</t>
        </is>
      </c>
      <c r="C15" s="33" t="inlineStr">
        <is>
          <t>Lucknow</t>
        </is>
      </c>
      <c r="D15" s="53" t="n">
        <v>67</v>
      </c>
      <c r="E15" s="53" t="n">
        <v>70</v>
      </c>
      <c r="F15" s="53" t="n">
        <v>63</v>
      </c>
      <c r="G15" s="54">
        <f>D15+E15+F15</f>
        <v/>
      </c>
      <c r="H15" s="54">
        <f>ROUND(G15/3,1)</f>
        <v/>
      </c>
      <c r="I15" s="55">
        <f>IFS(H15&gt;=90,"A+",H15&gt;=80,"A",H15&gt;=70,"B+",H15&gt;=60,"B",H15&gt;=50,"C",TRUE,"F")</f>
        <v/>
      </c>
      <c r="J15" s="37">
        <f>IF(AND(D15&gt;=40,E15&gt;=40,F15&gt;=40),"✅ Pass","❌ Fail")</f>
        <v/>
      </c>
    </row>
    <row r="16" ht="18" customHeight="1">
      <c r="A16" s="26" t="n">
        <v>11</v>
      </c>
      <c r="B16" s="27" t="inlineStr">
        <is>
          <t>Ira Desai</t>
        </is>
      </c>
      <c r="C16" s="27" t="inlineStr">
        <is>
          <t>Surat</t>
        </is>
      </c>
      <c r="D16" s="50" t="n">
        <v>99</v>
      </c>
      <c r="E16" s="50" t="n">
        <v>97</v>
      </c>
      <c r="F16" s="50" t="n">
        <v>95</v>
      </c>
      <c r="G16" s="51">
        <f>D16+E16+F16</f>
        <v/>
      </c>
      <c r="H16" s="51">
        <f>ROUND(G16/3,1)</f>
        <v/>
      </c>
      <c r="I16" s="52">
        <f>IFS(H16&gt;=90,"A+",H16&gt;=80,"A",H16&gt;=70,"B+",H16&gt;=60,"B",H16&gt;=50,"C",TRUE,"F")</f>
        <v/>
      </c>
      <c r="J16" s="31">
        <f>IF(AND(D16&gt;=40,E16&gt;=40,F16&gt;=40),"✅ Pass","❌ Fail")</f>
        <v/>
      </c>
    </row>
    <row r="17" ht="18" customHeight="1">
      <c r="A17" s="32" t="n">
        <v>12</v>
      </c>
      <c r="B17" s="33" t="inlineStr">
        <is>
          <t>Zara Malhotra</t>
        </is>
      </c>
      <c r="C17" s="33" t="inlineStr">
        <is>
          <t>Bhopal</t>
        </is>
      </c>
      <c r="D17" s="53" t="n">
        <v>50</v>
      </c>
      <c r="E17" s="53" t="n">
        <v>55</v>
      </c>
      <c r="F17" s="53" t="n">
        <v>48</v>
      </c>
      <c r="G17" s="54">
        <f>D17+E17+F17</f>
        <v/>
      </c>
      <c r="H17" s="54">
        <f>ROUND(G17/3,1)</f>
        <v/>
      </c>
      <c r="I17" s="55">
        <f>IFS(H17&gt;=90,"A+",H17&gt;=80,"A",H17&gt;=70,"B+",H17&gt;=60,"B",H17&gt;=50,"C",TRUE,"F")</f>
        <v/>
      </c>
      <c r="J17" s="37">
        <f>IF(AND(D17&gt;=40,E17&gt;=40,F17&gt;=40),"✅ Pass","❌ Fail")</f>
        <v/>
      </c>
    </row>
    <row r="19" ht="22" customHeight="1">
      <c r="A19" s="56" t="inlineStr">
        <is>
          <t xml:space="preserve">  FORMULA REFERENCE — Syntax, Logic &amp; Examples</t>
        </is>
      </c>
    </row>
    <row r="20">
      <c r="A20" s="57" t="inlineStr">
        <is>
          <t>Function</t>
        </is>
      </c>
      <c r="B20" s="57" t="inlineStr">
        <is>
          <t>Syntax</t>
        </is>
      </c>
      <c r="C20" s="57" t="inlineStr">
        <is>
          <t>Example Used Above</t>
        </is>
      </c>
      <c r="D20" s="57" t="inlineStr">
        <is>
          <t>What It Returns</t>
        </is>
      </c>
    </row>
    <row r="21" ht="30" customHeight="1">
      <c r="A21" s="58" t="inlineStr">
        <is>
          <t>IF</t>
        </is>
      </c>
      <c r="B21" s="59">
        <f>IF(condition, value_if_true, value_if_false)</f>
        <v/>
      </c>
      <c r="C21" s="60">
        <f>IF(H6&gt;=90,"A+","Below A+")</f>
        <v/>
      </c>
      <c r="D21" s="61" t="inlineStr">
        <is>
          <t>Returns 'A+' if average ≥ 90, otherwise 'Below A+'</t>
        </is>
      </c>
    </row>
    <row r="22" ht="30" customHeight="1">
      <c r="A22" s="62" t="inlineStr">
        <is>
          <t>IFS</t>
        </is>
      </c>
      <c r="B22" s="63">
        <f>IFS(cond1,val1, cond2,val2, ..., TRUE,default)</f>
        <v/>
      </c>
      <c r="C22" s="64">
        <f>IFS(H6&gt;=90,"A+",H6&gt;=80,"A",...,TRUE,"F")</f>
        <v/>
      </c>
      <c r="D22" s="11" t="inlineStr">
        <is>
          <t>Tests multiple conditions in order, returns first TRUE match</t>
        </is>
      </c>
    </row>
    <row r="23" ht="30" customHeight="1">
      <c r="A23" s="58" t="inlineStr">
        <is>
          <t>AND</t>
        </is>
      </c>
      <c r="B23" s="59">
        <f>AND(condition1, condition2, ...)</f>
        <v/>
      </c>
      <c r="C23" s="60">
        <f>AND(D6&gt;=40, E6&gt;=40, F6&gt;=40)</f>
        <v/>
      </c>
      <c r="D23" s="61" t="inlineStr">
        <is>
          <t>TRUE only if ALL conditions are true</t>
        </is>
      </c>
    </row>
    <row r="24" ht="30" customHeight="1">
      <c r="A24" s="62" t="inlineStr">
        <is>
          <t>OR</t>
        </is>
      </c>
      <c r="B24" s="63">
        <f>OR(condition1, condition2, ...)</f>
        <v/>
      </c>
      <c r="C24" s="64">
        <f>OR(D6&gt;=90, E6&gt;=90, F6&gt;=90)</f>
        <v/>
      </c>
      <c r="D24" s="11" t="inlineStr">
        <is>
          <t>TRUE if ANY condition is true</t>
        </is>
      </c>
    </row>
    <row r="25" ht="30" customHeight="1">
      <c r="A25" s="58" t="inlineStr">
        <is>
          <t>NOT</t>
        </is>
      </c>
      <c r="B25" s="59">
        <f>NOT(condition)</f>
        <v/>
      </c>
      <c r="C25" s="60">
        <f>NOT(J6="✅ Pass")</f>
        <v/>
      </c>
      <c r="D25" s="61" t="inlineStr">
        <is>
          <t>Reverses TRUE to FALSE and FALSE to TRUE</t>
        </is>
      </c>
    </row>
    <row r="27" ht="22" customHeight="1">
      <c r="A27" s="41" t="inlineStr">
        <is>
          <t xml:space="preserve">  ADDITIONAL FORMULA EXAMPLES  (applied to above data)</t>
        </is>
      </c>
    </row>
    <row r="28">
      <c r="A28" s="42" t="inlineStr">
        <is>
          <t>What We Want</t>
        </is>
      </c>
      <c r="B28" s="42" t="inlineStr">
        <is>
          <t>Formula</t>
        </is>
      </c>
      <c r="C28" s="42" t="inlineStr">
        <is>
          <t>Result (live)</t>
        </is>
      </c>
    </row>
    <row r="29" ht="18" customHeight="1">
      <c r="A29" s="43" t="inlineStr">
        <is>
          <t>Top Scorer</t>
        </is>
      </c>
      <c r="B29" s="65">
        <f>INDEX(B6:B17,MATCH(MAX(H6:H17),H6:H17,0))</f>
        <v/>
      </c>
      <c r="C29" s="66">
        <f>INDEX(B6:B17,MATCH(MAX(H6:H17),H6:H17,0))</f>
        <v/>
      </c>
    </row>
    <row r="30" ht="18" customHeight="1">
      <c r="A30" s="46" t="inlineStr">
        <is>
          <t>Pass Count</t>
        </is>
      </c>
      <c r="B30" s="54">
        <f>COUNTIF(J6:J17,"✅ Pass")</f>
        <v/>
      </c>
      <c r="C30" s="67">
        <f>COUNTIF(J6:J17,"✅ Pass")</f>
        <v/>
      </c>
    </row>
    <row r="31" ht="18" customHeight="1">
      <c r="A31" s="43" t="inlineStr">
        <is>
          <t>A+ Students</t>
        </is>
      </c>
      <c r="B31" s="65">
        <f>COUNTIF(I6:I17,"A+")</f>
        <v/>
      </c>
      <c r="C31" s="66">
        <f>COUNTIF(I6:I17,"A+")</f>
        <v/>
      </c>
    </row>
    <row r="32" ht="18" customHeight="1">
      <c r="A32" s="46" t="inlineStr">
        <is>
          <t>Avg of Passers</t>
        </is>
      </c>
      <c r="B32" s="54">
        <f>AVERAGEIF(J6:J17,"✅ Pass",H6:H17)</f>
        <v/>
      </c>
      <c r="C32" s="67">
        <f>AVERAGEIF(J6:J17,"✅ Pass",H6:H17)</f>
        <v/>
      </c>
    </row>
    <row r="33" ht="18" customHeight="1">
      <c r="A33" s="43" t="inlineStr">
        <is>
          <t>Any Below 40 Math</t>
        </is>
      </c>
      <c r="B33" s="65">
        <f>IF(COUNTIF(D6:D17,"&lt;40")&gt;0,"Yes — has failures","No — all passed")</f>
        <v/>
      </c>
      <c r="C33" s="66">
        <f>IF(COUNTIF(D6:D17,"&lt;40")&gt;0,"Yes — has failures","No — all passed")</f>
        <v/>
      </c>
    </row>
    <row r="35" ht="20" customHeight="1">
      <c r="A35" s="47" t="inlineStr">
        <is>
          <t>✏️  EXERCISE — Write IF, IFS, AND, OR formulas on this data</t>
        </is>
      </c>
    </row>
    <row r="36" ht="18" customHeight="1">
      <c r="A36" s="48" t="inlineStr">
        <is>
          <t>Q1: Write an IF formula to flag students who scored &gt; 85 average as 'Merit' else 'Standard' (Column K)</t>
        </is>
      </c>
    </row>
    <row r="37" ht="18" customHeight="1">
      <c r="A37" s="48" t="inlineStr">
        <is>
          <t>Q2: Use AND to check if a student passed ALL 3 subjects AND has average &gt;= 70 (Column L)</t>
        </is>
      </c>
    </row>
    <row r="38" ht="18" customHeight="1">
      <c r="A38" s="48" t="inlineStr">
        <is>
          <t>Q3: Use OR to find if any single subject score is &gt;= 95 (Column M)</t>
        </is>
      </c>
    </row>
    <row r="39" ht="18" customHeight="1">
      <c r="A39" s="48" t="inlineStr">
        <is>
          <t>Q4: Use IFS to assign scholarship: avg&gt;=90→'Full', avg&gt;=80→'Half', avg&gt;=70→'25%', else 'None' (Column N)</t>
        </is>
      </c>
    </row>
    <row r="40" ht="18" customHeight="1">
      <c r="A40" s="48" t="inlineStr">
        <is>
          <t>Q5: Use NOT to create a 'Needs Improvement' flag — NOT(passed AND grade is A or A+)</t>
        </is>
      </c>
    </row>
    <row r="41" ht="18" customHeight="1">
      <c r="A41" s="48" t="inlineStr">
        <is>
          <t>Q6: Count how many students are in each grade (A+, A, B+, B, C, F) using COUNTIF</t>
        </is>
      </c>
    </row>
    <row r="42" ht="16" customHeight="1">
      <c r="A42" s="49" t="inlineStr">
        <is>
          <t>💡  IFS replaces nested IF for multiple conditions. AND/OR can be nested inside IF for compound conditions.</t>
        </is>
      </c>
    </row>
  </sheetData>
  <mergeCells count="14">
    <mergeCell ref="A1:J1"/>
    <mergeCell ref="A37:J37"/>
    <mergeCell ref="A36:J36"/>
    <mergeCell ref="A40:J40"/>
    <mergeCell ref="A27:J27"/>
    <mergeCell ref="A3:J3"/>
    <mergeCell ref="A39:J39"/>
    <mergeCell ref="A35:J35"/>
    <mergeCell ref="A4:J4"/>
    <mergeCell ref="A38:J38"/>
    <mergeCell ref="A2:J2"/>
    <mergeCell ref="A42:J42"/>
    <mergeCell ref="A41:J41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A1:J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21" t="inlineStr">
        <is>
          <t xml:space="preserve">  📝  TEXT FUNCTIONS — LEFT, RIGHT, MID, LEN, TRIM, UPPER, LOWER, CONCAT, TEXTJOIN</t>
        </is>
      </c>
    </row>
    <row r="2" ht="18" customHeight="1">
      <c r="A2" s="22" t="inlineStr">
        <is>
          <t xml:space="preserve">  Text functions manipulate, extract, combine and clean text strings. Essential for data cleaning in analytics.</t>
        </is>
      </c>
    </row>
    <row r="3" ht="8" customHeight="1">
      <c r="A3" s="23" t="n"/>
    </row>
    <row r="4" ht="22" customHeight="1">
      <c r="A4" s="41" t="inlineStr">
        <is>
          <t xml:space="preserve">  SAMPLE DATA — Employee Records with Text Cleaning Needs</t>
        </is>
      </c>
    </row>
    <row r="5">
      <c r="A5" s="42" t="inlineStr">
        <is>
          <t>Raw Full Name</t>
        </is>
      </c>
      <c r="B5" s="42" t="inlineStr">
        <is>
          <t>City</t>
        </is>
      </c>
      <c r="C5" s="42" t="inlineStr">
        <is>
          <t>Email (Messy)</t>
        </is>
      </c>
      <c r="D5" s="42" t="inlineStr">
        <is>
          <t>Phone</t>
        </is>
      </c>
      <c r="E5" s="42" t="inlineStr">
        <is>
          <t>Dept Code</t>
        </is>
      </c>
    </row>
    <row r="6" ht="18" customHeight="1">
      <c r="A6" s="27" t="inlineStr">
        <is>
          <t xml:space="preserve">  Aarav.Shah  </t>
        </is>
      </c>
      <c r="B6" s="27" t="inlineStr">
        <is>
          <t>MUMBAI</t>
        </is>
      </c>
      <c r="C6" s="27" t="inlineStr">
        <is>
          <t xml:space="preserve">  AARAV.SHAH@GMAIL.COM  </t>
        </is>
      </c>
      <c r="D6" s="27" t="inlineStr">
        <is>
          <t>9876543210</t>
        </is>
      </c>
      <c r="E6" s="27" t="inlineStr">
        <is>
          <t>SALES-MH-001</t>
        </is>
      </c>
    </row>
    <row r="7" ht="18" customHeight="1">
      <c r="A7" s="33" t="inlineStr">
        <is>
          <t xml:space="preserve">  Diya.Sharma  </t>
        </is>
      </c>
      <c r="B7" s="33" t="inlineStr">
        <is>
          <t>DELHI</t>
        </is>
      </c>
      <c r="C7" s="33" t="inlineStr">
        <is>
          <t xml:space="preserve">diya.sharma@YAHOO.COM  </t>
        </is>
      </c>
      <c r="D7" s="33" t="inlineStr">
        <is>
          <t>8765432109</t>
        </is>
      </c>
      <c r="E7" s="33" t="inlineStr">
        <is>
          <t>MKT-DL-002</t>
        </is>
      </c>
    </row>
    <row r="8" ht="18" customHeight="1">
      <c r="A8" s="27" t="inlineStr">
        <is>
          <t xml:space="preserve">  Vivaan.Reddy  </t>
        </is>
      </c>
      <c r="B8" s="27" t="inlineStr">
        <is>
          <t>BENGALURU</t>
        </is>
      </c>
      <c r="C8" s="27" t="inlineStr">
        <is>
          <t>vivaan.reddy@gmail.com</t>
        </is>
      </c>
      <c r="D8" s="27" t="inlineStr">
        <is>
          <t>7654321098</t>
        </is>
      </c>
      <c r="E8" s="27" t="inlineStr">
        <is>
          <t>SALES-KA-003</t>
        </is>
      </c>
    </row>
    <row r="9" ht="18" customHeight="1">
      <c r="A9" s="33" t="inlineStr">
        <is>
          <t xml:space="preserve">  Ananya.Nair  </t>
        </is>
      </c>
      <c r="B9" s="33" t="inlineStr">
        <is>
          <t>HYDERABAD</t>
        </is>
      </c>
      <c r="C9" s="33" t="inlineStr">
        <is>
          <t>ANANYA.NAIR@OUTLOOK.COM</t>
        </is>
      </c>
      <c r="D9" s="33" t="inlineStr">
        <is>
          <t>6543210987</t>
        </is>
      </c>
      <c r="E9" s="33" t="inlineStr">
        <is>
          <t>HR-TS-004</t>
        </is>
      </c>
    </row>
    <row r="10" ht="18" customHeight="1">
      <c r="A10" s="27" t="inlineStr">
        <is>
          <t xml:space="preserve">  Kabir.Mehta  </t>
        </is>
      </c>
      <c r="B10" s="27" t="inlineStr">
        <is>
          <t>CHENNAI</t>
        </is>
      </c>
      <c r="C10" s="27" t="inlineStr">
        <is>
          <t>kabir.mehta@gmail.com</t>
        </is>
      </c>
      <c r="D10" s="27" t="inlineStr">
        <is>
          <t>5432109876</t>
        </is>
      </c>
      <c r="E10" s="27" t="inlineStr">
        <is>
          <t>MKT-TN-005</t>
        </is>
      </c>
    </row>
    <row r="11" ht="18" customHeight="1">
      <c r="A11" s="33" t="inlineStr">
        <is>
          <t xml:space="preserve">  Ishaan.Bose  </t>
        </is>
      </c>
      <c r="B11" s="33" t="inlineStr">
        <is>
          <t>KOLKATA</t>
        </is>
      </c>
      <c r="C11" s="33" t="inlineStr">
        <is>
          <t>ISHAAN.BOSE@GMAIL.COM</t>
        </is>
      </c>
      <c r="D11" s="33" t="inlineStr">
        <is>
          <t>4321098765</t>
        </is>
      </c>
      <c r="E11" s="33" t="inlineStr">
        <is>
          <t>SALES-WB-006</t>
        </is>
      </c>
    </row>
    <row r="12" ht="18" customHeight="1">
      <c r="A12" s="27" t="inlineStr">
        <is>
          <t xml:space="preserve">  Myra.Joshi  </t>
        </is>
      </c>
      <c r="B12" s="27" t="inlineStr">
        <is>
          <t>PUNE</t>
        </is>
      </c>
      <c r="C12" s="27" t="inlineStr">
        <is>
          <t>myra.joshi@yahoo.com</t>
        </is>
      </c>
      <c r="D12" s="27" t="inlineStr">
        <is>
          <t>3210987654</t>
        </is>
      </c>
      <c r="E12" s="27" t="inlineStr">
        <is>
          <t>HR-MH-007</t>
        </is>
      </c>
    </row>
    <row r="13" ht="18" customHeight="1">
      <c r="A13" s="33" t="inlineStr">
        <is>
          <t xml:space="preserve">  Aryan.Patel  </t>
        </is>
      </c>
      <c r="B13" s="33" t="inlineStr">
        <is>
          <t>AHMEDABAD</t>
        </is>
      </c>
      <c r="C13" s="33" t="inlineStr">
        <is>
          <t>aryan.patel@gmail.com</t>
        </is>
      </c>
      <c r="D13" s="33" t="inlineStr">
        <is>
          <t>2109876543</t>
        </is>
      </c>
      <c r="E13" s="33" t="inlineStr">
        <is>
          <t>SALES-GJ-008</t>
        </is>
      </c>
    </row>
    <row r="15" ht="22" customHeight="1">
      <c r="A15" s="68" t="inlineStr">
        <is>
          <t xml:space="preserve">  FORMULA OUTPUTS — Cleaned &amp; Extracted Data</t>
        </is>
      </c>
    </row>
    <row r="16">
      <c r="A16" s="69" t="inlineStr">
        <is>
          <t>Formula</t>
        </is>
      </c>
      <c r="B16" s="69" t="inlineStr">
        <is>
          <t>Applied To</t>
        </is>
      </c>
      <c r="C16" s="69" t="inlineStr">
        <is>
          <t>Result Column</t>
        </is>
      </c>
      <c r="D16" s="69" t="inlineStr">
        <is>
          <t>Description</t>
        </is>
      </c>
    </row>
    <row r="17" ht="22" customHeight="1">
      <c r="A17" s="70">
        <f>TRIM(A6)</f>
        <v/>
      </c>
      <c r="B17" s="71" t="inlineStr">
        <is>
          <t>Raw Full Name</t>
        </is>
      </c>
      <c r="C17" s="72">
        <f>TRIM(A6)</f>
        <v/>
      </c>
      <c r="D17" s="73" t="inlineStr">
        <is>
          <t>Removes leading/trailing spaces</t>
        </is>
      </c>
    </row>
    <row r="18" ht="22" customHeight="1">
      <c r="A18" s="54">
        <f>PROPER(TRIM(A6))</f>
        <v/>
      </c>
      <c r="B18" s="46" t="inlineStr">
        <is>
          <t>Full Name</t>
        </is>
      </c>
      <c r="C18" s="74">
        <f>PROPER(TRIM(A6))</f>
        <v/>
      </c>
      <c r="D18" s="11" t="inlineStr">
        <is>
          <t>Title case after trimming</t>
        </is>
      </c>
    </row>
    <row r="19" ht="22" customHeight="1">
      <c r="A19" s="70">
        <f>LEFT(TRIM(A6),FIND(".",TRIM(A6))-1)</f>
        <v/>
      </c>
      <c r="B19" s="71" t="inlineStr">
        <is>
          <t>Full Name</t>
        </is>
      </c>
      <c r="C19" s="72">
        <f>LEFT(TRIM(A6),FIND(".",TRIM(A6))-1)</f>
        <v/>
      </c>
      <c r="D19" s="73" t="inlineStr">
        <is>
          <t>Extract First Name</t>
        </is>
      </c>
    </row>
    <row r="20" ht="22" customHeight="1">
      <c r="A20" s="54">
        <f>MID(TRIM(A6),FIND(".",TRIM(A6))+1,LEN(TRIM(A6)))</f>
        <v/>
      </c>
      <c r="B20" s="46" t="inlineStr">
        <is>
          <t>Full Name</t>
        </is>
      </c>
      <c r="C20" s="74">
        <f>MID(TRIM(A6),FIND(".",TRIM(A6))+1,LEN(TRIM(A6)))</f>
        <v/>
      </c>
      <c r="D20" s="11" t="inlineStr">
        <is>
          <t>Extract Last Name</t>
        </is>
      </c>
    </row>
    <row r="21" ht="22" customHeight="1">
      <c r="A21" s="70">
        <f>LEN(TRIM(A6))</f>
        <v/>
      </c>
      <c r="B21" s="71" t="inlineStr">
        <is>
          <t>Full Name</t>
        </is>
      </c>
      <c r="C21" s="72">
        <f>LEN(TRIM(A6))</f>
        <v/>
      </c>
      <c r="D21" s="73" t="inlineStr">
        <is>
          <t>Character count of cleaned name</t>
        </is>
      </c>
    </row>
    <row r="22" ht="22" customHeight="1">
      <c r="A22" s="54">
        <f>UPPER(B6)</f>
        <v/>
      </c>
      <c r="B22" s="46" t="inlineStr">
        <is>
          <t>City</t>
        </is>
      </c>
      <c r="C22" s="74">
        <f>UPPER(B6)</f>
        <v/>
      </c>
      <c r="D22" s="11" t="inlineStr">
        <is>
          <t>Uppercase city name</t>
        </is>
      </c>
    </row>
    <row r="23" ht="22" customHeight="1">
      <c r="A23" s="70">
        <f>LOWER(TRIM(C6))</f>
        <v/>
      </c>
      <c r="B23" s="71" t="inlineStr">
        <is>
          <t>Email</t>
        </is>
      </c>
      <c r="C23" s="72">
        <f>LOWER(TRIM(C6))</f>
        <v/>
      </c>
      <c r="D23" s="73" t="inlineStr">
        <is>
          <t>Lowercase and trimmed email</t>
        </is>
      </c>
    </row>
    <row r="24" ht="22" customHeight="1">
      <c r="A24" s="54">
        <f>RIGHT(D6,10)</f>
        <v/>
      </c>
      <c r="B24" s="46" t="inlineStr">
        <is>
          <t>Phone</t>
        </is>
      </c>
      <c r="C24" s="74">
        <f>RIGHT(D6,10)</f>
        <v/>
      </c>
      <c r="D24" s="11" t="inlineStr">
        <is>
          <t>Last 10 digits of phone</t>
        </is>
      </c>
    </row>
    <row r="25" ht="22" customHeight="1">
      <c r="A25" s="70">
        <f>LEFT(E6,FIND("-",E6)-1)</f>
        <v/>
      </c>
      <c r="B25" s="71" t="inlineStr">
        <is>
          <t>Dept Code</t>
        </is>
      </c>
      <c r="C25" s="72">
        <f>LEFT(E6,FIND("-",E6)-1)</f>
        <v/>
      </c>
      <c r="D25" s="73" t="inlineStr">
        <is>
          <t>Extract department prefix (SALES, MKT, HR)</t>
        </is>
      </c>
    </row>
    <row r="26" ht="22" customHeight="1">
      <c r="A26" s="54">
        <f>CONCAT(LOWER(LEFT(TRIM(A6),4)),"@company.in")</f>
        <v/>
      </c>
      <c r="B26" s="46" t="inlineStr">
        <is>
          <t>Name</t>
        </is>
      </c>
      <c r="C26" s="74">
        <f>CONCAT(LOWER(LEFT(TRIM(A6),4)),"@company.in")</f>
        <v/>
      </c>
      <c r="D26" s="11" t="inlineStr">
        <is>
          <t>Build company email</t>
        </is>
      </c>
    </row>
    <row r="27" ht="22" customHeight="1">
      <c r="A27" s="70">
        <f>TEXTJOIN(" | ",TRUE,TRIM(A6),B6,LEFT(E6,FIND("-",E6)-1))</f>
        <v/>
      </c>
      <c r="B27" s="71" t="inlineStr">
        <is>
          <t>Multiple</t>
        </is>
      </c>
      <c r="C27" s="72">
        <f>TEXTJOIN(" | ",TRUE,TRIM(A6),B6,LEFT(E6,FIND("-",E6)-1))</f>
        <v/>
      </c>
      <c r="D27" s="73" t="inlineStr">
        <is>
          <t>Join Name+City+Dept</t>
        </is>
      </c>
    </row>
    <row r="28" ht="22" customHeight="1">
      <c r="A28" s="54">
        <f>SUBSTITUTE(C6," ","")</f>
        <v/>
      </c>
      <c r="B28" s="46" t="inlineStr">
        <is>
          <t>Email</t>
        </is>
      </c>
      <c r="C28" s="74">
        <f>SUBSTITUTE(C6," ","")</f>
        <v/>
      </c>
      <c r="D28" s="11" t="inlineStr">
        <is>
          <t>Remove all spaces from email</t>
        </is>
      </c>
    </row>
    <row r="30" ht="22" customHeight="1">
      <c r="A30" s="56" t="inlineStr">
        <is>
          <t xml:space="preserve">  FUNCTION QUICK REFERENCE</t>
        </is>
      </c>
    </row>
    <row r="31">
      <c r="A31" s="57" t="inlineStr">
        <is>
          <t>Function</t>
        </is>
      </c>
      <c r="B31" s="57" t="inlineStr">
        <is>
          <t>Syntax</t>
        </is>
      </c>
      <c r="C31" s="57" t="inlineStr">
        <is>
          <t>Example</t>
        </is>
      </c>
      <c r="D31" s="57" t="inlineStr">
        <is>
          <t>Result</t>
        </is>
      </c>
      <c r="E31" s="57" t="inlineStr">
        <is>
          <t>Purpose</t>
        </is>
      </c>
    </row>
    <row r="32" ht="22" customHeight="1">
      <c r="A32" s="58" t="inlineStr">
        <is>
          <t>LEFT</t>
        </is>
      </c>
      <c r="B32" s="59">
        <f>LEFT(text, n)</f>
        <v/>
      </c>
      <c r="C32" s="61">
        <f>LEFT("Aarav.Shah",5)</f>
        <v/>
      </c>
      <c r="D32" s="75" t="inlineStr">
        <is>
          <t>Aarav</t>
        </is>
      </c>
      <c r="E32" s="61" t="inlineStr">
        <is>
          <t>Extract n chars from left</t>
        </is>
      </c>
    </row>
    <row r="33" ht="22" customHeight="1">
      <c r="A33" s="62" t="inlineStr">
        <is>
          <t>RIGHT</t>
        </is>
      </c>
      <c r="B33" s="63">
        <f>RIGHT(text, n)</f>
        <v/>
      </c>
      <c r="C33" s="11">
        <f>RIGHT("Aarav.Shah",4)</f>
        <v/>
      </c>
      <c r="D33" s="76" t="inlineStr">
        <is>
          <t>Shah</t>
        </is>
      </c>
      <c r="E33" s="11" t="inlineStr">
        <is>
          <t>Extract n chars from right</t>
        </is>
      </c>
    </row>
    <row r="34" ht="22" customHeight="1">
      <c r="A34" s="58" t="inlineStr">
        <is>
          <t>MID</t>
        </is>
      </c>
      <c r="B34" s="59">
        <f>MID(text, start, n)</f>
        <v/>
      </c>
      <c r="C34" s="61">
        <f>MID("Aarav.Shah",7,4)</f>
        <v/>
      </c>
      <c r="D34" s="75" t="inlineStr">
        <is>
          <t>Shah</t>
        </is>
      </c>
      <c r="E34" s="61" t="inlineStr">
        <is>
          <t>Extract from middle</t>
        </is>
      </c>
    </row>
    <row r="35" ht="22" customHeight="1">
      <c r="A35" s="62" t="inlineStr">
        <is>
          <t>LEN</t>
        </is>
      </c>
      <c r="B35" s="63">
        <f>LEN(text)</f>
        <v/>
      </c>
      <c r="C35" s="11">
        <f>LEN("Aarav.Shah")</f>
        <v/>
      </c>
      <c r="D35" s="76" t="inlineStr">
        <is>
          <t>10</t>
        </is>
      </c>
      <c r="E35" s="11" t="inlineStr">
        <is>
          <t>Count characters</t>
        </is>
      </c>
    </row>
    <row r="36" ht="22" customHeight="1">
      <c r="A36" s="58" t="inlineStr">
        <is>
          <t>TRIM</t>
        </is>
      </c>
      <c r="B36" s="59">
        <f>TRIM(text)</f>
        <v/>
      </c>
      <c r="C36" s="61">
        <f>TRIM("  Aarav  ")</f>
        <v/>
      </c>
      <c r="D36" s="75" t="inlineStr">
        <is>
          <t>Aarav</t>
        </is>
      </c>
      <c r="E36" s="61" t="inlineStr">
        <is>
          <t>Remove extra spaces</t>
        </is>
      </c>
    </row>
    <row r="37" ht="22" customHeight="1">
      <c r="A37" s="62" t="inlineStr">
        <is>
          <t>UPPER</t>
        </is>
      </c>
      <c r="B37" s="63">
        <f>UPPER(text)</f>
        <v/>
      </c>
      <c r="C37" s="11">
        <f>UPPER("aarav")</f>
        <v/>
      </c>
      <c r="D37" s="76" t="inlineStr">
        <is>
          <t>AARAV</t>
        </is>
      </c>
      <c r="E37" s="11" t="inlineStr">
        <is>
          <t>All uppercase</t>
        </is>
      </c>
    </row>
    <row r="38" ht="22" customHeight="1">
      <c r="A38" s="58" t="inlineStr">
        <is>
          <t>LOWER</t>
        </is>
      </c>
      <c r="B38" s="59">
        <f>LOWER(text)</f>
        <v/>
      </c>
      <c r="C38" s="61">
        <f>LOWER("AARAV")</f>
        <v/>
      </c>
      <c r="D38" s="75" t="inlineStr">
        <is>
          <t>aarav</t>
        </is>
      </c>
      <c r="E38" s="61" t="inlineStr">
        <is>
          <t>All lowercase</t>
        </is>
      </c>
    </row>
    <row r="39" ht="22" customHeight="1">
      <c r="A39" s="62" t="inlineStr">
        <is>
          <t>PROPER</t>
        </is>
      </c>
      <c r="B39" s="63">
        <f>PROPER(text)</f>
        <v/>
      </c>
      <c r="C39" s="11">
        <f>PROPER("aarav shah")</f>
        <v/>
      </c>
      <c r="D39" s="76" t="inlineStr">
        <is>
          <t>Aarav Shah</t>
        </is>
      </c>
      <c r="E39" s="11" t="inlineStr">
        <is>
          <t>Capitalise each word</t>
        </is>
      </c>
    </row>
    <row r="40" ht="22" customHeight="1">
      <c r="A40" s="58" t="inlineStr">
        <is>
          <t>CONCAT</t>
        </is>
      </c>
      <c r="B40" s="59">
        <f>CONCAT(text1,text2,...)</f>
        <v/>
      </c>
      <c r="C40" s="61">
        <f>CONCAT("Aarav"," ","Shah")</f>
        <v/>
      </c>
      <c r="D40" s="75" t="inlineStr">
        <is>
          <t>Aarav Shah</t>
        </is>
      </c>
      <c r="E40" s="61" t="inlineStr">
        <is>
          <t>Join text without separator</t>
        </is>
      </c>
    </row>
    <row r="41" ht="22" customHeight="1">
      <c r="A41" s="62" t="inlineStr">
        <is>
          <t>TEXTJOIN</t>
        </is>
      </c>
      <c r="B41" s="63">
        <f>TEXTJOIN(delim,skip,...)</f>
        <v/>
      </c>
      <c r="C41" s="11">
        <f>TEXTJOIN(", ",TRUE,A1,B1)</f>
        <v/>
      </c>
      <c r="D41" s="76" t="inlineStr">
        <is>
          <t>A, B</t>
        </is>
      </c>
      <c r="E41" s="11" t="inlineStr">
        <is>
          <t>Join with delimiter</t>
        </is>
      </c>
    </row>
    <row r="42" ht="22" customHeight="1">
      <c r="A42" s="58" t="inlineStr">
        <is>
          <t>FIND</t>
        </is>
      </c>
      <c r="B42" s="59">
        <f>FIND(find, within)</f>
        <v/>
      </c>
      <c r="C42" s="61">
        <f>FIND(".","Aarav.Shah")</f>
        <v/>
      </c>
      <c r="D42" s="75" t="inlineStr">
        <is>
          <t>6</t>
        </is>
      </c>
      <c r="E42" s="61" t="inlineStr">
        <is>
          <t>Position of character</t>
        </is>
      </c>
    </row>
    <row r="43" ht="22" customHeight="1">
      <c r="A43" s="62" t="inlineStr">
        <is>
          <t>SUBSTITUTE</t>
        </is>
      </c>
      <c r="B43" s="63">
        <f>SUBSTITUTE(text,old,new)</f>
        <v/>
      </c>
      <c r="C43" s="11">
        <f>SUBSTITUTE("A.B","."," ")</f>
        <v/>
      </c>
      <c r="D43" s="76" t="inlineStr">
        <is>
          <t>A B</t>
        </is>
      </c>
      <c r="E43" s="11" t="inlineStr">
        <is>
          <t>Replace text</t>
        </is>
      </c>
    </row>
    <row r="45" ht="20" customHeight="1">
      <c r="A45" s="47" t="inlineStr">
        <is>
          <t>✏️  EXERCISE — Clean and transform the raw employee data above</t>
        </is>
      </c>
    </row>
    <row r="46" ht="18" customHeight="1">
      <c r="A46" s="48" t="inlineStr">
        <is>
          <t>Q1: Use TRIM to clean the spaces from column A (Raw Full Name) → write in column G</t>
        </is>
      </c>
    </row>
    <row r="47" ht="18" customHeight="1">
      <c r="A47" s="48" t="inlineStr">
        <is>
          <t>Q2: Use LEFT + FIND to extract the First Name from the cleaned name → column H</t>
        </is>
      </c>
    </row>
    <row r="48" ht="18" customHeight="1">
      <c r="A48" s="48" t="inlineStr">
        <is>
          <t>Q3: Use MID + FIND + LEN to extract the Last Name → column I</t>
        </is>
      </c>
    </row>
    <row r="49" ht="18" customHeight="1">
      <c r="A49" s="48" t="inlineStr">
        <is>
          <t>Q4: Use LOWER + TRIM to clean the email addresses in column C → column J</t>
        </is>
      </c>
    </row>
    <row r="50" ht="18" customHeight="1">
      <c r="A50" s="48" t="inlineStr">
        <is>
          <t>Q5: Use PROPER to convert city names from UPPERCASE to Proper Case → column K</t>
        </is>
      </c>
    </row>
    <row r="51" ht="18" customHeight="1">
      <c r="A51" s="48" t="inlineStr">
        <is>
          <t>Q6: Build a company email: =LOWER(first_name)&amp;"."&amp;LOWER(last_name)&amp;"@business.in" → column L</t>
        </is>
      </c>
    </row>
    <row r="52" ht="18" customHeight="1">
      <c r="A52" s="48" t="inlineStr">
        <is>
          <t>Q7: Use TEXTJOIN to create an employee ID card: "Name: X | City: Y | Dept: Z" → column M</t>
        </is>
      </c>
    </row>
    <row r="53" ht="18" customHeight="1">
      <c r="A53" s="48" t="inlineStr">
        <is>
          <t>Q8: Use LEFT(E6, FIND("-",E6)-1) to extract just the department code prefix → column N</t>
        </is>
      </c>
    </row>
    <row r="54" ht="16" customHeight="1">
      <c r="A54" s="49" t="inlineStr">
        <is>
          <t>💡  TRIM + PROPER + LOWER + FIND are the core data cleaning combo for text columns in any real dataset.</t>
        </is>
      </c>
    </row>
  </sheetData>
  <mergeCells count="16">
    <mergeCell ref="A47:J47"/>
    <mergeCell ref="A1:J1"/>
    <mergeCell ref="A45:J45"/>
    <mergeCell ref="A46:J46"/>
    <mergeCell ref="A3:J3"/>
    <mergeCell ref="A30:J30"/>
    <mergeCell ref="A53:J53"/>
    <mergeCell ref="A15:J15"/>
    <mergeCell ref="A4:J4"/>
    <mergeCell ref="A48:J48"/>
    <mergeCell ref="A50:J50"/>
    <mergeCell ref="A51:J51"/>
    <mergeCell ref="A2:J2"/>
    <mergeCell ref="A52:J52"/>
    <mergeCell ref="A54:J54"/>
    <mergeCell ref="A49:J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21" t="inlineStr">
        <is>
          <t xml:space="preserve">  📅  DATE FUNCTIONS — TODAY, NOW, DATE, EDATE, DATEDIF, NETWORKDAYS</t>
        </is>
      </c>
    </row>
    <row r="2" ht="18" customHeight="1">
      <c r="A2" s="22" t="inlineStr">
        <is>
          <t xml:space="preserve">  Date functions enable date arithmetic, tenure calculations, deadline tracking and business day counting.</t>
        </is>
      </c>
    </row>
    <row r="3" ht="8" customHeight="1">
      <c r="A3" s="23" t="n"/>
    </row>
    <row r="4" ht="22" customHeight="1">
      <c r="A4" s="77" t="inlineStr">
        <is>
          <t xml:space="preserve">  SAMPLE DATA — Employee Join &amp; Project Dates</t>
        </is>
      </c>
    </row>
    <row r="5">
      <c r="A5" s="78" t="inlineStr">
        <is>
          <t>Emp ID</t>
        </is>
      </c>
      <c r="B5" s="78" t="inlineStr">
        <is>
          <t>Employee Name</t>
        </is>
      </c>
      <c r="C5" s="78" t="inlineStr">
        <is>
          <t>Join Date</t>
        </is>
      </c>
      <c r="D5" s="78" t="inlineStr">
        <is>
          <t>Dept</t>
        </is>
      </c>
      <c r="E5" s="78" t="inlineStr">
        <is>
          <t>Project Start</t>
        </is>
      </c>
      <c r="F5" s="78" t="inlineStr">
        <is>
          <t>Project End</t>
        </is>
      </c>
      <c r="G5" s="78" t="inlineStr">
        <is>
          <t>Tenure (Days)</t>
        </is>
      </c>
      <c r="H5" s="78" t="inlineStr">
        <is>
          <t>Tenure (Years)</t>
        </is>
      </c>
      <c r="I5" s="78" t="inlineStr">
        <is>
          <t>Days to Delivery</t>
        </is>
      </c>
      <c r="J5" s="78" t="inlineStr">
        <is>
          <t>Working Days</t>
        </is>
      </c>
      <c r="K5" s="78" t="inlineStr">
        <is>
          <t>Status</t>
        </is>
      </c>
    </row>
    <row r="6" ht="20" customHeight="1">
      <c r="A6" s="26" t="inlineStr">
        <is>
          <t>E001</t>
        </is>
      </c>
      <c r="B6" s="27" t="inlineStr">
        <is>
          <t>Aarav Shah</t>
        </is>
      </c>
      <c r="C6" s="79" t="n">
        <v>43936</v>
      </c>
      <c r="D6" s="27" t="inlineStr">
        <is>
          <t>Sales</t>
        </is>
      </c>
      <c r="E6" s="80" t="n">
        <v>45301</v>
      </c>
      <c r="F6" s="81" t="n">
        <v>45473</v>
      </c>
      <c r="G6" s="82">
        <f>TODAY()-C6</f>
        <v/>
      </c>
      <c r="H6" s="83">
        <f>DATEDIF(C6,TODAY(),"Y")&amp;" yrs "&amp;DATEDIF(C6,TODAY(),"YM")&amp;" mo"</f>
        <v/>
      </c>
      <c r="I6" s="84">
        <f>F6-TODAY()</f>
        <v/>
      </c>
      <c r="J6" s="85">
        <f>NETWORKDAYS(E6,F6)</f>
        <v/>
      </c>
      <c r="K6" s="31">
        <f>IF(F6&lt;TODAY(),"✅ Completed",IF(F6-TODAY()&lt;=30,"⚠️ Due Soon","🔵 In Progress"))</f>
        <v/>
      </c>
    </row>
    <row r="7" ht="20" customHeight="1">
      <c r="A7" s="32" t="inlineStr">
        <is>
          <t>E002</t>
        </is>
      </c>
      <c r="B7" s="33" t="inlineStr">
        <is>
          <t>Diya Sharma</t>
        </is>
      </c>
      <c r="C7" s="86" t="n">
        <v>44378</v>
      </c>
      <c r="D7" s="33" t="inlineStr">
        <is>
          <t>Marketing</t>
        </is>
      </c>
      <c r="E7" s="87" t="n">
        <v>45323</v>
      </c>
      <c r="F7" s="88" t="n">
        <v>45519</v>
      </c>
      <c r="G7" s="89">
        <f>TODAY()-C7</f>
        <v/>
      </c>
      <c r="H7" s="90">
        <f>DATEDIF(C7,TODAY(),"Y")&amp;" yrs "&amp;DATEDIF(C7,TODAY(),"YM")&amp;" mo"</f>
        <v/>
      </c>
      <c r="I7" s="91">
        <f>F7-TODAY()</f>
        <v/>
      </c>
      <c r="J7" s="92">
        <f>NETWORKDAYS(E7,F7)</f>
        <v/>
      </c>
      <c r="K7" s="37">
        <f>IF(F7&lt;TODAY(),"✅ Completed",IF(F7-TODAY()&lt;=30,"⚠️ Due Soon","🔵 In Progress"))</f>
        <v/>
      </c>
    </row>
    <row r="8" ht="20" customHeight="1">
      <c r="A8" s="26" t="inlineStr">
        <is>
          <t>E003</t>
        </is>
      </c>
      <c r="B8" s="27" t="inlineStr">
        <is>
          <t>Vivaan Reddy</t>
        </is>
      </c>
      <c r="C8" s="79" t="n">
        <v>43485</v>
      </c>
      <c r="D8" s="27" t="inlineStr">
        <is>
          <t>Sales</t>
        </is>
      </c>
      <c r="E8" s="80" t="n">
        <v>45306</v>
      </c>
      <c r="F8" s="81" t="n">
        <v>45443</v>
      </c>
      <c r="G8" s="82">
        <f>TODAY()-C8</f>
        <v/>
      </c>
      <c r="H8" s="83">
        <f>DATEDIF(C8,TODAY(),"Y")&amp;" yrs "&amp;DATEDIF(C8,TODAY(),"YM")&amp;" mo"</f>
        <v/>
      </c>
      <c r="I8" s="84">
        <f>F8-TODAY()</f>
        <v/>
      </c>
      <c r="J8" s="85">
        <f>NETWORKDAYS(E8,F8)</f>
        <v/>
      </c>
      <c r="K8" s="31">
        <f>IF(F8&lt;TODAY(),"✅ Completed",IF(F8-TODAY()&lt;=30,"⚠️ Due Soon","🔵 In Progress"))</f>
        <v/>
      </c>
    </row>
    <row r="9" ht="20" customHeight="1">
      <c r="A9" s="32" t="inlineStr">
        <is>
          <t>E004</t>
        </is>
      </c>
      <c r="B9" s="33" t="inlineStr">
        <is>
          <t>Ananya Nair</t>
        </is>
      </c>
      <c r="C9" s="86" t="n">
        <v>44870</v>
      </c>
      <c r="D9" s="33" t="inlineStr">
        <is>
          <t>HR</t>
        </is>
      </c>
      <c r="E9" s="87" t="n">
        <v>45352</v>
      </c>
      <c r="F9" s="88" t="n">
        <v>45565</v>
      </c>
      <c r="G9" s="89">
        <f>TODAY()-C9</f>
        <v/>
      </c>
      <c r="H9" s="90">
        <f>DATEDIF(C9,TODAY(),"Y")&amp;" yrs "&amp;DATEDIF(C9,TODAY(),"YM")&amp;" mo"</f>
        <v/>
      </c>
      <c r="I9" s="91">
        <f>F9-TODAY()</f>
        <v/>
      </c>
      <c r="J9" s="92">
        <f>NETWORKDAYS(E9,F9)</f>
        <v/>
      </c>
      <c r="K9" s="37">
        <f>IF(F9&lt;TODAY(),"✅ Completed",IF(F9-TODAY()&lt;=30,"⚠️ Due Soon","🔵 In Progress"))</f>
        <v/>
      </c>
    </row>
    <row r="10" ht="20" customHeight="1">
      <c r="A10" s="26" t="inlineStr">
        <is>
          <t>E005</t>
        </is>
      </c>
      <c r="B10" s="27" t="inlineStr">
        <is>
          <t>Kabir Mehta</t>
        </is>
      </c>
      <c r="C10" s="79" t="n">
        <v>43263</v>
      </c>
      <c r="D10" s="27" t="inlineStr">
        <is>
          <t>Marketing</t>
        </is>
      </c>
      <c r="E10" s="80" t="n">
        <v>45311</v>
      </c>
      <c r="F10" s="81" t="n">
        <v>45493</v>
      </c>
      <c r="G10" s="82">
        <f>TODAY()-C10</f>
        <v/>
      </c>
      <c r="H10" s="83">
        <f>DATEDIF(C10,TODAY(),"Y")&amp;" yrs "&amp;DATEDIF(C10,TODAY(),"YM")&amp;" mo"</f>
        <v/>
      </c>
      <c r="I10" s="84">
        <f>F10-TODAY()</f>
        <v/>
      </c>
      <c r="J10" s="85">
        <f>NETWORKDAYS(E10,F10)</f>
        <v/>
      </c>
      <c r="K10" s="31">
        <f>IF(F10&lt;TODAY(),"✅ Completed",IF(F10-TODAY()&lt;=30,"⚠️ Due Soon","🔵 In Progress"))</f>
        <v/>
      </c>
    </row>
    <row r="11" ht="20" customHeight="1">
      <c r="A11" s="32" t="inlineStr">
        <is>
          <t>E006</t>
        </is>
      </c>
      <c r="B11" s="33" t="inlineStr">
        <is>
          <t>Ishaan Bose</t>
        </is>
      </c>
      <c r="C11" s="86" t="n">
        <v>44985</v>
      </c>
      <c r="D11" s="33" t="inlineStr">
        <is>
          <t>Sales</t>
        </is>
      </c>
      <c r="E11" s="87" t="n">
        <v>45383</v>
      </c>
      <c r="F11" s="88" t="n">
        <v>45596</v>
      </c>
      <c r="G11" s="89">
        <f>TODAY()-C11</f>
        <v/>
      </c>
      <c r="H11" s="90">
        <f>DATEDIF(C11,TODAY(),"Y")&amp;" yrs "&amp;DATEDIF(C11,TODAY(),"YM")&amp;" mo"</f>
        <v/>
      </c>
      <c r="I11" s="91">
        <f>F11-TODAY()</f>
        <v/>
      </c>
      <c r="J11" s="92">
        <f>NETWORKDAYS(E11,F11)</f>
        <v/>
      </c>
      <c r="K11" s="37">
        <f>IF(F11&lt;TODAY(),"✅ Completed",IF(F11-TODAY()&lt;=30,"⚠️ Due Soon","🔵 In Progress"))</f>
        <v/>
      </c>
    </row>
    <row r="12" ht="20" customHeight="1">
      <c r="A12" s="26" t="inlineStr">
        <is>
          <t>E007</t>
        </is>
      </c>
      <c r="B12" s="27" t="inlineStr">
        <is>
          <t>Myra Joshi</t>
        </is>
      </c>
      <c r="C12" s="79" t="n">
        <v>44075</v>
      </c>
      <c r="D12" s="27" t="inlineStr">
        <is>
          <t>HR</t>
        </is>
      </c>
      <c r="E12" s="80" t="n">
        <v>45337</v>
      </c>
      <c r="F12" s="81" t="n">
        <v>45535</v>
      </c>
      <c r="G12" s="82">
        <f>TODAY()-C12</f>
        <v/>
      </c>
      <c r="H12" s="83">
        <f>DATEDIF(C12,TODAY(),"Y")&amp;" yrs "&amp;DATEDIF(C12,TODAY(),"YM")&amp;" mo"</f>
        <v/>
      </c>
      <c r="I12" s="84">
        <f>F12-TODAY()</f>
        <v/>
      </c>
      <c r="J12" s="85">
        <f>NETWORKDAYS(E12,F12)</f>
        <v/>
      </c>
      <c r="K12" s="31">
        <f>IF(F12&lt;TODAY(),"✅ Completed",IF(F12-TODAY()&lt;=30,"⚠️ Due Soon","🔵 In Progress"))</f>
        <v/>
      </c>
    </row>
    <row r="13" ht="20" customHeight="1">
      <c r="A13" s="32" t="inlineStr">
        <is>
          <t>E008</t>
        </is>
      </c>
      <c r="B13" s="33" t="inlineStr">
        <is>
          <t>Aryan Patel</t>
        </is>
      </c>
      <c r="C13" s="86" t="n">
        <v>44265</v>
      </c>
      <c r="D13" s="33" t="inlineStr">
        <is>
          <t>Sales</t>
        </is>
      </c>
      <c r="E13" s="87" t="n">
        <v>45361</v>
      </c>
      <c r="F13" s="88" t="n">
        <v>45626</v>
      </c>
      <c r="G13" s="89">
        <f>TODAY()-C13</f>
        <v/>
      </c>
      <c r="H13" s="90">
        <f>DATEDIF(C13,TODAY(),"Y")&amp;" yrs "&amp;DATEDIF(C13,TODAY(),"YM")&amp;" mo"</f>
        <v/>
      </c>
      <c r="I13" s="91">
        <f>F13-TODAY()</f>
        <v/>
      </c>
      <c r="J13" s="92">
        <f>NETWORKDAYS(E13,F13)</f>
        <v/>
      </c>
      <c r="K13" s="37">
        <f>IF(F13&lt;TODAY(),"✅ Completed",IF(F13-TODAY()&lt;=30,"⚠️ Due Soon","🔵 In Progress"))</f>
        <v/>
      </c>
    </row>
    <row r="14" ht="20" customHeight="1">
      <c r="A14" s="26" t="inlineStr">
        <is>
          <t>E009</t>
        </is>
      </c>
      <c r="B14" s="27" t="inlineStr">
        <is>
          <t>Kiara Gupta</t>
        </is>
      </c>
      <c r="C14" s="79" t="n">
        <v>42972</v>
      </c>
      <c r="D14" s="27" t="inlineStr">
        <is>
          <t>Marketing</t>
        </is>
      </c>
      <c r="E14" s="80" t="n">
        <v>45296</v>
      </c>
      <c r="F14" s="81" t="n">
        <v>45458</v>
      </c>
      <c r="G14" s="82">
        <f>TODAY()-C14</f>
        <v/>
      </c>
      <c r="H14" s="83">
        <f>DATEDIF(C14,TODAY(),"Y")&amp;" yrs "&amp;DATEDIF(C14,TODAY(),"YM")&amp;" mo"</f>
        <v/>
      </c>
      <c r="I14" s="84">
        <f>F14-TODAY()</f>
        <v/>
      </c>
      <c r="J14" s="85">
        <f>NETWORKDAYS(E14,F14)</f>
        <v/>
      </c>
      <c r="K14" s="31">
        <f>IF(F14&lt;TODAY(),"✅ Completed",IF(F14-TODAY()&lt;=30,"⚠️ Due Soon","🔵 In Progress"))</f>
        <v/>
      </c>
    </row>
    <row r="15" ht="20" customHeight="1">
      <c r="A15" s="32" t="inlineStr">
        <is>
          <t>E010</t>
        </is>
      </c>
      <c r="B15" s="33" t="inlineStr">
        <is>
          <t>Reyansh Singh</t>
        </is>
      </c>
      <c r="C15" s="86" t="n">
        <v>44695</v>
      </c>
      <c r="D15" s="33" t="inlineStr">
        <is>
          <t>Sales</t>
        </is>
      </c>
      <c r="E15" s="87" t="n">
        <v>45402</v>
      </c>
      <c r="F15" s="88" t="n">
        <v>45657</v>
      </c>
      <c r="G15" s="89">
        <f>TODAY()-C15</f>
        <v/>
      </c>
      <c r="H15" s="90">
        <f>DATEDIF(C15,TODAY(),"Y")&amp;" yrs "&amp;DATEDIF(C15,TODAY(),"YM")&amp;" mo"</f>
        <v/>
      </c>
      <c r="I15" s="91">
        <f>F15-TODAY()</f>
        <v/>
      </c>
      <c r="J15" s="92">
        <f>NETWORKDAYS(E15,F15)</f>
        <v/>
      </c>
      <c r="K15" s="37">
        <f>IF(F15&lt;TODAY(),"✅ Completed",IF(F15-TODAY()&lt;=30,"⚠️ Due Soon","🔵 In Progress"))</f>
        <v/>
      </c>
    </row>
    <row r="17" ht="22" customHeight="1">
      <c r="A17" s="68" t="inlineStr">
        <is>
          <t xml:space="preserve">  DATE FUNCTION REFERENCE</t>
        </is>
      </c>
    </row>
    <row r="18">
      <c r="A18" s="69" t="inlineStr">
        <is>
          <t>Function</t>
        </is>
      </c>
      <c r="B18" s="69" t="inlineStr">
        <is>
          <t>Syntax</t>
        </is>
      </c>
      <c r="C18" s="69" t="inlineStr">
        <is>
          <t>Example</t>
        </is>
      </c>
      <c r="D18" s="69" t="inlineStr">
        <is>
          <t>Live Result</t>
        </is>
      </c>
      <c r="E18" s="69" t="inlineStr">
        <is>
          <t>What It Returns</t>
        </is>
      </c>
    </row>
    <row r="19" ht="24" customHeight="1">
      <c r="A19" s="93" t="inlineStr">
        <is>
          <t>TODAY</t>
        </is>
      </c>
      <c r="B19" s="94">
        <f>TODAY()</f>
        <v/>
      </c>
      <c r="C19" s="95">
        <f>TODAY()</f>
        <v/>
      </c>
      <c r="D19" s="96">
        <f>TODAY()</f>
        <v/>
      </c>
      <c r="E19" s="73" t="inlineStr">
        <is>
          <t>Today's date (auto-updates)</t>
        </is>
      </c>
    </row>
    <row r="20" ht="24" customHeight="1">
      <c r="A20" s="97" t="inlineStr">
        <is>
          <t>NOW</t>
        </is>
      </c>
      <c r="B20" s="63">
        <f>NOW()</f>
        <v/>
      </c>
      <c r="C20" s="37">
        <f>NOW()</f>
        <v/>
      </c>
      <c r="D20" s="98">
        <f>NOW()</f>
        <v/>
      </c>
      <c r="E20" s="11" t="inlineStr">
        <is>
          <t>Current date + time</t>
        </is>
      </c>
    </row>
    <row r="21" ht="24" customHeight="1">
      <c r="A21" s="93" t="inlineStr">
        <is>
          <t>DATE</t>
        </is>
      </c>
      <c r="B21" s="94">
        <f>DATE(year,month,day)</f>
        <v/>
      </c>
      <c r="C21" s="95">
        <f>DATE(2024,8,15)</f>
        <v/>
      </c>
      <c r="D21" s="99">
        <f>DATE(2024,8,15)</f>
        <v/>
      </c>
      <c r="E21" s="73" t="inlineStr">
        <is>
          <t>Construct a date from parts</t>
        </is>
      </c>
    </row>
    <row r="22" ht="24" customHeight="1">
      <c r="A22" s="97" t="inlineStr">
        <is>
          <t>EDATE</t>
        </is>
      </c>
      <c r="B22" s="63">
        <f>EDATE(start_date, months)</f>
        <v/>
      </c>
      <c r="C22" s="37">
        <f>EDATE(TODAY(),3)</f>
        <v/>
      </c>
      <c r="D22" s="100">
        <f>EDATE(TODAY(),3)</f>
        <v/>
      </c>
      <c r="E22" s="11" t="inlineStr">
        <is>
          <t>Date n months from start</t>
        </is>
      </c>
    </row>
    <row r="23" ht="24" customHeight="1">
      <c r="A23" s="93" t="inlineStr">
        <is>
          <t>DATEDIF</t>
        </is>
      </c>
      <c r="B23" s="94">
        <f>DATEDIF(start,end,"Y"/"M"/"D")</f>
        <v/>
      </c>
      <c r="C23" s="95">
        <f>DATEDIF(DATE(2020,4,15),TODAY(),"Y")</f>
        <v/>
      </c>
      <c r="D23" s="96">
        <f>DATEDIF(DATE(2020,4,15),TODAY(),"Y")</f>
        <v/>
      </c>
      <c r="E23" s="73" t="inlineStr">
        <is>
          <t>Difference in years, months, days</t>
        </is>
      </c>
    </row>
    <row r="24" ht="24" customHeight="1">
      <c r="A24" s="97" t="inlineStr">
        <is>
          <t>NETWORKDAYS</t>
        </is>
      </c>
      <c r="B24" s="63">
        <f>NETWORKDAYS(start,end,[holidays])</f>
        <v/>
      </c>
      <c r="C24" s="37">
        <f>NETWORKDAYS(DATE(2024,1,1),DATE(2024,12,31))</f>
        <v/>
      </c>
      <c r="D24" s="101">
        <f>NETWORKDAYS(DATE(2024,1,1),DATE(2024,12,31))</f>
        <v/>
      </c>
      <c r="E24" s="11" t="inlineStr">
        <is>
          <t>Working days between dates</t>
        </is>
      </c>
    </row>
    <row r="25" ht="24" customHeight="1">
      <c r="A25" s="93" t="inlineStr">
        <is>
          <t>YEAR/MONTH/DAY</t>
        </is>
      </c>
      <c r="B25" s="94">
        <f>YEAR(date), =MONTH(date), =DAY(date)</f>
        <v/>
      </c>
      <c r="C25" s="95">
        <f>YEAR(TODAY())</f>
        <v/>
      </c>
      <c r="D25" s="96">
        <f>YEAR(TODAY())</f>
        <v/>
      </c>
      <c r="E25" s="73" t="inlineStr">
        <is>
          <t>Extract year/month/day part</t>
        </is>
      </c>
    </row>
    <row r="26" ht="24" customHeight="1">
      <c r="A26" s="97" t="inlineStr">
        <is>
          <t>EOMONTH</t>
        </is>
      </c>
      <c r="B26" s="63">
        <f>EOMONTH(start_date, months)</f>
        <v/>
      </c>
      <c r="C26" s="37">
        <f>EOMONTH(TODAY(),0)</f>
        <v/>
      </c>
      <c r="D26" s="100">
        <f>EOMONTH(TODAY(),0)</f>
        <v/>
      </c>
      <c r="E26" s="11" t="inlineStr">
        <is>
          <t>Last day of the month</t>
        </is>
      </c>
    </row>
    <row r="28" ht="20" customHeight="1">
      <c r="A28" s="47" t="inlineStr">
        <is>
          <t>✏️  EXERCISE — Date calculations on employee and project data</t>
        </is>
      </c>
    </row>
    <row r="29" ht="18" customHeight="1">
      <c r="A29" s="48" t="inlineStr">
        <is>
          <t>Q1: Calculate how many days each employee has been working (=TODAY()-JoinDate) → verify column G</t>
        </is>
      </c>
    </row>
    <row r="30" ht="18" customHeight="1">
      <c r="A30" s="48" t="inlineStr">
        <is>
          <t>Q2: Use DATEDIF with 'YM' to get months AFTER the last full year of service</t>
        </is>
      </c>
    </row>
    <row r="31" ht="18" customHeight="1">
      <c r="A31" s="48" t="inlineStr">
        <is>
          <t>Q3: Use EDATE to calculate the contract renewal date (6 months after join date) → column L</t>
        </is>
      </c>
    </row>
    <row r="32" ht="18" customHeight="1">
      <c r="A32" s="48" t="inlineStr">
        <is>
          <t>Q4: Count how many projects are 'Due Soon' (delivery within 30 days) using COUNTIF on column K</t>
        </is>
      </c>
    </row>
    <row r="33" ht="18" customHeight="1">
      <c r="A33" s="48" t="inlineStr">
        <is>
          <t>Q5: Use NETWORKDAYS to count working days remaining for each project</t>
        </is>
      </c>
    </row>
    <row r="34" ht="18" customHeight="1">
      <c r="A34" s="48" t="inlineStr">
        <is>
          <t>Q6: Use YEAR(JoinDate) to group employees by the year they joined → COUNTIF by year</t>
        </is>
      </c>
    </row>
    <row r="35" ht="18" customHeight="1">
      <c r="A35" s="48" t="inlineStr">
        <is>
          <t>Q7: Find the longest-serving employee using MIN(JoinDate) and DATEDIF</t>
        </is>
      </c>
    </row>
    <row r="36" ht="18" customHeight="1">
      <c r="A36" s="48" t="inlineStr">
        <is>
          <t>Q8: Use EOMONTH(ProjectEnd,0) to confirm the project ends on the last day of the month</t>
        </is>
      </c>
    </row>
    <row r="37" ht="16" customHeight="1">
      <c r="A37" s="49" t="inlineStr">
        <is>
          <t>💡  DATEDIF is undocumented in Excel help but fully functional. Use 'Y' for years, 'M' for months, 'D' for days, 'YM' for months after last full year.</t>
        </is>
      </c>
    </row>
  </sheetData>
  <mergeCells count="15">
    <mergeCell ref="A1:J1"/>
    <mergeCell ref="A37:J37"/>
    <mergeCell ref="A32:J32"/>
    <mergeCell ref="A36:J36"/>
    <mergeCell ref="A31:J31"/>
    <mergeCell ref="A17:J17"/>
    <mergeCell ref="A3:J3"/>
    <mergeCell ref="A30:J30"/>
    <mergeCell ref="A34:J34"/>
    <mergeCell ref="A29:J29"/>
    <mergeCell ref="A4:J4"/>
    <mergeCell ref="A35:J35"/>
    <mergeCell ref="A2:J2"/>
    <mergeCell ref="A28:J28"/>
    <mergeCell ref="A33:J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580C"/>
    <outlinePr summaryBelow="1" summaryRight="1"/>
    <pageSetUpPr/>
  </sheetPr>
  <dimension ref="A1:J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22" customHeight="1">
      <c r="A1" s="21" t="inlineStr">
        <is>
          <t xml:space="preserve">  🔢  MATH &amp; STAT FUNCTIONS — SUM, AVERAGE, COUNT, COUNTA, ROUND, INT, MOD</t>
        </is>
      </c>
    </row>
    <row r="2" ht="18" customHeight="1">
      <c r="A2" s="22" t="inlineStr">
        <is>
          <t xml:space="preserve">  Math and statistical functions form the backbone of quantitative analysis in Excel.</t>
        </is>
      </c>
    </row>
    <row r="3" ht="8" customHeight="1">
      <c r="A3" s="23" t="n"/>
    </row>
    <row r="4" ht="22" customHeight="1">
      <c r="A4" s="102" t="inlineStr">
        <is>
          <t xml:space="preserve">  SAMPLE DATA — Product Sales Data</t>
        </is>
      </c>
    </row>
    <row r="5">
      <c r="A5" s="103" t="inlineStr">
        <is>
          <t>Product ID</t>
        </is>
      </c>
      <c r="B5" s="103" t="inlineStr">
        <is>
          <t>Product Name</t>
        </is>
      </c>
      <c r="C5" s="103" t="inlineStr">
        <is>
          <t>Category</t>
        </is>
      </c>
      <c r="D5" s="103" t="inlineStr">
        <is>
          <t>Unit Price (₹)</t>
        </is>
      </c>
      <c r="E5" s="103" t="inlineStr">
        <is>
          <t>Units Sold</t>
        </is>
      </c>
      <c r="F5" s="103" t="inlineStr">
        <is>
          <t>Revenue (₹)</t>
        </is>
      </c>
      <c r="G5" s="103" t="inlineStr">
        <is>
          <t>Discount %</t>
        </is>
      </c>
      <c r="H5" s="103" t="inlineStr">
        <is>
          <t>Net Revenue</t>
        </is>
      </c>
      <c r="I5" s="103" t="inlineStr">
        <is>
          <t>Tax (18%)</t>
        </is>
      </c>
      <c r="J5" s="103" t="inlineStr">
        <is>
          <t>Final Price</t>
        </is>
      </c>
    </row>
    <row r="6" ht="18" customHeight="1">
      <c r="A6" s="104" t="inlineStr">
        <is>
          <t>P001</t>
        </is>
      </c>
      <c r="B6" s="27" t="inlineStr">
        <is>
          <t>iPhone 15</t>
        </is>
      </c>
      <c r="C6" s="27" t="inlineStr">
        <is>
          <t>Electronics</t>
        </is>
      </c>
      <c r="D6" s="105" t="n">
        <v>89999</v>
      </c>
      <c r="E6" s="26" t="n">
        <v>45</v>
      </c>
      <c r="F6" s="106">
        <f>D6*E6</f>
        <v/>
      </c>
      <c r="G6" s="107" t="n">
        <v>0.1</v>
      </c>
      <c r="H6" s="108">
        <f>ROUND(F6*(1-G6),0)</f>
        <v/>
      </c>
      <c r="I6" s="109">
        <f>ROUND(H6*0.18,0)</f>
        <v/>
      </c>
      <c r="J6" s="110">
        <f>H6+I6</f>
        <v/>
      </c>
    </row>
    <row r="7" ht="18" customHeight="1">
      <c r="A7" s="111" t="inlineStr">
        <is>
          <t>P002</t>
        </is>
      </c>
      <c r="B7" s="33" t="inlineStr">
        <is>
          <t>Samsung S24</t>
        </is>
      </c>
      <c r="C7" s="33" t="inlineStr">
        <is>
          <t>Electronics</t>
        </is>
      </c>
      <c r="D7" s="112" t="n">
        <v>74999</v>
      </c>
      <c r="E7" s="32" t="n">
        <v>62</v>
      </c>
      <c r="F7" s="113">
        <f>D7*E7</f>
        <v/>
      </c>
      <c r="G7" s="114" t="n">
        <v>0.08</v>
      </c>
      <c r="H7" s="115">
        <f>ROUND(F7*(1-G7),0)</f>
        <v/>
      </c>
      <c r="I7" s="116">
        <f>ROUND(H7*0.18,0)</f>
        <v/>
      </c>
      <c r="J7" s="117">
        <f>H7+I7</f>
        <v/>
      </c>
    </row>
    <row r="8" ht="18" customHeight="1">
      <c r="A8" s="104" t="inlineStr">
        <is>
          <t>P003</t>
        </is>
      </c>
      <c r="B8" s="27" t="inlineStr">
        <is>
          <t>OnePlus 12</t>
        </is>
      </c>
      <c r="C8" s="27" t="inlineStr">
        <is>
          <t>Electronics</t>
        </is>
      </c>
      <c r="D8" s="105" t="n">
        <v>64999</v>
      </c>
      <c r="E8" s="26" t="n">
        <v>38</v>
      </c>
      <c r="F8" s="106">
        <f>D8*E8</f>
        <v/>
      </c>
      <c r="G8" s="107" t="n">
        <v>0.12</v>
      </c>
      <c r="H8" s="108">
        <f>ROUND(F8*(1-G8),0)</f>
        <v/>
      </c>
      <c r="I8" s="109">
        <f>ROUND(H8*0.18,0)</f>
        <v/>
      </c>
      <c r="J8" s="110">
        <f>H8+I8</f>
        <v/>
      </c>
    </row>
    <row r="9" ht="18" customHeight="1">
      <c r="A9" s="111" t="inlineStr">
        <is>
          <t>P004</t>
        </is>
      </c>
      <c r="B9" s="33" t="inlineStr">
        <is>
          <t>Nike Air Max</t>
        </is>
      </c>
      <c r="C9" s="33" t="inlineStr">
        <is>
          <t>Footwear</t>
        </is>
      </c>
      <c r="D9" s="112" t="n">
        <v>12999</v>
      </c>
      <c r="E9" s="32" t="n">
        <v>120</v>
      </c>
      <c r="F9" s="113">
        <f>D9*E9</f>
        <v/>
      </c>
      <c r="G9" s="114" t="n">
        <v>0.15</v>
      </c>
      <c r="H9" s="115">
        <f>ROUND(F9*(1-G9),0)</f>
        <v/>
      </c>
      <c r="I9" s="116">
        <f>ROUND(H9*0.18,0)</f>
        <v/>
      </c>
      <c r="J9" s="117">
        <f>H9+I9</f>
        <v/>
      </c>
    </row>
    <row r="10" ht="18" customHeight="1">
      <c r="A10" s="104" t="inlineStr">
        <is>
          <t>P005</t>
        </is>
      </c>
      <c r="B10" s="27" t="inlineStr">
        <is>
          <t>Adidas Ultra</t>
        </is>
      </c>
      <c r="C10" s="27" t="inlineStr">
        <is>
          <t>Footwear</t>
        </is>
      </c>
      <c r="D10" s="105" t="n">
        <v>9999</v>
      </c>
      <c r="E10" s="26" t="n">
        <v>85</v>
      </c>
      <c r="F10" s="106">
        <f>D10*E10</f>
        <v/>
      </c>
      <c r="G10" s="107" t="n">
        <v>0.1</v>
      </c>
      <c r="H10" s="108">
        <f>ROUND(F10*(1-G10),0)</f>
        <v/>
      </c>
      <c r="I10" s="109">
        <f>ROUND(H10*0.18,0)</f>
        <v/>
      </c>
      <c r="J10" s="110">
        <f>H10+I10</f>
        <v/>
      </c>
    </row>
    <row r="11" ht="18" customHeight="1">
      <c r="A11" s="111" t="inlineStr">
        <is>
          <t>P006</t>
        </is>
      </c>
      <c r="B11" s="33" t="inlineStr">
        <is>
          <t>Levi's Jeans</t>
        </is>
      </c>
      <c r="C11" s="33" t="inlineStr">
        <is>
          <t>Clothing</t>
        </is>
      </c>
      <c r="D11" s="112" t="n">
        <v>3499</v>
      </c>
      <c r="E11" s="32" t="n">
        <v>210</v>
      </c>
      <c r="F11" s="113">
        <f>D11*E11</f>
        <v/>
      </c>
      <c r="G11" s="114" t="n">
        <v>0.2</v>
      </c>
      <c r="H11" s="115">
        <f>ROUND(F11*(1-G11),0)</f>
        <v/>
      </c>
      <c r="I11" s="116">
        <f>ROUND(H11*0.18,0)</f>
        <v/>
      </c>
      <c r="J11" s="117">
        <f>H11+I11</f>
        <v/>
      </c>
    </row>
    <row r="12" ht="18" customHeight="1">
      <c r="A12" s="104" t="inlineStr">
        <is>
          <t>P007</t>
        </is>
      </c>
      <c r="B12" s="27" t="inlineStr">
        <is>
          <t>H&amp;M Shirt</t>
        </is>
      </c>
      <c r="C12" s="27" t="inlineStr">
        <is>
          <t>Clothing</t>
        </is>
      </c>
      <c r="D12" s="105" t="n">
        <v>1299</v>
      </c>
      <c r="E12" s="26" t="n">
        <v>340</v>
      </c>
      <c r="F12" s="106">
        <f>D12*E12</f>
        <v/>
      </c>
      <c r="G12" s="107" t="n">
        <v>0.18</v>
      </c>
      <c r="H12" s="108">
        <f>ROUND(F12*(1-G12),0)</f>
        <v/>
      </c>
      <c r="I12" s="109">
        <f>ROUND(H12*0.18,0)</f>
        <v/>
      </c>
      <c r="J12" s="110">
        <f>H12+I12</f>
        <v/>
      </c>
    </row>
    <row r="13" ht="18" customHeight="1">
      <c r="A13" s="111" t="inlineStr">
        <is>
          <t>P008</t>
        </is>
      </c>
      <c r="B13" s="33" t="inlineStr">
        <is>
          <t>Boat Earbuds</t>
        </is>
      </c>
      <c r="C13" s="33" t="inlineStr">
        <is>
          <t>Electronics</t>
        </is>
      </c>
      <c r="D13" s="112" t="n">
        <v>2499</v>
      </c>
      <c r="E13" s="32" t="n">
        <v>580</v>
      </c>
      <c r="F13" s="113">
        <f>D13*E13</f>
        <v/>
      </c>
      <c r="G13" s="114" t="n">
        <v>0.05</v>
      </c>
      <c r="H13" s="115">
        <f>ROUND(F13*(1-G13),0)</f>
        <v/>
      </c>
      <c r="I13" s="116">
        <f>ROUND(H13*0.18,0)</f>
        <v/>
      </c>
      <c r="J13" s="117">
        <f>H13+I13</f>
        <v/>
      </c>
    </row>
    <row r="14" ht="18" customHeight="1">
      <c r="A14" s="104" t="inlineStr">
        <is>
          <t>P009</t>
        </is>
      </c>
      <c r="B14" s="27" t="inlineStr">
        <is>
          <t>Dell Laptop</t>
        </is>
      </c>
      <c r="C14" s="27" t="inlineStr">
        <is>
          <t>Electronics</t>
        </is>
      </c>
      <c r="D14" s="105" t="n">
        <v>65999</v>
      </c>
      <c r="E14" s="26" t="n">
        <v>28</v>
      </c>
      <c r="F14" s="106">
        <f>D14*E14</f>
        <v/>
      </c>
      <c r="G14" s="107" t="n">
        <v>0.07000000000000001</v>
      </c>
      <c r="H14" s="108">
        <f>ROUND(F14*(1-G14),0)</f>
        <v/>
      </c>
      <c r="I14" s="109">
        <f>ROUND(H14*0.18,0)</f>
        <v/>
      </c>
      <c r="J14" s="110">
        <f>H14+I14</f>
        <v/>
      </c>
    </row>
    <row r="15" ht="18" customHeight="1">
      <c r="A15" s="111" t="inlineStr">
        <is>
          <t>P010</t>
        </is>
      </c>
      <c r="B15" s="33" t="inlineStr">
        <is>
          <t>HP Printer</t>
        </is>
      </c>
      <c r="C15" s="33" t="inlineStr">
        <is>
          <t>Electronics</t>
        </is>
      </c>
      <c r="D15" s="112" t="n">
        <v>15999</v>
      </c>
      <c r="E15" s="32" t="n">
        <v>42</v>
      </c>
      <c r="F15" s="113">
        <f>D15*E15</f>
        <v/>
      </c>
      <c r="G15" s="114" t="n">
        <v>0.08</v>
      </c>
      <c r="H15" s="115">
        <f>ROUND(F15*(1-G15),0)</f>
        <v/>
      </c>
      <c r="I15" s="116">
        <f>ROUND(H15*0.18,0)</f>
        <v/>
      </c>
      <c r="J15" s="117">
        <f>H15+I15</f>
        <v/>
      </c>
    </row>
    <row r="16" ht="18" customHeight="1">
      <c r="A16" s="104" t="inlineStr">
        <is>
          <t>P011</t>
        </is>
      </c>
      <c r="B16" s="27" t="inlineStr">
        <is>
          <t>Woodland Shoe</t>
        </is>
      </c>
      <c r="C16" s="27" t="inlineStr">
        <is>
          <t>Footwear</t>
        </is>
      </c>
      <c r="D16" s="105" t="n">
        <v>7499</v>
      </c>
      <c r="E16" s="26" t="n">
        <v>95</v>
      </c>
      <c r="F16" s="106">
        <f>D16*E16</f>
        <v/>
      </c>
      <c r="G16" s="107" t="n">
        <v>0.12</v>
      </c>
      <c r="H16" s="108">
        <f>ROUND(F16*(1-G16),0)</f>
        <v/>
      </c>
      <c r="I16" s="109">
        <f>ROUND(H16*0.18,0)</f>
        <v/>
      </c>
      <c r="J16" s="110">
        <f>H16+I16</f>
        <v/>
      </c>
    </row>
    <row r="17" ht="18" customHeight="1">
      <c r="A17" s="111" t="inlineStr">
        <is>
          <t>P012</t>
        </is>
      </c>
      <c r="B17" s="33" t="inlineStr">
        <is>
          <t>Zara Dress</t>
        </is>
      </c>
      <c r="C17" s="33" t="inlineStr">
        <is>
          <t>Clothing</t>
        </is>
      </c>
      <c r="D17" s="112" t="n">
        <v>4999</v>
      </c>
      <c r="E17" s="32" t="n">
        <v>180</v>
      </c>
      <c r="F17" s="113">
        <f>D17*E17</f>
        <v/>
      </c>
      <c r="G17" s="114" t="n">
        <v>0.15</v>
      </c>
      <c r="H17" s="115">
        <f>ROUND(F17*(1-G17),0)</f>
        <v/>
      </c>
      <c r="I17" s="116">
        <f>ROUND(H17*0.18,0)</f>
        <v/>
      </c>
      <c r="J17" s="117">
        <f>H17+I17</f>
        <v/>
      </c>
    </row>
    <row r="18" ht="18" customHeight="1">
      <c r="A18" s="104" t="inlineStr">
        <is>
          <t>P013</t>
        </is>
      </c>
      <c r="B18" s="27" t="inlineStr">
        <is>
          <t>Sony Headphone</t>
        </is>
      </c>
      <c r="C18" s="27" t="inlineStr">
        <is>
          <t>Electronics</t>
        </is>
      </c>
      <c r="D18" s="105" t="n">
        <v>8999</v>
      </c>
      <c r="E18" s="26" t="n">
        <v>220</v>
      </c>
      <c r="F18" s="106">
        <f>D18*E18</f>
        <v/>
      </c>
      <c r="G18" s="107" t="n">
        <v>0.1</v>
      </c>
      <c r="H18" s="108">
        <f>ROUND(F18*(1-G18),0)</f>
        <v/>
      </c>
      <c r="I18" s="109">
        <f>ROUND(H18*0.18,0)</f>
        <v/>
      </c>
      <c r="J18" s="110">
        <f>H18+I18</f>
        <v/>
      </c>
    </row>
    <row r="19" ht="18" customHeight="1">
      <c r="A19" s="111" t="inlineStr">
        <is>
          <t>P014</t>
        </is>
      </c>
      <c r="B19" s="33" t="inlineStr">
        <is>
          <t>Puma Tshirt</t>
        </is>
      </c>
      <c r="C19" s="33" t="inlineStr">
        <is>
          <t>Clothing</t>
        </is>
      </c>
      <c r="D19" s="112" t="n">
        <v>1499</v>
      </c>
      <c r="E19" s="32" t="n">
        <v>415</v>
      </c>
      <c r="F19" s="113">
        <f>D19*E19</f>
        <v/>
      </c>
      <c r="G19" s="114" t="n">
        <v>0.2</v>
      </c>
      <c r="H19" s="115">
        <f>ROUND(F19*(1-G19),0)</f>
        <v/>
      </c>
      <c r="I19" s="116">
        <f>ROUND(H19*0.18,0)</f>
        <v/>
      </c>
      <c r="J19" s="117">
        <f>H19+I19</f>
        <v/>
      </c>
    </row>
    <row r="20" ht="18" customHeight="1">
      <c r="A20" s="104" t="inlineStr">
        <is>
          <t>P015</t>
        </is>
      </c>
      <c r="B20" s="27" t="inlineStr">
        <is>
          <t>Fossil Watch</t>
        </is>
      </c>
      <c r="C20" s="27" t="inlineStr">
        <is>
          <t>Accessories</t>
        </is>
      </c>
      <c r="D20" s="105" t="n">
        <v>12999</v>
      </c>
      <c r="E20" s="26" t="n">
        <v>68</v>
      </c>
      <c r="F20" s="106">
        <f>D20*E20</f>
        <v/>
      </c>
      <c r="G20" s="107" t="n">
        <v>0.08</v>
      </c>
      <c r="H20" s="108">
        <f>ROUND(F20*(1-G20),0)</f>
        <v/>
      </c>
      <c r="I20" s="109">
        <f>ROUND(H20*0.18,0)</f>
        <v/>
      </c>
      <c r="J20" s="110">
        <f>H20+I20</f>
        <v/>
      </c>
    </row>
    <row r="22" ht="22" customHeight="1">
      <c r="A22" s="68" t="inlineStr">
        <is>
          <t xml:space="preserve">  SUMMARY STATISTICS — All Math/Stat Functions Applied</t>
        </is>
      </c>
    </row>
    <row r="23">
      <c r="A23" s="69" t="inlineStr">
        <is>
          <t>Metric</t>
        </is>
      </c>
      <c r="B23" s="69" t="inlineStr">
        <is>
          <t>Formula</t>
        </is>
      </c>
      <c r="C23" s="69" t="inlineStr">
        <is>
          <t>Result</t>
        </is>
      </c>
      <c r="D23" s="69" t="inlineStr">
        <is>
          <t>Description</t>
        </is>
      </c>
    </row>
    <row r="24" ht="18" customHeight="1">
      <c r="A24" s="118" t="inlineStr">
        <is>
          <t>Total Revenue</t>
        </is>
      </c>
      <c r="B24" s="70">
        <f>SUM(F6:F20)</f>
        <v/>
      </c>
      <c r="C24" s="119">
        <f>SUM(F6:F20)</f>
        <v/>
      </c>
      <c r="D24" s="120" t="inlineStr">
        <is>
          <t>Sum all revenue</t>
        </is>
      </c>
    </row>
    <row r="25" ht="18" customHeight="1">
      <c r="A25" s="17" t="inlineStr">
        <is>
          <t>Total Net Revenue</t>
        </is>
      </c>
      <c r="B25" s="54">
        <f>SUM(H6:H20)</f>
        <v/>
      </c>
      <c r="C25" s="113">
        <f>SUM(H6:H20)</f>
        <v/>
      </c>
      <c r="D25" s="33" t="inlineStr">
        <is>
          <t>Sum discounted revenue</t>
        </is>
      </c>
    </row>
    <row r="26" ht="18" customHeight="1">
      <c r="A26" s="118" t="inlineStr">
        <is>
          <t>Average Unit Price</t>
        </is>
      </c>
      <c r="B26" s="70">
        <f>AVERAGE(D6:D20)</f>
        <v/>
      </c>
      <c r="C26" s="119">
        <f>AVERAGE(D6:D20)</f>
        <v/>
      </c>
      <c r="D26" s="120" t="inlineStr">
        <is>
          <t>Mean unit price</t>
        </is>
      </c>
    </row>
    <row r="27" ht="18" customHeight="1">
      <c r="A27" s="17" t="inlineStr">
        <is>
          <t>Average Units Sold</t>
        </is>
      </c>
      <c r="B27" s="54">
        <f>ROUND(AVERAGE(E6:E20),0)</f>
        <v/>
      </c>
      <c r="C27" s="121">
        <f>ROUND(AVERAGE(E6:E20),0)</f>
        <v/>
      </c>
      <c r="D27" s="33" t="inlineStr">
        <is>
          <t>Mean units (rounded)</t>
        </is>
      </c>
    </row>
    <row r="28" ht="18" customHeight="1">
      <c r="A28" s="118" t="inlineStr">
        <is>
          <t>Count of Products</t>
        </is>
      </c>
      <c r="B28" s="70">
        <f>COUNT(E6:E20)</f>
        <v/>
      </c>
      <c r="C28" s="122">
        <f>COUNT(E6:E20)</f>
        <v/>
      </c>
      <c r="D28" s="120" t="inlineStr">
        <is>
          <t>Count numeric cells</t>
        </is>
      </c>
    </row>
    <row r="29" ht="18" customHeight="1">
      <c r="A29" s="17" t="inlineStr">
        <is>
          <t>Count Non-Empty Names</t>
        </is>
      </c>
      <c r="B29" s="54">
        <f>COUNTA(B6:B20)</f>
        <v/>
      </c>
      <c r="C29" s="121">
        <f>COUNTA(B6:B20)</f>
        <v/>
      </c>
      <c r="D29" s="33" t="inlineStr">
        <is>
          <t>Count non-empty cells</t>
        </is>
      </c>
    </row>
    <row r="30" ht="18" customHeight="1">
      <c r="A30" s="118" t="inlineStr">
        <is>
          <t>Max Revenue Product</t>
        </is>
      </c>
      <c r="B30" s="70">
        <f>MAX(F6:F20)</f>
        <v/>
      </c>
      <c r="C30" s="119">
        <f>MAX(F6:F20)</f>
        <v/>
      </c>
      <c r="D30" s="120" t="inlineStr">
        <is>
          <t>Highest revenue row</t>
        </is>
      </c>
    </row>
    <row r="31" ht="18" customHeight="1">
      <c r="A31" s="17" t="inlineStr">
        <is>
          <t>Min Revenue Product</t>
        </is>
      </c>
      <c r="B31" s="54">
        <f>MIN(F6:F20)</f>
        <v/>
      </c>
      <c r="C31" s="113">
        <f>MIN(F6:F20)</f>
        <v/>
      </c>
      <c r="D31" s="33" t="inlineStr">
        <is>
          <t>Lowest revenue row</t>
        </is>
      </c>
    </row>
    <row r="32" ht="18" customHeight="1">
      <c r="A32" s="118" t="inlineStr">
        <is>
          <t>ROUND(Tax, -3)</t>
        </is>
      </c>
      <c r="B32" s="70">
        <f>ROUND(SUM(I6:I20),-3)</f>
        <v/>
      </c>
      <c r="C32" s="119">
        <f>ROUND(SUM(I6:I20),-3)</f>
        <v/>
      </c>
      <c r="D32" s="120" t="inlineStr">
        <is>
          <t>Round to nearest 1000</t>
        </is>
      </c>
    </row>
    <row r="33" ht="18" customHeight="1">
      <c r="A33" s="17" t="inlineStr">
        <is>
          <t>INT of Avg Price</t>
        </is>
      </c>
      <c r="B33" s="54">
        <f>INT(AVERAGE(D6:D20))</f>
        <v/>
      </c>
      <c r="C33" s="113">
        <f>INT(AVERAGE(D6:D20))</f>
        <v/>
      </c>
      <c r="D33" s="33" t="inlineStr">
        <is>
          <t>Integer part of average</t>
        </is>
      </c>
    </row>
    <row r="34" ht="18" customHeight="1">
      <c r="A34" s="118" t="inlineStr">
        <is>
          <t>MOD(Units,10)</t>
        </is>
      </c>
      <c r="B34" s="70">
        <f>MOD(SUM(E6:E20),10)</f>
        <v/>
      </c>
      <c r="C34" s="122">
        <f>MOD(SUM(E6:E20),10)</f>
        <v/>
      </c>
      <c r="D34" s="120" t="inlineStr">
        <is>
          <t>Remainder of total units ÷ 10</t>
        </is>
      </c>
    </row>
    <row r="35" ht="18" customHeight="1">
      <c r="A35" s="17" t="inlineStr">
        <is>
          <t>Electronics Revenue</t>
        </is>
      </c>
      <c r="B35" s="54">
        <f>SUMIF(C6:C20,"Electronics",F6:F20)</f>
        <v/>
      </c>
      <c r="C35" s="113">
        <f>SUMIF(C6:C20,"Electronics",F6:F20)</f>
        <v/>
      </c>
      <c r="D35" s="33" t="inlineStr">
        <is>
          <t>Category-specific sum</t>
        </is>
      </c>
    </row>
    <row r="37" ht="20" customHeight="1">
      <c r="A37" s="47" t="inlineStr">
        <is>
          <t>✏️  EXERCISE — Math/Stat formulas on product data</t>
        </is>
      </c>
    </row>
    <row r="38" ht="18" customHeight="1">
      <c r="A38" s="48" t="inlineStr">
        <is>
          <t>Q1: Calculate total revenue for each Category using SUMIF (Electronics, Footwear, Clothing, Accessories)</t>
        </is>
      </c>
    </row>
    <row r="39" ht="18" customHeight="1">
      <c r="A39" s="48" t="inlineStr">
        <is>
          <t>Q2: Use AVERAGEIF to find the average discount % for Electronics products</t>
        </is>
      </c>
    </row>
    <row r="40" ht="18" customHeight="1">
      <c r="A40" s="48" t="inlineStr">
        <is>
          <t>Q3: Use COUNTIF to count how many products have more than 100 units sold</t>
        </is>
      </c>
    </row>
    <row r="41" ht="18" customHeight="1">
      <c r="A41" s="48" t="inlineStr">
        <is>
          <t>Q4: Use INT to calculate how many full thousands are in each product's revenue (=INT(Revenue/1000))</t>
        </is>
      </c>
    </row>
    <row r="42" ht="18" customHeight="1">
      <c r="A42" s="48" t="inlineStr">
        <is>
          <t>Q5: Use MOD to flag products where Units Sold is divisible by 5 → MOD(E,5)=0</t>
        </is>
      </c>
    </row>
    <row r="43" ht="18" customHeight="1">
      <c r="A43" s="48" t="inlineStr">
        <is>
          <t>Q6: Use ROUND with -2 to round all prices to nearest 100</t>
        </is>
      </c>
    </row>
    <row r="44" ht="18" customHeight="1">
      <c r="A44" s="48" t="inlineStr">
        <is>
          <t>Q7: Use LARGE(range,1), LARGE(range,2), LARGE(range,3) to find Top 3 revenues</t>
        </is>
      </c>
    </row>
    <row r="45" ht="18" customHeight="1">
      <c r="A45" s="48" t="inlineStr">
        <is>
          <t>Q8: Calculate the Gross Profit Margin: (Net Revenue - Cost) / Revenue where Cost = Price * 0.6</t>
        </is>
      </c>
    </row>
    <row r="46" ht="16" customHeight="1">
      <c r="A46" s="49" t="inlineStr">
        <is>
          <t>💡  ROUND(n,-2) rounds to nearest 100. ROUND(n,-3) rounds to nearest 1000. INT removes decimal. MOD gives remainder.</t>
        </is>
      </c>
    </row>
  </sheetData>
  <mergeCells count="15">
    <mergeCell ref="A44:J44"/>
    <mergeCell ref="A1:J1"/>
    <mergeCell ref="A37:J37"/>
    <mergeCell ref="A45:J45"/>
    <mergeCell ref="A46:J46"/>
    <mergeCell ref="A22:J22"/>
    <mergeCell ref="A40:J40"/>
    <mergeCell ref="A3:J3"/>
    <mergeCell ref="A39:J39"/>
    <mergeCell ref="A4:J4"/>
    <mergeCell ref="A43:J43"/>
    <mergeCell ref="A38:J38"/>
    <mergeCell ref="A2:J2"/>
    <mergeCell ref="A42:J42"/>
    <mergeCell ref="A41:J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L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21" t="inlineStr">
        <is>
          <t xml:space="preserve">  🔍  LOOKUP FUNCTIONS — VLOOKUP, HLOOKUP (+ XLOOKUP Preview)</t>
        </is>
      </c>
    </row>
    <row r="2" ht="18" customHeight="1">
      <c r="A2" s="22" t="inlineStr">
        <is>
          <t xml:space="preserve">  Lookup functions find and retrieve data from tables. VLOOKUP searches vertically; HLOOKUP searches horizontally.</t>
        </is>
      </c>
    </row>
    <row r="3" ht="8" customHeight="1">
      <c r="A3" s="23" t="n"/>
    </row>
    <row r="4" ht="22" customHeight="1">
      <c r="A4" s="56" t="inlineStr">
        <is>
          <t xml:space="preserve">  EMPLOYEE LOOKUP TABLE (Reference)</t>
        </is>
      </c>
    </row>
    <row r="5">
      <c r="A5" s="57" t="inlineStr">
        <is>
          <t>Emp ID</t>
        </is>
      </c>
      <c r="B5" s="57" t="inlineStr">
        <is>
          <t>Name</t>
        </is>
      </c>
      <c r="C5" s="57" t="inlineStr">
        <is>
          <t>Dept</t>
        </is>
      </c>
      <c r="D5" s="57" t="inlineStr">
        <is>
          <t>City</t>
        </is>
      </c>
      <c r="E5" s="57" t="inlineStr">
        <is>
          <t>Salary (₹)</t>
        </is>
      </c>
      <c r="F5" s="57" t="inlineStr">
        <is>
          <t>Rating</t>
        </is>
      </c>
    </row>
    <row r="6">
      <c r="A6" s="123" t="inlineStr">
        <is>
          <t>E001</t>
        </is>
      </c>
      <c r="B6" s="27" t="inlineStr">
        <is>
          <t>Aarav Shah</t>
        </is>
      </c>
      <c r="C6" s="27" t="inlineStr">
        <is>
          <t>Sales</t>
        </is>
      </c>
      <c r="D6" s="27" t="inlineStr">
        <is>
          <t>Mumbai</t>
        </is>
      </c>
      <c r="E6" s="28" t="n">
        <v>55000</v>
      </c>
      <c r="F6" s="26" t="inlineStr">
        <is>
          <t>A</t>
        </is>
      </c>
    </row>
    <row r="7">
      <c r="A7" s="62" t="inlineStr">
        <is>
          <t>E002</t>
        </is>
      </c>
      <c r="B7" s="33" t="inlineStr">
        <is>
          <t>Diya Sharma</t>
        </is>
      </c>
      <c r="C7" s="33" t="inlineStr">
        <is>
          <t>Marketing</t>
        </is>
      </c>
      <c r="D7" s="33" t="inlineStr">
        <is>
          <t>Delhi</t>
        </is>
      </c>
      <c r="E7" s="34" t="n">
        <v>48000</v>
      </c>
      <c r="F7" s="32" t="inlineStr">
        <is>
          <t>B+</t>
        </is>
      </c>
    </row>
    <row r="8">
      <c r="A8" s="123" t="inlineStr">
        <is>
          <t>E003</t>
        </is>
      </c>
      <c r="B8" s="27" t="inlineStr">
        <is>
          <t>Vivaan Reddy</t>
        </is>
      </c>
      <c r="C8" s="27" t="inlineStr">
        <is>
          <t>Sales</t>
        </is>
      </c>
      <c r="D8" s="27" t="inlineStr">
        <is>
          <t>Bengaluru</t>
        </is>
      </c>
      <c r="E8" s="28" t="n">
        <v>62000</v>
      </c>
      <c r="F8" s="26" t="inlineStr">
        <is>
          <t>A+</t>
        </is>
      </c>
    </row>
    <row r="9">
      <c r="A9" s="62" t="inlineStr">
        <is>
          <t>E004</t>
        </is>
      </c>
      <c r="B9" s="33" t="inlineStr">
        <is>
          <t>Ananya Nair</t>
        </is>
      </c>
      <c r="C9" s="33" t="inlineStr">
        <is>
          <t>HR</t>
        </is>
      </c>
      <c r="D9" s="33" t="inlineStr">
        <is>
          <t>Hyderabad</t>
        </is>
      </c>
      <c r="E9" s="34" t="n">
        <v>42000</v>
      </c>
      <c r="F9" s="32" t="inlineStr">
        <is>
          <t>B</t>
        </is>
      </c>
    </row>
    <row r="10">
      <c r="A10" s="123" t="inlineStr">
        <is>
          <t>E005</t>
        </is>
      </c>
      <c r="B10" s="27" t="inlineStr">
        <is>
          <t>Kabir Mehta</t>
        </is>
      </c>
      <c r="C10" s="27" t="inlineStr">
        <is>
          <t>Marketing</t>
        </is>
      </c>
      <c r="D10" s="27" t="inlineStr">
        <is>
          <t>Chennai</t>
        </is>
      </c>
      <c r="E10" s="28" t="n">
        <v>51000</v>
      </c>
      <c r="F10" s="26" t="inlineStr">
        <is>
          <t>A</t>
        </is>
      </c>
    </row>
    <row r="11">
      <c r="A11" s="62" t="inlineStr">
        <is>
          <t>E006</t>
        </is>
      </c>
      <c r="B11" s="33" t="inlineStr">
        <is>
          <t>Ishaan Bose</t>
        </is>
      </c>
      <c r="C11" s="33" t="inlineStr">
        <is>
          <t>Sales</t>
        </is>
      </c>
      <c r="D11" s="33" t="inlineStr">
        <is>
          <t>Kolkata</t>
        </is>
      </c>
      <c r="E11" s="34" t="n">
        <v>68000</v>
      </c>
      <c r="F11" s="32" t="inlineStr">
        <is>
          <t>A+</t>
        </is>
      </c>
    </row>
    <row r="12">
      <c r="A12" s="123" t="inlineStr">
        <is>
          <t>E007</t>
        </is>
      </c>
      <c r="B12" s="27" t="inlineStr">
        <is>
          <t>Myra Joshi</t>
        </is>
      </c>
      <c r="C12" s="27" t="inlineStr">
        <is>
          <t>HR</t>
        </is>
      </c>
      <c r="D12" s="27" t="inlineStr">
        <is>
          <t>Pune</t>
        </is>
      </c>
      <c r="E12" s="28" t="n">
        <v>38000</v>
      </c>
      <c r="F12" s="26" t="inlineStr">
        <is>
          <t>C</t>
        </is>
      </c>
    </row>
    <row r="13">
      <c r="A13" s="62" t="inlineStr">
        <is>
          <t>E008</t>
        </is>
      </c>
      <c r="B13" s="33" t="inlineStr">
        <is>
          <t>Aryan Patel</t>
        </is>
      </c>
      <c r="C13" s="33" t="inlineStr">
        <is>
          <t>Sales</t>
        </is>
      </c>
      <c r="D13" s="33" t="inlineStr">
        <is>
          <t>Ahmedabad</t>
        </is>
      </c>
      <c r="E13" s="34" t="n">
        <v>57000</v>
      </c>
      <c r="F13" s="32" t="inlineStr">
        <is>
          <t>A</t>
        </is>
      </c>
    </row>
    <row r="14">
      <c r="A14" s="123" t="inlineStr">
        <is>
          <t>E009</t>
        </is>
      </c>
      <c r="B14" s="27" t="inlineStr">
        <is>
          <t>Kiara Gupta</t>
        </is>
      </c>
      <c r="C14" s="27" t="inlineStr">
        <is>
          <t>Marketing</t>
        </is>
      </c>
      <c r="D14" s="27" t="inlineStr">
        <is>
          <t>Jaipur</t>
        </is>
      </c>
      <c r="E14" s="28" t="n">
        <v>44000</v>
      </c>
      <c r="F14" s="26" t="inlineStr">
        <is>
          <t>B+</t>
        </is>
      </c>
    </row>
    <row r="15">
      <c r="A15" s="62" t="inlineStr">
        <is>
          <t>E010</t>
        </is>
      </c>
      <c r="B15" s="33" t="inlineStr">
        <is>
          <t>Reyansh Singh</t>
        </is>
      </c>
      <c r="C15" s="33" t="inlineStr">
        <is>
          <t>Sales</t>
        </is>
      </c>
      <c r="D15" s="33" t="inlineStr">
        <is>
          <t>Lucknow</t>
        </is>
      </c>
      <c r="E15" s="34" t="n">
        <v>59000</v>
      </c>
      <c r="F15" s="32" t="inlineStr">
        <is>
          <t>A</t>
        </is>
      </c>
    </row>
    <row r="17" ht="22" customHeight="1">
      <c r="A17" s="24" t="inlineStr">
        <is>
          <t xml:space="preserve">  VLOOKUP — Vertical Lookup (search a column, return from same row)</t>
        </is>
      </c>
    </row>
    <row r="18">
      <c r="A18" s="25" t="inlineStr">
        <is>
          <t>Lookup Value</t>
        </is>
      </c>
      <c r="B18" s="25" t="inlineStr">
        <is>
          <t>VLOOKUP Formula</t>
        </is>
      </c>
      <c r="C18" s="25" t="inlineStr">
        <is>
          <t>Col Index</t>
        </is>
      </c>
      <c r="D18" s="25" t="inlineStr">
        <is>
          <t>Result</t>
        </is>
      </c>
      <c r="E18" s="25" t="inlineStr">
        <is>
          <t>Explanation</t>
        </is>
      </c>
    </row>
    <row r="19" ht="22" customHeight="1">
      <c r="A19" s="124" t="inlineStr">
        <is>
          <t>E003</t>
        </is>
      </c>
      <c r="B19" s="125">
        <f>VLOOKUP("E003",$A$6:$F$15,2,FALSE)</f>
        <v/>
      </c>
      <c r="C19" s="126" t="inlineStr">
        <is>
          <t>2</t>
        </is>
      </c>
      <c r="D19" s="127">
        <f>VLOOKUP("E003",$A$6:$F$15,2,FALSE)</f>
        <v/>
      </c>
      <c r="E19" s="128" t="inlineStr">
        <is>
          <t>Get Name for E003</t>
        </is>
      </c>
    </row>
    <row r="20" ht="22" customHeight="1">
      <c r="A20" s="32" t="inlineStr">
        <is>
          <t>E006</t>
        </is>
      </c>
      <c r="B20" s="54">
        <f>VLOOKUP("E006",$A$6:$F$15,3,FALSE)</f>
        <v/>
      </c>
      <c r="C20" s="97" t="inlineStr">
        <is>
          <t>3</t>
        </is>
      </c>
      <c r="D20" s="74">
        <f>VLOOKUP("E006",$A$6:$F$15,3,FALSE)</f>
        <v/>
      </c>
      <c r="E20" s="11" t="inlineStr">
        <is>
          <t>Get Dept for E006</t>
        </is>
      </c>
    </row>
    <row r="21" ht="22" customHeight="1">
      <c r="A21" s="124" t="inlineStr">
        <is>
          <t>E001</t>
        </is>
      </c>
      <c r="B21" s="125">
        <f>VLOOKUP("E001",$A$6:$F$15,5,FALSE)</f>
        <v/>
      </c>
      <c r="C21" s="126" t="inlineStr">
        <is>
          <t>5</t>
        </is>
      </c>
      <c r="D21" s="127">
        <f>VLOOKUP("E001",$A$6:$F$15,5,FALSE)</f>
        <v/>
      </c>
      <c r="E21" s="128" t="inlineStr">
        <is>
          <t>Get Salary for E001</t>
        </is>
      </c>
    </row>
    <row r="22" ht="22" customHeight="1">
      <c r="A22" s="32" t="inlineStr">
        <is>
          <t>E009</t>
        </is>
      </c>
      <c r="B22" s="54">
        <f>VLOOKUP("E009",$A$6:$F$15,4,FALSE)</f>
        <v/>
      </c>
      <c r="C22" s="97" t="inlineStr">
        <is>
          <t>4</t>
        </is>
      </c>
      <c r="D22" s="74">
        <f>VLOOKUP("E009",$A$6:$F$15,4,FALSE)</f>
        <v/>
      </c>
      <c r="E22" s="11" t="inlineStr">
        <is>
          <t>Get City for E009</t>
        </is>
      </c>
    </row>
    <row r="23" ht="22" customHeight="1">
      <c r="A23" s="124" t="inlineStr">
        <is>
          <t>E010</t>
        </is>
      </c>
      <c r="B23" s="125">
        <f>IFERROR(VLOOKUP("E010",$A$6:$F$15,6,FALSE),"Not Found")</f>
        <v/>
      </c>
      <c r="C23" s="126" t="inlineStr">
        <is>
          <t>6</t>
        </is>
      </c>
      <c r="D23" s="127">
        <f>IFERROR(VLOOKUP("E010",$A$6:$F$15,6,FALSE),"Not Found")</f>
        <v/>
      </c>
      <c r="E23" s="128" t="inlineStr">
        <is>
          <t>Rating with IFERROR</t>
        </is>
      </c>
    </row>
    <row r="24" ht="22" customHeight="1">
      <c r="A24" s="32" t="inlineStr">
        <is>
          <t>E999</t>
        </is>
      </c>
      <c r="B24" s="54">
        <f>IFERROR(VLOOKUP("E999",$A$6:$F$15,2,FALSE),"Not Found")</f>
        <v/>
      </c>
      <c r="C24" s="97" t="inlineStr">
        <is>
          <t>2</t>
        </is>
      </c>
      <c r="D24" s="74">
        <f>IFERROR(VLOOKUP("E999",$A$6:$F$15,2,FALSE),"Not Found")</f>
        <v/>
      </c>
      <c r="E24" s="11" t="inlineStr">
        <is>
          <t>Handles missing ID gracefully</t>
        </is>
      </c>
    </row>
    <row r="26" ht="22" customHeight="1">
      <c r="A26" s="41" t="inlineStr">
        <is>
          <t xml:space="preserve">  HLOOKUP — Horizontal Lookup (search a row, return from same column)</t>
        </is>
      </c>
    </row>
    <row r="28">
      <c r="A28" s="42" t="inlineStr">
        <is>
          <t>Metric</t>
        </is>
      </c>
      <c r="B28" s="42" t="inlineStr">
        <is>
          <t>Jan</t>
        </is>
      </c>
      <c r="C28" s="42" t="inlineStr">
        <is>
          <t>Feb</t>
        </is>
      </c>
      <c r="D28" s="42" t="inlineStr">
        <is>
          <t>Mar</t>
        </is>
      </c>
      <c r="E28" s="42" t="inlineStr">
        <is>
          <t>Apr</t>
        </is>
      </c>
      <c r="F28" s="42" t="inlineStr">
        <is>
          <t>May</t>
        </is>
      </c>
      <c r="G28" s="42" t="inlineStr">
        <is>
          <t>Jun</t>
        </is>
      </c>
    </row>
    <row r="29">
      <c r="A29" s="12" t="inlineStr">
        <is>
          <t>Sales (₹)</t>
        </is>
      </c>
      <c r="B29" s="29" t="n">
        <v>450000</v>
      </c>
      <c r="C29" s="29" t="n">
        <v>380000</v>
      </c>
      <c r="D29" s="29" t="n">
        <v>520000</v>
      </c>
      <c r="E29" s="29" t="n">
        <v>490000</v>
      </c>
      <c r="F29" s="29" t="n">
        <v>610000</v>
      </c>
      <c r="G29" s="29" t="n">
        <v>575000</v>
      </c>
    </row>
    <row r="30">
      <c r="A30" s="46" t="inlineStr">
        <is>
          <t>Target (₹)</t>
        </is>
      </c>
      <c r="B30" s="35" t="n">
        <v>500000</v>
      </c>
      <c r="C30" s="35" t="n">
        <v>400000</v>
      </c>
      <c r="D30" s="35" t="n">
        <v>500000</v>
      </c>
      <c r="E30" s="35" t="n">
        <v>500000</v>
      </c>
      <c r="F30" s="35" t="n">
        <v>600000</v>
      </c>
      <c r="G30" s="35" t="n">
        <v>600000</v>
      </c>
    </row>
    <row r="31">
      <c r="A31" s="12" t="inlineStr">
        <is>
          <t>% Achieved</t>
        </is>
      </c>
      <c r="B31" s="129">
        <f>B30/B29</f>
        <v/>
      </c>
      <c r="C31" s="129">
        <f>B30/B29</f>
        <v/>
      </c>
      <c r="D31" s="129">
        <f>B30/B29</f>
        <v/>
      </c>
      <c r="E31" s="129">
        <f>B30/B29</f>
        <v/>
      </c>
      <c r="F31" s="129">
        <f>B30/B29</f>
        <v/>
      </c>
      <c r="G31" s="129">
        <f>B30/B29</f>
        <v/>
      </c>
    </row>
    <row r="32" ht="16" customHeight="1">
      <c r="A32" s="49" t="inlineStr">
        <is>
          <t>💡  HLOOKUP syntax: =HLOOKUP(lookup_val, table_array, row_index, FALSE)  →  Searches top row, returns from row_index below</t>
        </is>
      </c>
    </row>
    <row r="33">
      <c r="A33" s="42" t="inlineStr">
        <is>
          <t>Lookup Month</t>
        </is>
      </c>
      <c r="B33" s="42" t="inlineStr">
        <is>
          <t>HLOOKUP Formula</t>
        </is>
      </c>
      <c r="C33" s="42" t="inlineStr">
        <is>
          <t>Result</t>
        </is>
      </c>
      <c r="D33" s="42" t="inlineStr">
        <is>
          <t>Description</t>
        </is>
      </c>
    </row>
    <row r="34" ht="20" customHeight="1">
      <c r="A34" s="130" t="inlineStr">
        <is>
          <t>Mar</t>
        </is>
      </c>
      <c r="B34" s="65">
        <f>HLOOKUP("Mar",B28:G29,2,FALSE)</f>
        <v/>
      </c>
      <c r="C34" s="131">
        <f>HLOOKUP("Mar",B28:G29,2,FALSE)</f>
        <v/>
      </c>
      <c r="D34" s="132" t="inlineStr">
        <is>
          <t>Return March Sales</t>
        </is>
      </c>
    </row>
    <row r="35" ht="20" customHeight="1">
      <c r="A35" s="133" t="inlineStr">
        <is>
          <t>May</t>
        </is>
      </c>
      <c r="B35" s="54">
        <f>HLOOKUP("May",B28:G30,2,FALSE)</f>
        <v/>
      </c>
      <c r="C35" s="113">
        <f>HLOOKUP("May",B28:G30,2,FALSE)</f>
        <v/>
      </c>
      <c r="D35" s="33" t="inlineStr">
        <is>
          <t>Return May Target</t>
        </is>
      </c>
    </row>
    <row r="37" ht="22" customHeight="1">
      <c r="A37" s="68" t="inlineStr">
        <is>
          <t xml:space="preserve">  VLOOKUP vs XLOOKUP — Key Differences (Preview)</t>
        </is>
      </c>
    </row>
    <row r="38">
      <c r="A38" s="69" t="inlineStr">
        <is>
          <t>Feature</t>
        </is>
      </c>
      <c r="B38" s="69" t="inlineStr">
        <is>
          <t>VLOOKUP</t>
        </is>
      </c>
      <c r="C38" s="69" t="inlineStr">
        <is>
          <t>XLOOKUP</t>
        </is>
      </c>
    </row>
    <row r="39" ht="18" customHeight="1">
      <c r="A39" s="118" t="inlineStr">
        <is>
          <t>Direction</t>
        </is>
      </c>
      <c r="B39" s="134" t="inlineStr">
        <is>
          <t>Only searches LEFT column</t>
        </is>
      </c>
      <c r="C39" s="135" t="inlineStr">
        <is>
          <t>Can search any column</t>
        </is>
      </c>
    </row>
    <row r="40" ht="18" customHeight="1">
      <c r="A40" s="17" t="inlineStr">
        <is>
          <t>Return Column</t>
        </is>
      </c>
      <c r="B40" s="136" t="inlineStr">
        <is>
          <t>Column index number (e.g., 3)</t>
        </is>
      </c>
      <c r="C40" s="137" t="inlineStr">
        <is>
          <t>Direct range reference (e.g., C:C)</t>
        </is>
      </c>
    </row>
    <row r="41" ht="18" customHeight="1">
      <c r="A41" s="118" t="inlineStr">
        <is>
          <t>Not Found</t>
        </is>
      </c>
      <c r="B41" s="134" t="inlineStr">
        <is>
          <t>Returns #N/A error</t>
        </is>
      </c>
      <c r="C41" s="135" t="inlineStr">
        <is>
          <t>Built-in if_not_found argument</t>
        </is>
      </c>
    </row>
    <row r="42" ht="18" customHeight="1">
      <c r="A42" s="17" t="inlineStr">
        <is>
          <t>Multiple Returns</t>
        </is>
      </c>
      <c r="B42" s="136" t="inlineStr">
        <is>
          <t>One column at a time</t>
        </is>
      </c>
      <c r="C42" s="137" t="inlineStr">
        <is>
          <t>Can return entire row/column</t>
        </is>
      </c>
    </row>
    <row r="43" ht="18" customHeight="1">
      <c r="A43" s="118" t="inlineStr">
        <is>
          <t>Wildcards</t>
        </is>
      </c>
      <c r="B43" s="134" t="inlineStr">
        <is>
          <t>Supported</t>
        </is>
      </c>
      <c r="C43" s="135" t="inlineStr">
        <is>
          <t>Supported + Regex options</t>
        </is>
      </c>
    </row>
    <row r="44" ht="18" customHeight="1">
      <c r="A44" s="17" t="inlineStr">
        <is>
          <t>Syntax Length</t>
        </is>
      </c>
      <c r="B44" s="136">
        <f>VLOOKUP(val,range,col,FALSE)</f>
        <v/>
      </c>
      <c r="C44" s="137">
        <f>XLOOKUP(val,lookup,return,"not found")</f>
        <v/>
      </c>
    </row>
    <row r="46" ht="20" customHeight="1">
      <c r="A46" s="47" t="inlineStr">
        <is>
          <t>✏️  EXERCISE — Practice VLOOKUP and HLOOKUP</t>
        </is>
      </c>
    </row>
    <row r="47" ht="18" customHeight="1">
      <c r="A47" s="48" t="inlineStr">
        <is>
          <t>Q1: Use VLOOKUP to find the Name of employee E005 from the reference table</t>
        </is>
      </c>
    </row>
    <row r="48" ht="18" customHeight="1">
      <c r="A48" s="48" t="inlineStr">
        <is>
          <t>Q2: Use VLOOKUP with IFERROR to look up 'E999' — should return 'Employee Not Found'</t>
        </is>
      </c>
    </row>
    <row r="49" ht="18" customHeight="1">
      <c r="A49" s="48" t="inlineStr">
        <is>
          <t>Q3: Use VLOOKUP to get the salary of the employee you type in a search cell</t>
        </is>
      </c>
    </row>
    <row r="50" ht="18" customHeight="1">
      <c r="A50" s="48" t="inlineStr">
        <is>
          <t>Q4: Create a lookup that returns Department AND Salary in two adjacent cells for any Emp ID</t>
        </is>
      </c>
    </row>
    <row r="51" ht="18" customHeight="1">
      <c r="A51" s="48" t="inlineStr">
        <is>
          <t>Q5: Use HLOOKUP to find April's sales figure from the monthly table</t>
        </is>
      </c>
    </row>
    <row r="52" ht="18" customHeight="1">
      <c r="A52" s="48" t="inlineStr">
        <is>
          <t>Q6: Build a full employee card: given an Emp ID, display all 5 fields using 5 VLOOKUPs</t>
        </is>
      </c>
    </row>
    <row r="53" ht="18" customHeight="1">
      <c r="A53" s="48" t="inlineStr">
        <is>
          <t>Q7: Compare: write the same lookup using XLOOKUP syntax (if available in your Excel version)</t>
        </is>
      </c>
    </row>
    <row r="54" ht="16" customHeight="1">
      <c r="A54" s="49" t="inlineStr">
        <is>
          <t>💡  Always use FALSE (exact match) for IDs and codes. TRUE (approximate match) is only for sorted ranges like tax slabs.</t>
        </is>
      </c>
    </row>
  </sheetData>
  <mergeCells count="17">
    <mergeCell ref="A26:L26"/>
    <mergeCell ref="A2:L2"/>
    <mergeCell ref="A54:L54"/>
    <mergeCell ref="A52:L52"/>
    <mergeCell ref="A49:L49"/>
    <mergeCell ref="A51:L51"/>
    <mergeCell ref="A47:L47"/>
    <mergeCell ref="A1:L1"/>
    <mergeCell ref="A37:L37"/>
    <mergeCell ref="A32:L32"/>
    <mergeCell ref="A46:L46"/>
    <mergeCell ref="A17:L17"/>
    <mergeCell ref="A4:F4"/>
    <mergeCell ref="A3:L3"/>
    <mergeCell ref="A53:L53"/>
    <mergeCell ref="A50:L50"/>
    <mergeCell ref="A48:L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B2777"/>
    <outlinePr summaryBelow="1" summaryRight="1"/>
    <pageSetUpPr/>
  </sheetPr>
  <dimension ref="A1:I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8" customWidth="1" min="7" max="7"/>
    <col width="12" customWidth="1" min="8" max="8"/>
    <col width="10" customWidth="1" min="9" max="9"/>
  </cols>
  <sheetData>
    <row r="1" ht="22" customHeight="1">
      <c r="A1" s="21" t="inlineStr">
        <is>
          <t xml:space="preserve">  🎨  CONDITIONAL FORMATTING — Rules, Color Scales, Data Bars, Icon Sets, Custom Formulas</t>
        </is>
      </c>
    </row>
    <row r="2" ht="18" customHeight="1">
      <c r="A2" s="22" t="inlineStr">
        <is>
          <t xml:space="preserve">  Conditional formatting automatically changes cell appearance based on values or formulas — turning numbers into instant visuals.</t>
        </is>
      </c>
    </row>
    <row r="3" ht="8" customHeight="1">
      <c r="A3" s="23" t="n"/>
    </row>
    <row r="4" ht="22" customHeight="1">
      <c r="A4" s="138" t="inlineStr">
        <is>
          <t xml:space="preserve">  SAMPLE DATA — Regional Sales Performance</t>
        </is>
      </c>
    </row>
    <row r="5">
      <c r="A5" s="139" t="inlineStr">
        <is>
          <t>Region</t>
        </is>
      </c>
      <c r="B5" s="139" t="inlineStr">
        <is>
          <t>Q1 Sales</t>
        </is>
      </c>
      <c r="C5" s="139" t="inlineStr">
        <is>
          <t>Q2 Sales</t>
        </is>
      </c>
      <c r="D5" s="139" t="inlineStr">
        <is>
          <t>Q3 Sales</t>
        </is>
      </c>
      <c r="E5" s="139" t="inlineStr">
        <is>
          <t>Q4 Sales</t>
        </is>
      </c>
      <c r="F5" s="139" t="inlineStr">
        <is>
          <t>Total</t>
        </is>
      </c>
      <c r="G5" s="139" t="inlineStr">
        <is>
          <t>Rank</t>
        </is>
      </c>
      <c r="H5" s="139" t="inlineStr">
        <is>
          <t>% of Target</t>
        </is>
      </c>
      <c r="I5" s="139" t="inlineStr">
        <is>
          <t>Bonus?</t>
        </is>
      </c>
    </row>
    <row r="6" ht="18" customHeight="1">
      <c r="A6" s="27" t="inlineStr">
        <is>
          <t>North - Delhi</t>
        </is>
      </c>
      <c r="B6" s="29" t="n">
        <v>285000</v>
      </c>
      <c r="C6" s="29" t="n">
        <v>310000</v>
      </c>
      <c r="D6" s="29" t="n">
        <v>295000</v>
      </c>
      <c r="E6" s="29" t="n">
        <v>340000</v>
      </c>
      <c r="F6" s="140">
        <f>B6+C6+D6+E6</f>
        <v/>
      </c>
      <c r="G6" s="141">
        <f>RANK(F6,F6:F13,0)</f>
        <v/>
      </c>
      <c r="H6" s="142">
        <f>F6/3000000</f>
        <v/>
      </c>
      <c r="I6" s="143">
        <f>IF(H6&gt;=1,"✅ Yes","❌ No")</f>
        <v/>
      </c>
    </row>
    <row r="7" ht="18" customHeight="1">
      <c r="A7" s="33" t="inlineStr">
        <is>
          <t>South - Chennai</t>
        </is>
      </c>
      <c r="B7" s="35" t="n">
        <v>220000</v>
      </c>
      <c r="C7" s="35" t="n">
        <v>198000</v>
      </c>
      <c r="D7" s="35" t="n">
        <v>245000</v>
      </c>
      <c r="E7" s="35" t="n">
        <v>267000</v>
      </c>
      <c r="F7" s="144">
        <f>B7+C7+D7+E7</f>
        <v/>
      </c>
      <c r="G7" s="145">
        <f>RANK(F7,F6:F13,0)</f>
        <v/>
      </c>
      <c r="H7" s="146">
        <f>F7/2500000</f>
        <v/>
      </c>
      <c r="I7" s="67">
        <f>IF(H7&gt;=1,"✅ Yes","❌ No")</f>
        <v/>
      </c>
    </row>
    <row r="8" ht="18" customHeight="1">
      <c r="A8" s="27" t="inlineStr">
        <is>
          <t>East - Kolkata</t>
        </is>
      </c>
      <c r="B8" s="29" t="n">
        <v>175000</v>
      </c>
      <c r="C8" s="29" t="n">
        <v>188000</v>
      </c>
      <c r="D8" s="29" t="n">
        <v>195000</v>
      </c>
      <c r="E8" s="29" t="n">
        <v>210000</v>
      </c>
      <c r="F8" s="140">
        <f>B8+C8+D8+E8</f>
        <v/>
      </c>
      <c r="G8" s="141">
        <f>RANK(F8,F6:F13,0)</f>
        <v/>
      </c>
      <c r="H8" s="142">
        <f>F8/2200000</f>
        <v/>
      </c>
      <c r="I8" s="143">
        <f>IF(H8&gt;=1,"✅ Yes","❌ No")</f>
        <v/>
      </c>
    </row>
    <row r="9" ht="18" customHeight="1">
      <c r="A9" s="33" t="inlineStr">
        <is>
          <t>West - Mumbai</t>
        </is>
      </c>
      <c r="B9" s="35" t="n">
        <v>350000</v>
      </c>
      <c r="C9" s="35" t="n">
        <v>390000</v>
      </c>
      <c r="D9" s="35" t="n">
        <v>365000</v>
      </c>
      <c r="E9" s="35" t="n">
        <v>420000</v>
      </c>
      <c r="F9" s="144">
        <f>B9+C9+D9+E9</f>
        <v/>
      </c>
      <c r="G9" s="145">
        <f>RANK(F9,F6:F13,0)</f>
        <v/>
      </c>
      <c r="H9" s="146">
        <f>F9/3500000</f>
        <v/>
      </c>
      <c r="I9" s="67">
        <f>IF(H9&gt;=1,"✅ Yes","❌ No")</f>
        <v/>
      </c>
    </row>
    <row r="10" ht="18" customHeight="1">
      <c r="A10" s="27" t="inlineStr">
        <is>
          <t>Central - Bhopal</t>
        </is>
      </c>
      <c r="B10" s="29" t="n">
        <v>145000</v>
      </c>
      <c r="C10" s="29" t="n">
        <v>162000</v>
      </c>
      <c r="D10" s="29" t="n">
        <v>158000</v>
      </c>
      <c r="E10" s="29" t="n">
        <v>175000</v>
      </c>
      <c r="F10" s="140">
        <f>B10+C10+D10+E10</f>
        <v/>
      </c>
      <c r="G10" s="141">
        <f>RANK(F10,F6:F13,0)</f>
        <v/>
      </c>
      <c r="H10" s="142">
        <f>F10/1800000</f>
        <v/>
      </c>
      <c r="I10" s="143">
        <f>IF(H10&gt;=1,"✅ Yes","❌ No")</f>
        <v/>
      </c>
    </row>
    <row r="11" ht="18" customHeight="1">
      <c r="A11" s="33" t="inlineStr">
        <is>
          <t>NE - Guwahati</t>
        </is>
      </c>
      <c r="B11" s="35" t="n">
        <v>95000</v>
      </c>
      <c r="C11" s="35" t="n">
        <v>108000</v>
      </c>
      <c r="D11" s="35" t="n">
        <v>115000</v>
      </c>
      <c r="E11" s="35" t="n">
        <v>125000</v>
      </c>
      <c r="F11" s="144">
        <f>B11+C11+D11+E11</f>
        <v/>
      </c>
      <c r="G11" s="145">
        <f>RANK(F11,F6:F13,0)</f>
        <v/>
      </c>
      <c r="H11" s="146">
        <f>F11/1200000</f>
        <v/>
      </c>
      <c r="I11" s="67">
        <f>IF(H11&gt;=1,"✅ Yes","❌ No")</f>
        <v/>
      </c>
    </row>
    <row r="12" ht="18" customHeight="1">
      <c r="A12" s="27" t="inlineStr">
        <is>
          <t>NW - Jaipur</t>
        </is>
      </c>
      <c r="B12" s="29" t="n">
        <v>188000</v>
      </c>
      <c r="C12" s="29" t="n">
        <v>202000</v>
      </c>
      <c r="D12" s="29" t="n">
        <v>198000</v>
      </c>
      <c r="E12" s="29" t="n">
        <v>215000</v>
      </c>
      <c r="F12" s="140">
        <f>B12+C12+D12+E12</f>
        <v/>
      </c>
      <c r="G12" s="141">
        <f>RANK(F12,F6:F13,0)</f>
        <v/>
      </c>
      <c r="H12" s="142">
        <f>F12/2000000</f>
        <v/>
      </c>
      <c r="I12" s="143">
        <f>IF(H12&gt;=1,"✅ Yes","❌ No")</f>
        <v/>
      </c>
    </row>
    <row r="13" ht="18" customHeight="1">
      <c r="A13" s="33" t="inlineStr">
        <is>
          <t>South2 - Pune</t>
        </is>
      </c>
      <c r="B13" s="35" t="n">
        <v>265000</v>
      </c>
      <c r="C13" s="35" t="n">
        <v>278000</v>
      </c>
      <c r="D13" s="35" t="n">
        <v>292000</v>
      </c>
      <c r="E13" s="35" t="n">
        <v>315000</v>
      </c>
      <c r="F13" s="144">
        <f>B13+C13+D13+E13</f>
        <v/>
      </c>
      <c r="G13" s="145">
        <f>RANK(F13,F6:F13,0)</f>
        <v/>
      </c>
      <c r="H13" s="146">
        <f>F13/2800000</f>
        <v/>
      </c>
      <c r="I13" s="67">
        <f>IF(H13&gt;=1,"✅ Yes","❌ No")</f>
        <v/>
      </c>
    </row>
    <row r="15" ht="22" customHeight="1">
      <c r="A15" s="68" t="inlineStr">
        <is>
          <t xml:space="preserve">  HOW TO APPLY EACH TYPE — Step-by-Step Guide</t>
        </is>
      </c>
    </row>
    <row r="16">
      <c r="A16" s="69" t="inlineStr">
        <is>
          <t>CF Type</t>
        </is>
      </c>
      <c r="B16" s="69" t="inlineStr">
        <is>
          <t>Where to Apply</t>
        </is>
      </c>
      <c r="C16" s="69" t="inlineStr">
        <is>
          <t>Steps (Home → Conditional Formatting)</t>
        </is>
      </c>
    </row>
    <row r="17" ht="24" customHeight="1">
      <c r="A17" s="147" t="inlineStr">
        <is>
          <t>Greater Than</t>
        </is>
      </c>
      <c r="B17" s="148" t="inlineStr">
        <is>
          <t>Sales columns</t>
        </is>
      </c>
      <c r="C17" s="149" t="inlineStr">
        <is>
          <t>Highlight Cell Rules → Greater Than → type value → choose colour</t>
        </is>
      </c>
    </row>
    <row r="18" ht="24" customHeight="1">
      <c r="A18" s="150" t="inlineStr">
        <is>
          <t>Top 10%</t>
        </is>
      </c>
      <c r="B18" s="33" t="inlineStr">
        <is>
          <t>Total column</t>
        </is>
      </c>
      <c r="C18" s="11" t="inlineStr">
        <is>
          <t>Top/Bottom Rules → Top 10% → OK</t>
        </is>
      </c>
    </row>
    <row r="19" ht="24" customHeight="1">
      <c r="A19" s="147" t="inlineStr">
        <is>
          <t>Duplicate Values</t>
        </is>
      </c>
      <c r="B19" s="148" t="inlineStr">
        <is>
          <t>Any column</t>
        </is>
      </c>
      <c r="C19" s="149" t="inlineStr">
        <is>
          <t>Highlight Cell Rules → Duplicate Values → choose colour</t>
        </is>
      </c>
    </row>
    <row r="20" ht="24" customHeight="1">
      <c r="A20" s="150" t="inlineStr">
        <is>
          <t>Color Scales</t>
        </is>
      </c>
      <c r="B20" s="33" t="inlineStr">
        <is>
          <t>Total column (F)</t>
        </is>
      </c>
      <c r="C20" s="11" t="inlineStr">
        <is>
          <t>Color Scales → choose Red-Yellow-Green (already applied above!)</t>
        </is>
      </c>
    </row>
    <row r="21" ht="24" customHeight="1">
      <c r="A21" s="147" t="inlineStr">
        <is>
          <t>Data Bars</t>
        </is>
      </c>
      <c r="B21" s="148" t="inlineStr">
        <is>
          <t>Q1 column (B)</t>
        </is>
      </c>
      <c r="C21" s="149" t="inlineStr">
        <is>
          <t>Data Bars → choose colour (already applied above!)</t>
        </is>
      </c>
    </row>
    <row r="22" ht="24" customHeight="1">
      <c r="A22" s="150" t="inlineStr">
        <is>
          <t>Icon Sets</t>
        </is>
      </c>
      <c r="B22" s="33" t="inlineStr">
        <is>
          <t>% of Target</t>
        </is>
      </c>
      <c r="C22" s="11" t="inlineStr">
        <is>
          <t>Icon Sets → 3 Arrows → values above 100% get green arrow</t>
        </is>
      </c>
    </row>
    <row r="23" ht="24" customHeight="1">
      <c r="A23" s="147" t="inlineStr">
        <is>
          <t>Custom Formula</t>
        </is>
      </c>
      <c r="B23" s="148" t="inlineStr">
        <is>
          <t>Entire row</t>
        </is>
      </c>
      <c r="C23" s="149" t="inlineStr">
        <is>
          <t>New Rule → Use formula: =$H6&gt;=1 → green fill → applies to full row</t>
        </is>
      </c>
    </row>
    <row r="25" ht="20" customHeight="1">
      <c r="A25" s="47" t="inlineStr">
        <is>
          <t>✏️  EXERCISE — Apply all 7 types of conditional formatting to the data above</t>
        </is>
      </c>
    </row>
    <row r="26" ht="18" customHeight="1">
      <c r="A26" s="48" t="inlineStr">
        <is>
          <t>Q1: Highlight Q3 sales &gt; 300,000 with green fill and bold text</t>
        </is>
      </c>
    </row>
    <row r="27" ht="18" customHeight="1">
      <c r="A27" s="48" t="inlineStr">
        <is>
          <t>Q2: Apply Top 10% rule to the Total column — mark the top regions</t>
        </is>
      </c>
    </row>
    <row r="28" ht="18" customHeight="1">
      <c r="A28" s="48" t="inlineStr">
        <is>
          <t>Q3: Apply a Red-Yellow-Green color scale to all 4 quarterly columns (B:E)</t>
        </is>
      </c>
    </row>
    <row r="29" ht="18" customHeight="1">
      <c r="A29" s="48" t="inlineStr">
        <is>
          <t>Q4: Add data bars to the % of Target column (H) to see achievement visually</t>
        </is>
      </c>
    </row>
    <row r="30" ht="18" customHeight="1">
      <c r="A30" s="48" t="inlineStr">
        <is>
          <t>Q5: Apply a custom formula rule: highlight the ENTIRE ROW in green if % of Target &gt;= 100%</t>
        </is>
      </c>
    </row>
    <row r="31" ht="18" customHeight="1">
      <c r="A31" s="48" t="inlineStr">
        <is>
          <t>Q6: Add Icon Sets (traffic lights) to the Bonus column: ✅=green, ❌=red</t>
        </is>
      </c>
    </row>
    <row r="32" ht="18" customHeight="1">
      <c r="A32" s="48" t="inlineStr">
        <is>
          <t>Q7: Use 'Duplicate Values' rule on the Region column to check for accidental duplicates</t>
        </is>
      </c>
    </row>
    <row r="33" ht="18" customHeight="1">
      <c r="A33" s="48" t="inlineStr">
        <is>
          <t>Q8: Use 'Bottom 3' rule to highlight the lowest-performing 3 regions in light red</t>
        </is>
      </c>
    </row>
    <row r="34" ht="16" customHeight="1">
      <c r="A34" s="49" t="inlineStr">
        <is>
          <t>💡  Custom formula-based rules are the most powerful CF type. Use =$H6&gt;=1 (lock column H, unlock row) to apply to an entire row.</t>
        </is>
      </c>
    </row>
  </sheetData>
  <mergeCells count="15">
    <mergeCell ref="A15:I15"/>
    <mergeCell ref="A29:I29"/>
    <mergeCell ref="A25:I25"/>
    <mergeCell ref="A2:I2"/>
    <mergeCell ref="A33:I33"/>
    <mergeCell ref="A28:I28"/>
    <mergeCell ref="A32:I32"/>
    <mergeCell ref="A1:I1"/>
    <mergeCell ref="A27:I27"/>
    <mergeCell ref="A31:I31"/>
    <mergeCell ref="A3:I3"/>
    <mergeCell ref="A34:I34"/>
    <mergeCell ref="A4:I4"/>
    <mergeCell ref="A26:I26"/>
    <mergeCell ref="A30:I30"/>
  </mergeCells>
  <conditionalFormatting sqref="F6:F13">
    <cfRule type="colorScale" priority="1">
      <colorScale>
        <cfvo type="min"/>
        <cfvo type="percentile" val="50"/>
        <cfvo type="max"/>
        <color rgb="00FEE2E2"/>
        <color rgb="00FEF3C7"/>
        <color rgb="00D1FAE5"/>
      </colorScale>
    </cfRule>
  </conditionalFormatting>
  <conditionalFormatting sqref="B6:B13">
    <cfRule type="dataBar" priority="2">
      <dataBar>
        <cfvo type="min" val="0"/>
        <cfvo type="max"/>
        <color rgb="002563EB"/>
      </dataBar>
    </cfRule>
  </conditionalFormatting>
  <conditionalFormatting sqref="H6:H13">
    <cfRule type="cellIs" priority="3" operator="greaterThanOrEqual" dxfId="0">
      <formula>1</formula>
    </cfRule>
    <cfRule type="cellIs" priority="4" operator="lessThan" dxfId="1">
      <formula>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97706"/>
    <outlinePr summaryBelow="1" summaryRight="1"/>
    <pageSetUpPr/>
  </sheetPr>
  <dimension ref="A1:J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21" t="inlineStr">
        <is>
          <t xml:space="preserve">  📊  CHARTS — Column, Bar, Line, Pie, Combo Charts &amp; Choosing the Right Chart</t>
        </is>
      </c>
    </row>
    <row r="2" ht="18" customHeight="1">
      <c r="A2" s="22" t="inlineStr">
        <is>
          <t xml:space="preserve">  Charts translate numbers into visuals. Choosing the right chart type is as important as the formula itself.</t>
        </is>
      </c>
    </row>
    <row r="3" ht="8" customHeight="1">
      <c r="A3" s="23" t="n"/>
    </row>
    <row r="4" ht="22" customHeight="1">
      <c r="A4" s="24" t="inlineStr">
        <is>
          <t xml:space="preserve">  DATA SET 1 — Monthly Revenue &amp; Target (Use for Column / Line / Combo Chart)</t>
        </is>
      </c>
    </row>
    <row r="5">
      <c r="A5" s="25" t="inlineStr">
        <is>
          <t>Month</t>
        </is>
      </c>
      <c r="B5" s="25" t="inlineStr">
        <is>
          <t>Revenue (₹)</t>
        </is>
      </c>
      <c r="C5" s="25" t="inlineStr">
        <is>
          <t>Target (₹)</t>
        </is>
      </c>
      <c r="D5" s="25" t="inlineStr">
        <is>
          <t>Growth %</t>
        </is>
      </c>
    </row>
    <row r="6">
      <c r="A6" s="50" t="inlineStr">
        <is>
          <t>Jan</t>
        </is>
      </c>
      <c r="B6" s="105" t="n">
        <v>285000</v>
      </c>
      <c r="C6" s="29" t="n">
        <v>300000</v>
      </c>
      <c r="D6" s="151" t="inlineStr">
        <is>
          <t>—</t>
        </is>
      </c>
    </row>
    <row r="7">
      <c r="A7" s="53" t="inlineStr">
        <is>
          <t>Feb</t>
        </is>
      </c>
      <c r="B7" s="112" t="n">
        <v>310000</v>
      </c>
      <c r="C7" s="35" t="n">
        <v>300000</v>
      </c>
      <c r="D7" s="152">
        <f>IF(B6=0,"",ROUND((B7-B6)/B6*100,1))</f>
        <v/>
      </c>
    </row>
    <row r="8">
      <c r="A8" s="50" t="inlineStr">
        <is>
          <t>Mar</t>
        </is>
      </c>
      <c r="B8" s="105" t="n">
        <v>295000</v>
      </c>
      <c r="C8" s="29" t="n">
        <v>320000</v>
      </c>
      <c r="D8" s="153">
        <f>IF(B7=0,"",ROUND((B8-B7)/B7*100,1))</f>
        <v/>
      </c>
    </row>
    <row r="9">
      <c r="A9" s="53" t="inlineStr">
        <is>
          <t>Apr</t>
        </is>
      </c>
      <c r="B9" s="112" t="n">
        <v>340000</v>
      </c>
      <c r="C9" s="35" t="n">
        <v>350000</v>
      </c>
      <c r="D9" s="152">
        <f>IF(B8=0,"",ROUND((B9-B8)/B8*100,1))</f>
        <v/>
      </c>
    </row>
    <row r="10">
      <c r="A10" s="50" t="inlineStr">
        <is>
          <t>May</t>
        </is>
      </c>
      <c r="B10" s="105" t="n">
        <v>390000</v>
      </c>
      <c r="C10" s="29" t="n">
        <v>370000</v>
      </c>
      <c r="D10" s="153">
        <f>IF(B9=0,"",ROUND((B10-B9)/B9*100,1))</f>
        <v/>
      </c>
    </row>
    <row r="11">
      <c r="A11" s="53" t="inlineStr">
        <is>
          <t>Jun</t>
        </is>
      </c>
      <c r="B11" s="112" t="n">
        <v>375000</v>
      </c>
      <c r="C11" s="35" t="n">
        <v>380000</v>
      </c>
      <c r="D11" s="152">
        <f>IF(B10=0,"",ROUND((B11-B10)/B10*100,1))</f>
        <v/>
      </c>
    </row>
    <row r="12">
      <c r="A12" s="50" t="inlineStr">
        <is>
          <t>Jul</t>
        </is>
      </c>
      <c r="B12" s="105" t="n">
        <v>420000</v>
      </c>
      <c r="C12" s="29" t="n">
        <v>400000</v>
      </c>
      <c r="D12" s="153">
        <f>IF(B11=0,"",ROUND((B12-B11)/B11*100,1))</f>
        <v/>
      </c>
    </row>
    <row r="13">
      <c r="A13" s="53" t="inlineStr">
        <is>
          <t>Aug</t>
        </is>
      </c>
      <c r="B13" s="112" t="n">
        <v>405000</v>
      </c>
      <c r="C13" s="35" t="n">
        <v>410000</v>
      </c>
      <c r="D13" s="152">
        <f>IF(B12=0,"",ROUND((B13-B12)/B12*100,1))</f>
        <v/>
      </c>
    </row>
    <row r="14">
      <c r="A14" s="50" t="inlineStr">
        <is>
          <t>Sep</t>
        </is>
      </c>
      <c r="B14" s="105" t="n">
        <v>450000</v>
      </c>
      <c r="C14" s="29" t="n">
        <v>440000</v>
      </c>
      <c r="D14" s="153">
        <f>IF(B13=0,"",ROUND((B14-B13)/B13*100,1))</f>
        <v/>
      </c>
    </row>
    <row r="15">
      <c r="A15" s="53" t="inlineStr">
        <is>
          <t>Oct</t>
        </is>
      </c>
      <c r="B15" s="112" t="n">
        <v>480000</v>
      </c>
      <c r="C15" s="35" t="n">
        <v>470000</v>
      </c>
      <c r="D15" s="152">
        <f>IF(B14=0,"",ROUND((B15-B14)/B14*100,1))</f>
        <v/>
      </c>
    </row>
    <row r="16">
      <c r="A16" s="50" t="inlineStr">
        <is>
          <t>Nov</t>
        </is>
      </c>
      <c r="B16" s="105" t="n">
        <v>510000</v>
      </c>
      <c r="C16" s="29" t="n">
        <v>500000</v>
      </c>
      <c r="D16" s="153">
        <f>IF(B15=0,"",ROUND((B16-B15)/B15*100,1))</f>
        <v/>
      </c>
    </row>
    <row r="17">
      <c r="A17" s="53" t="inlineStr">
        <is>
          <t>Dec</t>
        </is>
      </c>
      <c r="B17" s="112" t="n">
        <v>540000</v>
      </c>
      <c r="C17" s="35" t="n">
        <v>530000</v>
      </c>
      <c r="D17" s="152">
        <f>IF(B16=0,"",ROUND((B17-B16)/B16*100,1))</f>
        <v/>
      </c>
    </row>
    <row r="19" ht="22" customHeight="1">
      <c r="A19" s="41" t="inlineStr">
        <is>
          <t xml:space="preserve">  DATA SET 2 — Sales by Category (Use for Pie / Doughnut Chart)</t>
        </is>
      </c>
    </row>
    <row r="20">
      <c r="A20" s="42" t="inlineStr">
        <is>
          <t>Category</t>
        </is>
      </c>
      <c r="B20" s="42" t="inlineStr">
        <is>
          <t>Sales (₹)</t>
        </is>
      </c>
      <c r="C20" s="42" t="inlineStr">
        <is>
          <t>% Share</t>
        </is>
      </c>
    </row>
    <row r="21">
      <c r="A21" s="12" t="inlineStr">
        <is>
          <t>Electronics</t>
        </is>
      </c>
      <c r="B21" s="29" t="n">
        <v>1850000</v>
      </c>
      <c r="C21" s="154">
        <f>B21/SUM($B$21:$B$25)</f>
        <v/>
      </c>
    </row>
    <row r="22">
      <c r="A22" s="46" t="inlineStr">
        <is>
          <t>Footwear</t>
        </is>
      </c>
      <c r="B22" s="35" t="n">
        <v>620000</v>
      </c>
      <c r="C22" s="155">
        <f>B22/SUM($B$21:$B$25)</f>
        <v/>
      </c>
    </row>
    <row r="23">
      <c r="A23" s="12" t="inlineStr">
        <is>
          <t>Clothing</t>
        </is>
      </c>
      <c r="B23" s="29" t="n">
        <v>480000</v>
      </c>
      <c r="C23" s="154">
        <f>B23/SUM($B$21:$B$25)</f>
        <v/>
      </c>
    </row>
    <row r="24">
      <c r="A24" s="46" t="inlineStr">
        <is>
          <t>Accessories</t>
        </is>
      </c>
      <c r="B24" s="35" t="n">
        <v>250000</v>
      </c>
      <c r="C24" s="155">
        <f>B24/SUM($B$21:$B$25)</f>
        <v/>
      </c>
    </row>
    <row r="25">
      <c r="A25" s="12" t="inlineStr">
        <is>
          <t>Home &amp; Living</t>
        </is>
      </c>
      <c r="B25" s="29" t="n">
        <v>380000</v>
      </c>
      <c r="C25" s="154">
        <f>B25/SUM($B$21:$B$25)</f>
        <v/>
      </c>
    </row>
    <row r="27" ht="22" customHeight="1">
      <c r="A27" s="56" t="inlineStr">
        <is>
          <t xml:space="preserve">  DATA SET 3 — City-wise Sales (Use for Bar / Horizontal Chart)</t>
        </is>
      </c>
    </row>
    <row r="28">
      <c r="A28" s="57" t="inlineStr">
        <is>
          <t>City</t>
        </is>
      </c>
      <c r="B28" s="57" t="inlineStr">
        <is>
          <t>Sales (₹)</t>
        </is>
      </c>
      <c r="C28" s="57" t="inlineStr">
        <is>
          <t>Employees</t>
        </is>
      </c>
      <c r="D28" s="57" t="inlineStr">
        <is>
          <t>Per Head (₹)</t>
        </is>
      </c>
    </row>
    <row r="29">
      <c r="A29" s="7" t="inlineStr">
        <is>
          <t>Mumbai</t>
        </is>
      </c>
      <c r="B29" s="156" t="n">
        <v>850000</v>
      </c>
      <c r="C29" s="151" t="n">
        <v>15</v>
      </c>
      <c r="D29" s="157">
        <f>ROUND(B29/C29,0)</f>
        <v/>
      </c>
    </row>
    <row r="30">
      <c r="A30" s="10" t="inlineStr">
        <is>
          <t>Delhi</t>
        </is>
      </c>
      <c r="B30" s="158" t="n">
        <v>720000</v>
      </c>
      <c r="C30" s="159" t="n">
        <v>13</v>
      </c>
      <c r="D30" s="160">
        <f>ROUND(B30/C30,0)</f>
        <v/>
      </c>
    </row>
    <row r="31">
      <c r="A31" s="7" t="inlineStr">
        <is>
          <t>Bengaluru</t>
        </is>
      </c>
      <c r="B31" s="156" t="n">
        <v>690000</v>
      </c>
      <c r="C31" s="151" t="n">
        <v>12</v>
      </c>
      <c r="D31" s="157">
        <f>ROUND(B31/C31,0)</f>
        <v/>
      </c>
    </row>
    <row r="32">
      <c r="A32" s="10" t="inlineStr">
        <is>
          <t>Hyderabad</t>
        </is>
      </c>
      <c r="B32" s="158" t="n">
        <v>540000</v>
      </c>
      <c r="C32" s="159" t="n">
        <v>10</v>
      </c>
      <c r="D32" s="160">
        <f>ROUND(B32/C32,0)</f>
        <v/>
      </c>
    </row>
    <row r="33">
      <c r="A33" s="7" t="inlineStr">
        <is>
          <t>Chennai</t>
        </is>
      </c>
      <c r="B33" s="156" t="n">
        <v>480000</v>
      </c>
      <c r="C33" s="151" t="n">
        <v>9</v>
      </c>
      <c r="D33" s="157">
        <f>ROUND(B33/C33,0)</f>
        <v/>
      </c>
    </row>
    <row r="34">
      <c r="A34" s="10" t="inlineStr">
        <is>
          <t>Kolkata</t>
        </is>
      </c>
      <c r="B34" s="158" t="n">
        <v>420000</v>
      </c>
      <c r="C34" s="159" t="n">
        <v>8</v>
      </c>
      <c r="D34" s="160">
        <f>ROUND(B34/C34,0)</f>
        <v/>
      </c>
    </row>
    <row r="35">
      <c r="A35" s="7" t="inlineStr">
        <is>
          <t>Pune</t>
        </is>
      </c>
      <c r="B35" s="156" t="n">
        <v>380000</v>
      </c>
      <c r="C35" s="151" t="n">
        <v>7</v>
      </c>
      <c r="D35" s="157">
        <f>ROUND(B35/C35,0)</f>
        <v/>
      </c>
    </row>
    <row r="36">
      <c r="A36" s="10" t="inlineStr">
        <is>
          <t>Ahmedabad</t>
        </is>
      </c>
      <c r="B36" s="158" t="n">
        <v>310000</v>
      </c>
      <c r="C36" s="159" t="n">
        <v>6</v>
      </c>
      <c r="D36" s="160">
        <f>ROUND(B36/C36,0)</f>
        <v/>
      </c>
    </row>
    <row r="38" ht="22" customHeight="1">
      <c r="A38" s="68" t="inlineStr">
        <is>
          <t xml:space="preserve">  CHART SELECTION GUIDE — Which Chart for Which Data?</t>
        </is>
      </c>
    </row>
    <row r="39">
      <c r="A39" s="69" t="inlineStr">
        <is>
          <t>Chart Type</t>
        </is>
      </c>
      <c r="B39" s="69" t="inlineStr">
        <is>
          <t>Best Used For</t>
        </is>
      </c>
      <c r="C39" s="69" t="inlineStr">
        <is>
          <t>Example Use Case</t>
        </is>
      </c>
      <c r="D39" s="69" t="inlineStr">
        <is>
          <t>Avoid When</t>
        </is>
      </c>
    </row>
    <row r="40" ht="24" customHeight="1">
      <c r="A40" s="118" t="inlineStr">
        <is>
          <t>Column Chart</t>
        </is>
      </c>
      <c r="B40" s="73" t="inlineStr">
        <is>
          <t>Comparing values across categories</t>
        </is>
      </c>
      <c r="C40" s="161" t="inlineStr">
        <is>
          <t>Monthly revenue comparison, city-wise sales</t>
        </is>
      </c>
      <c r="D40" s="162" t="inlineStr">
        <is>
          <t>Too many categories (&gt;10)</t>
        </is>
      </c>
    </row>
    <row r="41" ht="24" customHeight="1">
      <c r="A41" s="17" t="inlineStr">
        <is>
          <t>Bar Chart</t>
        </is>
      </c>
      <c r="B41" s="11" t="inlineStr">
        <is>
          <t>Same as column but horizontal</t>
        </is>
      </c>
      <c r="C41" s="64" t="inlineStr">
        <is>
          <t>City ranking, product comparison with long names</t>
        </is>
      </c>
      <c r="D41" s="163" t="inlineStr">
        <is>
          <t>Showing time trends</t>
        </is>
      </c>
    </row>
    <row r="42" ht="24" customHeight="1">
      <c r="A42" s="118" t="inlineStr">
        <is>
          <t>Line Chart</t>
        </is>
      </c>
      <c r="B42" s="73" t="inlineStr">
        <is>
          <t>Showing trends over time</t>
        </is>
      </c>
      <c r="C42" s="161" t="inlineStr">
        <is>
          <t>Monthly revenue trend, stock price movement</t>
        </is>
      </c>
      <c r="D42" s="162" t="inlineStr">
        <is>
          <t>Comparing categories</t>
        </is>
      </c>
    </row>
    <row r="43" ht="24" customHeight="1">
      <c r="A43" s="17" t="inlineStr">
        <is>
          <t>Pie Chart</t>
        </is>
      </c>
      <c r="B43" s="11" t="inlineStr">
        <is>
          <t>Parts of a whole (proportions)</t>
        </is>
      </c>
      <c r="C43" s="64" t="inlineStr">
        <is>
          <t>Market share %, category split</t>
        </is>
      </c>
      <c r="D43" s="163" t="inlineStr">
        <is>
          <t>More than 6 slices or time data</t>
        </is>
      </c>
    </row>
    <row r="44" ht="24" customHeight="1">
      <c r="A44" s="118" t="inlineStr">
        <is>
          <t>Combo Chart</t>
        </is>
      </c>
      <c r="B44" s="73" t="inlineStr">
        <is>
          <t>Two measures with different scales</t>
        </is>
      </c>
      <c r="C44" s="161" t="inlineStr">
        <is>
          <t>Revenue (bars) + Growth% (line)</t>
        </is>
      </c>
      <c r="D44" s="162" t="inlineStr">
        <is>
          <t>Simple single-metric data</t>
        </is>
      </c>
    </row>
    <row r="45" ht="24" customHeight="1">
      <c r="A45" s="17" t="inlineStr">
        <is>
          <t>Scatter Plot</t>
        </is>
      </c>
      <c r="B45" s="11" t="inlineStr">
        <is>
          <t>Correlation between two variables</t>
        </is>
      </c>
      <c r="C45" s="64" t="inlineStr">
        <is>
          <t>Sales vs Marketing spend</t>
        </is>
      </c>
      <c r="D45" s="163" t="inlineStr">
        <is>
          <t>Non-numeric categories</t>
        </is>
      </c>
    </row>
    <row r="46" ht="24" customHeight="1">
      <c r="A46" s="118" t="inlineStr">
        <is>
          <t>Area Chart</t>
        </is>
      </c>
      <c r="B46" s="73" t="inlineStr">
        <is>
          <t>Cumulative trend over time</t>
        </is>
      </c>
      <c r="C46" s="161" t="inlineStr">
        <is>
          <t>Quarterly cumulative revenue</t>
        </is>
      </c>
      <c r="D46" s="162" t="inlineStr">
        <is>
          <t>Non-time series data</t>
        </is>
      </c>
    </row>
    <row r="48" ht="20" customHeight="1">
      <c r="A48" s="47" t="inlineStr">
        <is>
          <t>✏️  EXERCISE — Create charts from the 3 datasets above</t>
        </is>
      </c>
    </row>
    <row r="49" ht="18" customHeight="1">
      <c r="A49" s="48" t="inlineStr">
        <is>
          <t>Q1: Select Dataset 1 (Months + Revenue) → Insert → Column Chart → Format with title 'Monthly Revenue 2024'</t>
        </is>
      </c>
    </row>
    <row r="50" ht="18" customHeight="1">
      <c r="A50" s="48" t="inlineStr">
        <is>
          <t>Q2: Add Target as a second series → Right-click → Change Chart Type → make Target a LINE → Combo chart</t>
        </is>
      </c>
    </row>
    <row r="51" ht="18" customHeight="1">
      <c r="A51" s="48" t="inlineStr">
        <is>
          <t>Q3: Select Dataset 2 (Category + Sales) → Insert → Pie Chart → add data labels showing %</t>
        </is>
      </c>
    </row>
    <row r="52" ht="18" customHeight="1">
      <c r="A52" s="48" t="inlineStr">
        <is>
          <t>Q4: Select Dataset 3 (City + Sales) → Insert → Bar Chart (horizontal) → sort by sales descending</t>
        </is>
      </c>
    </row>
    <row r="53" ht="18" customHeight="1">
      <c r="A53" s="48" t="inlineStr">
        <is>
          <t>Q5: Add a Chart Title, Axis Labels, and Legend to each chart</t>
        </is>
      </c>
    </row>
    <row r="54" ht="18" customHeight="1">
      <c r="A54" s="48" t="inlineStr">
        <is>
          <t>Q6: Change chart colours to match: Column=Blue, Target Line=Red, Pie=custom multi-colour</t>
        </is>
      </c>
    </row>
    <row r="55" ht="18" customHeight="1">
      <c r="A55" s="48" t="inlineStr">
        <is>
          <t>Q7: Move the pie chart to its own sheet (right-click chart → Move Chart → New Sheet)</t>
        </is>
      </c>
    </row>
    <row r="56" ht="18" customHeight="1">
      <c r="A56" s="48" t="inlineStr">
        <is>
          <t>Q8: Create a Combo chart: Per Head sales as bars + Employee count as a line on secondary axis</t>
        </is>
      </c>
    </row>
    <row r="57" ht="16" customHeight="1">
      <c r="A57" s="49" t="inlineStr">
        <is>
          <t>💡  Always label your charts! Title + Axis labels + Data labels = a professional chart. An unlabelled chart is useless in a report.</t>
        </is>
      </c>
    </row>
  </sheetData>
  <mergeCells count="17">
    <mergeCell ref="A1:J1"/>
    <mergeCell ref="A2:J2"/>
    <mergeCell ref="A56:J56"/>
    <mergeCell ref="A3:J3"/>
    <mergeCell ref="A53:J53"/>
    <mergeCell ref="A55:J55"/>
    <mergeCell ref="A50:J50"/>
    <mergeCell ref="A48:J48"/>
    <mergeCell ref="A51:J51"/>
    <mergeCell ref="A19:D19"/>
    <mergeCell ref="A4:F4"/>
    <mergeCell ref="A38:J38"/>
    <mergeCell ref="A52:J52"/>
    <mergeCell ref="A57:J57"/>
    <mergeCell ref="A27:E27"/>
    <mergeCell ref="A54:J54"/>
    <mergeCell ref="A49:J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59669"/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0" customWidth="1" min="4" max="4"/>
    <col width="14" customWidth="1" min="5" max="5"/>
    <col width="18" customWidth="1" min="6" max="6"/>
    <col width="8" customWidth="1" min="7" max="7"/>
    <col width="13" customWidth="1" min="8" max="8"/>
    <col width="13" customWidth="1" min="9" max="9"/>
    <col width="11" customWidth="1" min="10" max="10"/>
    <col width="13" customWidth="1" min="11" max="11"/>
  </cols>
  <sheetData>
    <row r="1" ht="22" customHeight="1">
      <c r="A1" s="21" t="inlineStr">
        <is>
          <t xml:space="preserve">  🔄  PIVOT TABLES — Create, Summarize, Group, Filter, Drill-Down</t>
        </is>
      </c>
    </row>
    <row r="2" ht="18" customHeight="1">
      <c r="A2" s="22" t="inlineStr">
        <is>
          <t xml:space="preserve">  Pivot Tables are the most powerful data analysis tool in Excel — summarise thousands of rows in seconds without formulas.</t>
        </is>
      </c>
    </row>
    <row r="3" ht="8" customHeight="1">
      <c r="A3" s="23" t="n"/>
    </row>
    <row r="4" ht="22" customHeight="1">
      <c r="A4" s="77" t="inlineStr">
        <is>
          <t xml:space="preserve">  SOURCE DATA — Use this structured data to create Pivot Tables (Ctrl+T first, then Insert → PivotTable)</t>
        </is>
      </c>
    </row>
    <row r="5">
      <c r="A5" s="78" t="inlineStr">
        <is>
          <t>Order ID</t>
        </is>
      </c>
      <c r="B5" s="78" t="inlineStr">
        <is>
          <t>Date</t>
        </is>
      </c>
      <c r="C5" s="78" t="inlineStr">
        <is>
          <t>Sales Rep</t>
        </is>
      </c>
      <c r="D5" s="78" t="inlineStr">
        <is>
          <t>Region</t>
        </is>
      </c>
      <c r="E5" s="78" t="inlineStr">
        <is>
          <t>Category</t>
        </is>
      </c>
      <c r="F5" s="78" t="inlineStr">
        <is>
          <t>Product</t>
        </is>
      </c>
      <c r="G5" s="78" t="inlineStr">
        <is>
          <t>Units</t>
        </is>
      </c>
      <c r="H5" s="78" t="inlineStr">
        <is>
          <t>Unit Price (₹)</t>
        </is>
      </c>
      <c r="I5" s="78" t="inlineStr">
        <is>
          <t>Revenue (₹)</t>
        </is>
      </c>
      <c r="J5" s="78" t="inlineStr">
        <is>
          <t>Discount%</t>
        </is>
      </c>
      <c r="K5" s="78" t="inlineStr">
        <is>
          <t>Net Revenue</t>
        </is>
      </c>
    </row>
    <row r="6" ht="18" customHeight="1">
      <c r="A6" s="26" t="inlineStr">
        <is>
          <t>ORD001</t>
        </is>
      </c>
      <c r="B6" s="79" t="n">
        <v>45296</v>
      </c>
      <c r="C6" s="27" t="inlineStr">
        <is>
          <t>Aarav Shah</t>
        </is>
      </c>
      <c r="D6" s="164" t="inlineStr">
        <is>
          <t>North</t>
        </is>
      </c>
      <c r="E6" s="12" t="inlineStr">
        <is>
          <t>Electronics</t>
        </is>
      </c>
      <c r="F6" s="27" t="inlineStr">
        <is>
          <t>iPhone 15</t>
        </is>
      </c>
      <c r="G6" s="50" t="n">
        <v>2</v>
      </c>
      <c r="H6" s="105" t="n">
        <v>89999</v>
      </c>
      <c r="I6" s="106">
        <f>G6*H6</f>
        <v/>
      </c>
      <c r="J6" s="107" t="n">
        <v>0.1</v>
      </c>
      <c r="K6" s="165">
        <f>ROUND(I6*(1-J6),0)</f>
        <v/>
      </c>
    </row>
    <row r="7" ht="18" customHeight="1">
      <c r="A7" s="32" t="inlineStr">
        <is>
          <t>ORD002</t>
        </is>
      </c>
      <c r="B7" s="86" t="n">
        <v>45299</v>
      </c>
      <c r="C7" s="33" t="inlineStr">
        <is>
          <t>Diya Sharma</t>
        </is>
      </c>
      <c r="D7" s="76" t="inlineStr">
        <is>
          <t>South</t>
        </is>
      </c>
      <c r="E7" s="46" t="inlineStr">
        <is>
          <t>Clothing</t>
        </is>
      </c>
      <c r="F7" s="33" t="inlineStr">
        <is>
          <t>Levi's Jeans</t>
        </is>
      </c>
      <c r="G7" s="53" t="n">
        <v>5</v>
      </c>
      <c r="H7" s="112" t="n">
        <v>3499</v>
      </c>
      <c r="I7" s="113">
        <f>G7*H7</f>
        <v/>
      </c>
      <c r="J7" s="114" t="n">
        <v>0.2</v>
      </c>
      <c r="K7" s="166">
        <f>ROUND(I7*(1-J7),0)</f>
        <v/>
      </c>
    </row>
    <row r="8" ht="18" customHeight="1">
      <c r="A8" s="26" t="inlineStr">
        <is>
          <t>ORD003</t>
        </is>
      </c>
      <c r="B8" s="79" t="n">
        <v>45303</v>
      </c>
      <c r="C8" s="27" t="inlineStr">
        <is>
          <t>Vivaan Reddy</t>
        </is>
      </c>
      <c r="D8" s="164" t="inlineStr">
        <is>
          <t>West</t>
        </is>
      </c>
      <c r="E8" s="12" t="inlineStr">
        <is>
          <t>Electronics</t>
        </is>
      </c>
      <c r="F8" s="27" t="inlineStr">
        <is>
          <t>Samsung S24</t>
        </is>
      </c>
      <c r="G8" s="50" t="n">
        <v>3</v>
      </c>
      <c r="H8" s="105" t="n">
        <v>74999</v>
      </c>
      <c r="I8" s="106">
        <f>G8*H8</f>
        <v/>
      </c>
      <c r="J8" s="107" t="n">
        <v>0.08</v>
      </c>
      <c r="K8" s="165">
        <f>ROUND(I8*(1-J8),0)</f>
        <v/>
      </c>
    </row>
    <row r="9" ht="18" customHeight="1">
      <c r="A9" s="32" t="inlineStr">
        <is>
          <t>ORD004</t>
        </is>
      </c>
      <c r="B9" s="86" t="n">
        <v>45306</v>
      </c>
      <c r="C9" s="33" t="inlineStr">
        <is>
          <t>Ananya Nair</t>
        </is>
      </c>
      <c r="D9" s="76" t="inlineStr">
        <is>
          <t>East</t>
        </is>
      </c>
      <c r="E9" s="46" t="inlineStr">
        <is>
          <t>Footwear</t>
        </is>
      </c>
      <c r="F9" s="33" t="inlineStr">
        <is>
          <t>Nike Air Max</t>
        </is>
      </c>
      <c r="G9" s="53" t="n">
        <v>4</v>
      </c>
      <c r="H9" s="112" t="n">
        <v>12999</v>
      </c>
      <c r="I9" s="113">
        <f>G9*H9</f>
        <v/>
      </c>
      <c r="J9" s="114" t="n">
        <v>0.15</v>
      </c>
      <c r="K9" s="166">
        <f>ROUND(I9*(1-J9),0)</f>
        <v/>
      </c>
    </row>
    <row r="10" ht="18" customHeight="1">
      <c r="A10" s="26" t="inlineStr">
        <is>
          <t>ORD005</t>
        </is>
      </c>
      <c r="B10" s="79" t="n">
        <v>45311</v>
      </c>
      <c r="C10" s="27" t="inlineStr">
        <is>
          <t>Kabir Mehta</t>
        </is>
      </c>
      <c r="D10" s="164" t="inlineStr">
        <is>
          <t>North</t>
        </is>
      </c>
      <c r="E10" s="12" t="inlineStr">
        <is>
          <t>Electronics</t>
        </is>
      </c>
      <c r="F10" s="27" t="inlineStr">
        <is>
          <t>Boat Earbuds</t>
        </is>
      </c>
      <c r="G10" s="50" t="n">
        <v>10</v>
      </c>
      <c r="H10" s="105" t="n">
        <v>2499</v>
      </c>
      <c r="I10" s="106">
        <f>G10*H10</f>
        <v/>
      </c>
      <c r="J10" s="107" t="n">
        <v>0.05</v>
      </c>
      <c r="K10" s="165">
        <f>ROUND(I10*(1-J10),0)</f>
        <v/>
      </c>
    </row>
    <row r="11" ht="18" customHeight="1">
      <c r="A11" s="32" t="inlineStr">
        <is>
          <t>ORD006</t>
        </is>
      </c>
      <c r="B11" s="86" t="n">
        <v>45325</v>
      </c>
      <c r="C11" s="33" t="inlineStr">
        <is>
          <t>Aarav Shah</t>
        </is>
      </c>
      <c r="D11" s="76" t="inlineStr">
        <is>
          <t>North</t>
        </is>
      </c>
      <c r="E11" s="46" t="inlineStr">
        <is>
          <t>Footwear</t>
        </is>
      </c>
      <c r="F11" s="33" t="inlineStr">
        <is>
          <t>Adidas Ultra</t>
        </is>
      </c>
      <c r="G11" s="53" t="n">
        <v>6</v>
      </c>
      <c r="H11" s="112" t="n">
        <v>9999</v>
      </c>
      <c r="I11" s="113">
        <f>G11*H11</f>
        <v/>
      </c>
      <c r="J11" s="114" t="n">
        <v>0.1</v>
      </c>
      <c r="K11" s="166">
        <f>ROUND(I11*(1-J11),0)</f>
        <v/>
      </c>
    </row>
    <row r="12" ht="18" customHeight="1">
      <c r="A12" s="26" t="inlineStr">
        <is>
          <t>ORD007</t>
        </is>
      </c>
      <c r="B12" s="79" t="n">
        <v>45329</v>
      </c>
      <c r="C12" s="27" t="inlineStr">
        <is>
          <t>Ishaan Bose</t>
        </is>
      </c>
      <c r="D12" s="164" t="inlineStr">
        <is>
          <t>East</t>
        </is>
      </c>
      <c r="E12" s="12" t="inlineStr">
        <is>
          <t>Electronics</t>
        </is>
      </c>
      <c r="F12" s="27" t="inlineStr">
        <is>
          <t>Dell Laptop</t>
        </is>
      </c>
      <c r="G12" s="50" t="n">
        <v>1</v>
      </c>
      <c r="H12" s="105" t="n">
        <v>65999</v>
      </c>
      <c r="I12" s="106">
        <f>G12*H12</f>
        <v/>
      </c>
      <c r="J12" s="107" t="n">
        <v>0.07000000000000001</v>
      </c>
      <c r="K12" s="165">
        <f>ROUND(I12*(1-J12),0)</f>
        <v/>
      </c>
    </row>
    <row r="13" ht="18" customHeight="1">
      <c r="A13" s="32" t="inlineStr">
        <is>
          <t>ORD008</t>
        </is>
      </c>
      <c r="B13" s="86" t="n">
        <v>45336</v>
      </c>
      <c r="C13" s="33" t="inlineStr">
        <is>
          <t>Myra Joshi</t>
        </is>
      </c>
      <c r="D13" s="76" t="inlineStr">
        <is>
          <t>South</t>
        </is>
      </c>
      <c r="E13" s="46" t="inlineStr">
        <is>
          <t>Clothing</t>
        </is>
      </c>
      <c r="F13" s="33" t="inlineStr">
        <is>
          <t>Zara Dress</t>
        </is>
      </c>
      <c r="G13" s="53" t="n">
        <v>3</v>
      </c>
      <c r="H13" s="112" t="n">
        <v>4999</v>
      </c>
      <c r="I13" s="113">
        <f>G13*H13</f>
        <v/>
      </c>
      <c r="J13" s="114" t="n">
        <v>0.15</v>
      </c>
      <c r="K13" s="166">
        <f>ROUND(I13*(1-J13),0)</f>
        <v/>
      </c>
    </row>
    <row r="14" ht="18" customHeight="1">
      <c r="A14" s="26" t="inlineStr">
        <is>
          <t>ORD009</t>
        </is>
      </c>
      <c r="B14" s="79" t="n">
        <v>45340</v>
      </c>
      <c r="C14" s="27" t="inlineStr">
        <is>
          <t>Aryan Patel</t>
        </is>
      </c>
      <c r="D14" s="164" t="inlineStr">
        <is>
          <t>West</t>
        </is>
      </c>
      <c r="E14" s="12" t="inlineStr">
        <is>
          <t>Electronics</t>
        </is>
      </c>
      <c r="F14" s="27" t="inlineStr">
        <is>
          <t>Sony Headphone</t>
        </is>
      </c>
      <c r="G14" s="50" t="n">
        <v>5</v>
      </c>
      <c r="H14" s="105" t="n">
        <v>8999</v>
      </c>
      <c r="I14" s="106">
        <f>G14*H14</f>
        <v/>
      </c>
      <c r="J14" s="107" t="n">
        <v>0.1</v>
      </c>
      <c r="K14" s="165">
        <f>ROUND(I14*(1-J14),0)</f>
        <v/>
      </c>
    </row>
    <row r="15" ht="18" customHeight="1">
      <c r="A15" s="32" t="inlineStr">
        <is>
          <t>ORD010</t>
        </is>
      </c>
      <c r="B15" s="86" t="n">
        <v>45344</v>
      </c>
      <c r="C15" s="33" t="inlineStr">
        <is>
          <t>Kiara Gupta</t>
        </is>
      </c>
      <c r="D15" s="76" t="inlineStr">
        <is>
          <t>North</t>
        </is>
      </c>
      <c r="E15" s="46" t="inlineStr">
        <is>
          <t>Clothing</t>
        </is>
      </c>
      <c r="F15" s="33" t="inlineStr">
        <is>
          <t>H&amp;M Shirt</t>
        </is>
      </c>
      <c r="G15" s="53" t="n">
        <v>8</v>
      </c>
      <c r="H15" s="112" t="n">
        <v>1299</v>
      </c>
      <c r="I15" s="113">
        <f>G15*H15</f>
        <v/>
      </c>
      <c r="J15" s="114" t="n">
        <v>0.18</v>
      </c>
      <c r="K15" s="166">
        <f>ROUND(I15*(1-J15),0)</f>
        <v/>
      </c>
    </row>
    <row r="16" ht="18" customHeight="1">
      <c r="A16" s="26" t="inlineStr">
        <is>
          <t>ORD011</t>
        </is>
      </c>
      <c r="B16" s="79" t="n">
        <v>45356</v>
      </c>
      <c r="C16" s="27" t="inlineStr">
        <is>
          <t>Reyansh Singh</t>
        </is>
      </c>
      <c r="D16" s="164" t="inlineStr">
        <is>
          <t>South</t>
        </is>
      </c>
      <c r="E16" s="12" t="inlineStr">
        <is>
          <t>Electronics</t>
        </is>
      </c>
      <c r="F16" s="27" t="inlineStr">
        <is>
          <t>OnePlus 12</t>
        </is>
      </c>
      <c r="G16" s="50" t="n">
        <v>2</v>
      </c>
      <c r="H16" s="105" t="n">
        <v>64999</v>
      </c>
      <c r="I16" s="106">
        <f>G16*H16</f>
        <v/>
      </c>
      <c r="J16" s="107" t="n">
        <v>0.12</v>
      </c>
      <c r="K16" s="165">
        <f>ROUND(I16*(1-J16),0)</f>
        <v/>
      </c>
    </row>
    <row r="17" ht="18" customHeight="1">
      <c r="A17" s="32" t="inlineStr">
        <is>
          <t>ORD012</t>
        </is>
      </c>
      <c r="B17" s="86" t="n">
        <v>45360</v>
      </c>
      <c r="C17" s="33" t="inlineStr">
        <is>
          <t>Ira Desai</t>
        </is>
      </c>
      <c r="D17" s="76" t="inlineStr">
        <is>
          <t>West</t>
        </is>
      </c>
      <c r="E17" s="46" t="inlineStr">
        <is>
          <t>Footwear</t>
        </is>
      </c>
      <c r="F17" s="33" t="inlineStr">
        <is>
          <t>Woodland Shoe</t>
        </is>
      </c>
      <c r="G17" s="53" t="n">
        <v>3</v>
      </c>
      <c r="H17" s="112" t="n">
        <v>7499</v>
      </c>
      <c r="I17" s="113">
        <f>G17*H17</f>
        <v/>
      </c>
      <c r="J17" s="114" t="n">
        <v>0.12</v>
      </c>
      <c r="K17" s="166">
        <f>ROUND(I17*(1-J17),0)</f>
        <v/>
      </c>
    </row>
    <row r="18" ht="18" customHeight="1">
      <c r="A18" s="26" t="inlineStr">
        <is>
          <t>ORD013</t>
        </is>
      </c>
      <c r="B18" s="79" t="n">
        <v>45364</v>
      </c>
      <c r="C18" s="27" t="inlineStr">
        <is>
          <t>Shaurya Verma</t>
        </is>
      </c>
      <c r="D18" s="164" t="inlineStr">
        <is>
          <t>East</t>
        </is>
      </c>
      <c r="E18" s="12" t="inlineStr">
        <is>
          <t>Electronics</t>
        </is>
      </c>
      <c r="F18" s="27" t="inlineStr">
        <is>
          <t>HP Printer</t>
        </is>
      </c>
      <c r="G18" s="50" t="n">
        <v>2</v>
      </c>
      <c r="H18" s="105" t="n">
        <v>15999</v>
      </c>
      <c r="I18" s="106">
        <f>G18*H18</f>
        <v/>
      </c>
      <c r="J18" s="107" t="n">
        <v>0.08</v>
      </c>
      <c r="K18" s="165">
        <f>ROUND(I18*(1-J18),0)</f>
        <v/>
      </c>
    </row>
    <row r="19" ht="18" customHeight="1">
      <c r="A19" s="32" t="inlineStr">
        <is>
          <t>ORD014</t>
        </is>
      </c>
      <c r="B19" s="86" t="n">
        <v>45369</v>
      </c>
      <c r="C19" s="33" t="inlineStr">
        <is>
          <t>Aanya Kulkarni</t>
        </is>
      </c>
      <c r="D19" s="76" t="inlineStr">
        <is>
          <t>North</t>
        </is>
      </c>
      <c r="E19" s="46" t="inlineStr">
        <is>
          <t>Clothing</t>
        </is>
      </c>
      <c r="F19" s="33" t="inlineStr">
        <is>
          <t>Puma Tshirt</t>
        </is>
      </c>
      <c r="G19" s="53" t="n">
        <v>15</v>
      </c>
      <c r="H19" s="112" t="n">
        <v>1499</v>
      </c>
      <c r="I19" s="113">
        <f>G19*H19</f>
        <v/>
      </c>
      <c r="J19" s="114" t="n">
        <v>0.2</v>
      </c>
      <c r="K19" s="166">
        <f>ROUND(I19*(1-J19),0)</f>
        <v/>
      </c>
    </row>
    <row r="20" ht="18" customHeight="1">
      <c r="A20" s="26" t="inlineStr">
        <is>
          <t>ORD015</t>
        </is>
      </c>
      <c r="B20" s="79" t="n">
        <v>45373</v>
      </c>
      <c r="C20" s="27" t="inlineStr">
        <is>
          <t>Dhruv Tiwari</t>
        </is>
      </c>
      <c r="D20" s="164" t="inlineStr">
        <is>
          <t>South</t>
        </is>
      </c>
      <c r="E20" s="12" t="inlineStr">
        <is>
          <t>Footwear</t>
        </is>
      </c>
      <c r="F20" s="27" t="inlineStr">
        <is>
          <t>Nike Air Max</t>
        </is>
      </c>
      <c r="G20" s="50" t="n">
        <v>2</v>
      </c>
      <c r="H20" s="105" t="n">
        <v>12999</v>
      </c>
      <c r="I20" s="106">
        <f>G20*H20</f>
        <v/>
      </c>
      <c r="J20" s="107" t="n">
        <v>0.15</v>
      </c>
      <c r="K20" s="165">
        <f>ROUND(I20*(1-J20),0)</f>
        <v/>
      </c>
    </row>
    <row r="21" ht="18" customHeight="1">
      <c r="A21" s="32" t="inlineStr">
        <is>
          <t>ORD016</t>
        </is>
      </c>
      <c r="B21" s="86" t="n">
        <v>45384</v>
      </c>
      <c r="C21" s="33" t="inlineStr">
        <is>
          <t>Zara Malhotra</t>
        </is>
      </c>
      <c r="D21" s="76" t="inlineStr">
        <is>
          <t>West</t>
        </is>
      </c>
      <c r="E21" s="46" t="inlineStr">
        <is>
          <t>Electronics</t>
        </is>
      </c>
      <c r="F21" s="33" t="inlineStr">
        <is>
          <t>Fossil Watch</t>
        </is>
      </c>
      <c r="G21" s="53" t="n">
        <v>4</v>
      </c>
      <c r="H21" s="112" t="n">
        <v>12999</v>
      </c>
      <c r="I21" s="113">
        <f>G21*H21</f>
        <v/>
      </c>
      <c r="J21" s="114" t="n">
        <v>0.08</v>
      </c>
      <c r="K21" s="166">
        <f>ROUND(I21*(1-J21),0)</f>
        <v/>
      </c>
    </row>
    <row r="22" ht="18" customHeight="1">
      <c r="A22" s="26" t="inlineStr">
        <is>
          <t>ORD017</t>
        </is>
      </c>
      <c r="B22" s="79" t="n">
        <v>45390</v>
      </c>
      <c r="C22" s="27" t="inlineStr">
        <is>
          <t>Aarav Shah</t>
        </is>
      </c>
      <c r="D22" s="164" t="inlineStr">
        <is>
          <t>North</t>
        </is>
      </c>
      <c r="E22" s="12" t="inlineStr">
        <is>
          <t>Electronics</t>
        </is>
      </c>
      <c r="F22" s="27" t="inlineStr">
        <is>
          <t>Samsung S24</t>
        </is>
      </c>
      <c r="G22" s="50" t="n">
        <v>2</v>
      </c>
      <c r="H22" s="105" t="n">
        <v>74999</v>
      </c>
      <c r="I22" s="106">
        <f>G22*H22</f>
        <v/>
      </c>
      <c r="J22" s="107" t="n">
        <v>0.08</v>
      </c>
      <c r="K22" s="165">
        <f>ROUND(I22*(1-J22),0)</f>
        <v/>
      </c>
    </row>
    <row r="23" ht="18" customHeight="1">
      <c r="A23" s="32" t="inlineStr">
        <is>
          <t>ORD018</t>
        </is>
      </c>
      <c r="B23" s="86" t="n">
        <v>45394</v>
      </c>
      <c r="C23" s="33" t="inlineStr">
        <is>
          <t>Diya Sharma</t>
        </is>
      </c>
      <c r="D23" s="76" t="inlineStr">
        <is>
          <t>South</t>
        </is>
      </c>
      <c r="E23" s="46" t="inlineStr">
        <is>
          <t>Clothing</t>
        </is>
      </c>
      <c r="F23" s="33" t="inlineStr">
        <is>
          <t>Levi's Jeans</t>
        </is>
      </c>
      <c r="G23" s="53" t="n">
        <v>6</v>
      </c>
      <c r="H23" s="112" t="n">
        <v>3499</v>
      </c>
      <c r="I23" s="113">
        <f>G23*H23</f>
        <v/>
      </c>
      <c r="J23" s="114" t="n">
        <v>0.2</v>
      </c>
      <c r="K23" s="166">
        <f>ROUND(I23*(1-J23),0)</f>
        <v/>
      </c>
    </row>
    <row r="24" ht="18" customHeight="1">
      <c r="A24" s="26" t="inlineStr">
        <is>
          <t>ORD019</t>
        </is>
      </c>
      <c r="B24" s="79" t="n">
        <v>45400</v>
      </c>
      <c r="C24" s="27" t="inlineStr">
        <is>
          <t>Vivaan Reddy</t>
        </is>
      </c>
      <c r="D24" s="164" t="inlineStr">
        <is>
          <t>West</t>
        </is>
      </c>
      <c r="E24" s="12" t="inlineStr">
        <is>
          <t>Electronics</t>
        </is>
      </c>
      <c r="F24" s="27" t="inlineStr">
        <is>
          <t>Boat Earbuds</t>
        </is>
      </c>
      <c r="G24" s="50" t="n">
        <v>12</v>
      </c>
      <c r="H24" s="105" t="n">
        <v>2499</v>
      </c>
      <c r="I24" s="106">
        <f>G24*H24</f>
        <v/>
      </c>
      <c r="J24" s="107" t="n">
        <v>0.05</v>
      </c>
      <c r="K24" s="165">
        <f>ROUND(I24*(1-J24),0)</f>
        <v/>
      </c>
    </row>
    <row r="25" ht="18" customHeight="1">
      <c r="A25" s="32" t="inlineStr">
        <is>
          <t>ORD020</t>
        </is>
      </c>
      <c r="B25" s="86" t="n">
        <v>45407</v>
      </c>
      <c r="C25" s="33" t="inlineStr">
        <is>
          <t>Kabir Mehta</t>
        </is>
      </c>
      <c r="D25" s="76" t="inlineStr">
        <is>
          <t>East</t>
        </is>
      </c>
      <c r="E25" s="46" t="inlineStr">
        <is>
          <t>Footwear</t>
        </is>
      </c>
      <c r="F25" s="33" t="inlineStr">
        <is>
          <t>Adidas Ultra</t>
        </is>
      </c>
      <c r="G25" s="53" t="n">
        <v>4</v>
      </c>
      <c r="H25" s="112" t="n">
        <v>9999</v>
      </c>
      <c r="I25" s="113">
        <f>G25*H25</f>
        <v/>
      </c>
      <c r="J25" s="114" t="n">
        <v>0.1</v>
      </c>
      <c r="K25" s="166">
        <f>ROUND(I25*(1-J25),0)</f>
        <v/>
      </c>
    </row>
    <row r="27" ht="22" customHeight="1">
      <c r="A27" s="68" t="inlineStr">
        <is>
          <t xml:space="preserve">  HOW TO BUILD EACH PIVOT TABLE — Step-by-Step</t>
        </is>
      </c>
    </row>
    <row r="28">
      <c r="A28" s="69" t="inlineStr">
        <is>
          <t>Pivot Table Goal</t>
        </is>
      </c>
      <c r="B28" s="69" t="inlineStr">
        <is>
          <t>Pivot Field Setup</t>
        </is>
      </c>
      <c r="C28" s="69" t="inlineStr">
        <is>
          <t>What You Learn</t>
        </is>
      </c>
    </row>
    <row r="29" ht="28" customHeight="1">
      <c r="A29" s="118" t="inlineStr">
        <is>
          <t>Revenue by Region</t>
        </is>
      </c>
      <c r="B29" s="94" t="inlineStr">
        <is>
          <t>Rows: Region | Values: Sum of Revenue</t>
        </is>
      </c>
      <c r="C29" s="73" t="inlineStr">
        <is>
          <t>→ See which region generates most revenue</t>
        </is>
      </c>
    </row>
    <row r="30" ht="28" customHeight="1">
      <c r="A30" s="17" t="inlineStr">
        <is>
          <t>Revenue by Category &amp; Region</t>
        </is>
      </c>
      <c r="B30" s="63" t="inlineStr">
        <is>
          <t>Rows: Category | Columns: Region | Values: Sum of Net Revenue</t>
        </is>
      </c>
      <c r="C30" s="11" t="inlineStr">
        <is>
          <t>→ Cross-tab showing category performance per region</t>
        </is>
      </c>
    </row>
    <row r="31" ht="28" customHeight="1">
      <c r="A31" s="118" t="inlineStr">
        <is>
          <t>Monthly Revenue Trend</t>
        </is>
      </c>
      <c r="B31" s="94" t="inlineStr">
        <is>
          <t>Rows: Date (group by Month) | Values: Sum of Revenue</t>
        </is>
      </c>
      <c r="C31" s="73" t="inlineStr">
        <is>
          <t>→ Right-click date → Group → Months</t>
        </is>
      </c>
    </row>
    <row r="32" ht="28" customHeight="1">
      <c r="A32" s="17" t="inlineStr">
        <is>
          <t>Top Sales Reps</t>
        </is>
      </c>
      <c r="B32" s="63" t="inlineStr">
        <is>
          <t>Rows: Sales Rep | Values: Sum of Revenue, Count of Orders</t>
        </is>
      </c>
      <c r="C32" s="11" t="inlineStr">
        <is>
          <t>→ Sort by Revenue descending → see top performers</t>
        </is>
      </c>
    </row>
    <row r="33" ht="28" customHeight="1">
      <c r="A33" s="118" t="inlineStr">
        <is>
          <t>Count vs Sum</t>
        </is>
      </c>
      <c r="B33" s="94" t="inlineStr">
        <is>
          <t>Rows: Category | Values: Count of Orders, Sum of Units, Sum of Revenue</t>
        </is>
      </c>
      <c r="C33" s="73" t="inlineStr">
        <is>
          <t>→ Summarisation techniques beyond just Sum</t>
        </is>
      </c>
    </row>
    <row r="34" ht="28" customHeight="1">
      <c r="A34" s="17" t="inlineStr">
        <is>
          <t>Average Order Value</t>
        </is>
      </c>
      <c r="B34" s="63" t="inlineStr">
        <is>
          <t>Rows: Region | Values: Average of Revenue</t>
        </is>
      </c>
      <c r="C34" s="11" t="inlineStr">
        <is>
          <t>→ Change Value Field Settings: Sum → Average</t>
        </is>
      </c>
    </row>
    <row r="36" ht="20" customHeight="1">
      <c r="A36" s="47" t="inlineStr">
        <is>
          <t>✏️  EXERCISE — Create 6 Pivot Tables from the source data above</t>
        </is>
      </c>
    </row>
    <row r="37" ht="18" customHeight="1">
      <c r="A37" s="48" t="inlineStr">
        <is>
          <t>Q1: Select the data (A5:K25) → Ctrl+T → Insert → PivotTable → New Sheet → build Revenue by Region</t>
        </is>
      </c>
    </row>
    <row r="38" ht="18" customHeight="1">
      <c r="A38" s="48" t="inlineStr">
        <is>
          <t>Q2: Add Category to Columns area → create a cross-tab of Revenue by Region AND Category</t>
        </is>
      </c>
    </row>
    <row r="39" ht="18" customHeight="1">
      <c r="A39" s="48" t="inlineStr">
        <is>
          <t>Q3: Right-click the Date field → Group → select Months → create monthly trend</t>
        </is>
      </c>
    </row>
    <row r="40" ht="18" customHeight="1">
      <c r="A40" s="48" t="inlineStr">
        <is>
          <t>Q4: Add a Slicer: PivotTable Analyze → Insert Slicer → Region → filter with one click</t>
        </is>
      </c>
    </row>
    <row r="41" ht="18" customHeight="1">
      <c r="A41" s="48" t="inlineStr">
        <is>
          <t>Q5: Change Sum to Average (right-click value → Value Field Settings → Average)</t>
        </is>
      </c>
    </row>
    <row r="42" ht="18" customHeight="1">
      <c r="A42" s="48" t="inlineStr">
        <is>
          <t>Q6: Add 'Show Values As' → % of Grand Total to see proportional contribution</t>
        </is>
      </c>
    </row>
    <row r="43" ht="18" customHeight="1">
      <c r="A43" s="48" t="inlineStr">
        <is>
          <t>Q7: Double-click a value cell in the pivot to drill down into the underlying rows</t>
        </is>
      </c>
    </row>
    <row r="44" ht="18" customHeight="1">
      <c r="A44" s="48" t="inlineStr">
        <is>
          <t>Q8: Sort the Sales Rep pivot by Revenue descending to rank top performers</t>
        </is>
      </c>
    </row>
    <row r="45" ht="18" customHeight="1">
      <c r="A45" s="48" t="inlineStr">
        <is>
          <t>Q9: Insert a PivotChart (Bar) from the Region pivot — link chart to slicer</t>
        </is>
      </c>
    </row>
    <row r="46" ht="16" customHeight="1">
      <c r="A46" s="49" t="inlineStr">
        <is>
          <t>💡  Pivot Tables are 100% point-and-click. No formulas needed. They update instantly with Refresh when source data changes.</t>
        </is>
      </c>
    </row>
  </sheetData>
  <mergeCells count="16">
    <mergeCell ref="A4:K4"/>
    <mergeCell ref="A3:K3"/>
    <mergeCell ref="A39:K39"/>
    <mergeCell ref="A43:K43"/>
    <mergeCell ref="A38:K38"/>
    <mergeCell ref="A2:K2"/>
    <mergeCell ref="A41:K41"/>
    <mergeCell ref="A45:K45"/>
    <mergeCell ref="A42:K42"/>
    <mergeCell ref="A46:K46"/>
    <mergeCell ref="A36:K36"/>
    <mergeCell ref="A40:K40"/>
    <mergeCell ref="A44:K44"/>
    <mergeCell ref="A1:K1"/>
    <mergeCell ref="A37:K37"/>
    <mergeCell ref="A27:K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C2626"/>
    <outlinePr summaryBelow="1" summaryRight="1"/>
    <pageSetUpPr/>
  </sheetPr>
  <dimension ref="A1:L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28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21" t="inlineStr">
        <is>
          <t xml:space="preserve">  🚀  XLOOKUP — Syntax, Vertical &amp; Horizontal, IFERROR, Wildcard, 2-Way Lookup, vs VLOOKUP</t>
        </is>
      </c>
    </row>
    <row r="2" ht="18" customHeight="1">
      <c r="A2" s="22" t="inlineStr">
        <is>
          <t xml:space="preserve">  XLOOKUP is the modern replacement for VLOOKUP. More flexible, more powerful, and easier to read.</t>
        </is>
      </c>
    </row>
    <row r="3" ht="8" customHeight="1">
      <c r="A3" s="23" t="n"/>
    </row>
    <row r="4" ht="22" customHeight="1">
      <c r="A4" s="167" t="inlineStr">
        <is>
          <t xml:space="preserve">  EMPLOYEE LOOKUP TABLE (Reference — same data as Sheet 6)</t>
        </is>
      </c>
    </row>
    <row r="5">
      <c r="A5" s="168" t="inlineStr">
        <is>
          <t>Emp ID</t>
        </is>
      </c>
      <c r="B5" s="168" t="inlineStr">
        <is>
          <t>Name</t>
        </is>
      </c>
      <c r="C5" s="168" t="inlineStr">
        <is>
          <t>Dept</t>
        </is>
      </c>
      <c r="D5" s="168" t="inlineStr">
        <is>
          <t>City</t>
        </is>
      </c>
      <c r="E5" s="168" t="inlineStr">
        <is>
          <t>Salary (₹)</t>
        </is>
      </c>
      <c r="F5" s="168" t="inlineStr">
        <is>
          <t>Rating</t>
        </is>
      </c>
      <c r="G5" s="168" t="inlineStr">
        <is>
          <t>Years Exp</t>
        </is>
      </c>
    </row>
    <row r="6">
      <c r="A6" s="169" t="inlineStr">
        <is>
          <t>E001</t>
        </is>
      </c>
      <c r="B6" s="27" t="inlineStr">
        <is>
          <t>Aarav Shah</t>
        </is>
      </c>
      <c r="C6" s="27" t="inlineStr">
        <is>
          <t>Sales</t>
        </is>
      </c>
      <c r="D6" s="27" t="inlineStr">
        <is>
          <t>Mumbai</t>
        </is>
      </c>
      <c r="E6" s="28" t="n">
        <v>55000</v>
      </c>
      <c r="F6" s="26" t="inlineStr">
        <is>
          <t>A</t>
        </is>
      </c>
      <c r="G6" s="50" t="n">
        <v>4</v>
      </c>
    </row>
    <row r="7">
      <c r="A7" s="170" t="inlineStr">
        <is>
          <t>E002</t>
        </is>
      </c>
      <c r="B7" s="33" t="inlineStr">
        <is>
          <t>Diya Sharma</t>
        </is>
      </c>
      <c r="C7" s="33" t="inlineStr">
        <is>
          <t>Marketing</t>
        </is>
      </c>
      <c r="D7" s="33" t="inlineStr">
        <is>
          <t>Delhi</t>
        </is>
      </c>
      <c r="E7" s="34" t="n">
        <v>48000</v>
      </c>
      <c r="F7" s="32" t="inlineStr">
        <is>
          <t>B+</t>
        </is>
      </c>
      <c r="G7" s="53" t="n">
        <v>3</v>
      </c>
    </row>
    <row r="8">
      <c r="A8" s="169" t="inlineStr">
        <is>
          <t>E003</t>
        </is>
      </c>
      <c r="B8" s="27" t="inlineStr">
        <is>
          <t>Vivaan Reddy</t>
        </is>
      </c>
      <c r="C8" s="27" t="inlineStr">
        <is>
          <t>Sales</t>
        </is>
      </c>
      <c r="D8" s="27" t="inlineStr">
        <is>
          <t>Bengaluru</t>
        </is>
      </c>
      <c r="E8" s="28" t="n">
        <v>62000</v>
      </c>
      <c r="F8" s="26" t="inlineStr">
        <is>
          <t>A+</t>
        </is>
      </c>
      <c r="G8" s="50" t="n">
        <v>5</v>
      </c>
    </row>
    <row r="9">
      <c r="A9" s="170" t="inlineStr">
        <is>
          <t>E004</t>
        </is>
      </c>
      <c r="B9" s="33" t="inlineStr">
        <is>
          <t>Ananya Nair</t>
        </is>
      </c>
      <c r="C9" s="33" t="inlineStr">
        <is>
          <t>HR</t>
        </is>
      </c>
      <c r="D9" s="33" t="inlineStr">
        <is>
          <t>Hyderabad</t>
        </is>
      </c>
      <c r="E9" s="34" t="n">
        <v>42000</v>
      </c>
      <c r="F9" s="32" t="inlineStr">
        <is>
          <t>B</t>
        </is>
      </c>
      <c r="G9" s="53" t="n">
        <v>2</v>
      </c>
    </row>
    <row r="10">
      <c r="A10" s="169" t="inlineStr">
        <is>
          <t>E005</t>
        </is>
      </c>
      <c r="B10" s="27" t="inlineStr">
        <is>
          <t>Kabir Mehta</t>
        </is>
      </c>
      <c r="C10" s="27" t="inlineStr">
        <is>
          <t>Marketing</t>
        </is>
      </c>
      <c r="D10" s="27" t="inlineStr">
        <is>
          <t>Chennai</t>
        </is>
      </c>
      <c r="E10" s="28" t="n">
        <v>51000</v>
      </c>
      <c r="F10" s="26" t="inlineStr">
        <is>
          <t>A</t>
        </is>
      </c>
      <c r="G10" s="50" t="n">
        <v>3</v>
      </c>
    </row>
    <row r="11">
      <c r="A11" s="170" t="inlineStr">
        <is>
          <t>E006</t>
        </is>
      </c>
      <c r="B11" s="33" t="inlineStr">
        <is>
          <t>Ishaan Bose</t>
        </is>
      </c>
      <c r="C11" s="33" t="inlineStr">
        <is>
          <t>Sales</t>
        </is>
      </c>
      <c r="D11" s="33" t="inlineStr">
        <is>
          <t>Kolkata</t>
        </is>
      </c>
      <c r="E11" s="34" t="n">
        <v>68000</v>
      </c>
      <c r="F11" s="32" t="inlineStr">
        <is>
          <t>A+</t>
        </is>
      </c>
      <c r="G11" s="53" t="n">
        <v>7</v>
      </c>
    </row>
    <row r="12">
      <c r="A12" s="169" t="inlineStr">
        <is>
          <t>E007</t>
        </is>
      </c>
      <c r="B12" s="27" t="inlineStr">
        <is>
          <t>Myra Joshi</t>
        </is>
      </c>
      <c r="C12" s="27" t="inlineStr">
        <is>
          <t>HR</t>
        </is>
      </c>
      <c r="D12" s="27" t="inlineStr">
        <is>
          <t>Pune</t>
        </is>
      </c>
      <c r="E12" s="28" t="n">
        <v>38000</v>
      </c>
      <c r="F12" s="26" t="inlineStr">
        <is>
          <t>C</t>
        </is>
      </c>
      <c r="G12" s="50" t="n">
        <v>1</v>
      </c>
    </row>
    <row r="13">
      <c r="A13" s="170" t="inlineStr">
        <is>
          <t>E008</t>
        </is>
      </c>
      <c r="B13" s="33" t="inlineStr">
        <is>
          <t>Aryan Patel</t>
        </is>
      </c>
      <c r="C13" s="33" t="inlineStr">
        <is>
          <t>Sales</t>
        </is>
      </c>
      <c r="D13" s="33" t="inlineStr">
        <is>
          <t>Ahmedabad</t>
        </is>
      </c>
      <c r="E13" s="34" t="n">
        <v>57000</v>
      </c>
      <c r="F13" s="32" t="inlineStr">
        <is>
          <t>A</t>
        </is>
      </c>
      <c r="G13" s="53" t="n">
        <v>4</v>
      </c>
    </row>
    <row r="14">
      <c r="A14" s="169" t="inlineStr">
        <is>
          <t>E009</t>
        </is>
      </c>
      <c r="B14" s="27" t="inlineStr">
        <is>
          <t>Kiara Gupta</t>
        </is>
      </c>
      <c r="C14" s="27" t="inlineStr">
        <is>
          <t>Marketing</t>
        </is>
      </c>
      <c r="D14" s="27" t="inlineStr">
        <is>
          <t>Jaipur</t>
        </is>
      </c>
      <c r="E14" s="28" t="n">
        <v>44000</v>
      </c>
      <c r="F14" s="26" t="inlineStr">
        <is>
          <t>B+</t>
        </is>
      </c>
      <c r="G14" s="50" t="n">
        <v>2</v>
      </c>
    </row>
    <row r="15">
      <c r="A15" s="170" t="inlineStr">
        <is>
          <t>E010</t>
        </is>
      </c>
      <c r="B15" s="33" t="inlineStr">
        <is>
          <t>Reyansh Singh</t>
        </is>
      </c>
      <c r="C15" s="33" t="inlineStr">
        <is>
          <t>Sales</t>
        </is>
      </c>
      <c r="D15" s="33" t="inlineStr">
        <is>
          <t>Lucknow</t>
        </is>
      </c>
      <c r="E15" s="34" t="n">
        <v>59000</v>
      </c>
      <c r="F15" s="32" t="inlineStr">
        <is>
          <t>A</t>
        </is>
      </c>
      <c r="G15" s="53" t="n">
        <v>5</v>
      </c>
    </row>
    <row r="17" ht="22" customHeight="1">
      <c r="A17" s="24" t="inlineStr">
        <is>
          <t xml:space="preserve">  XLOOKUP EXAMPLES — All Use Cases with Live Results</t>
        </is>
      </c>
    </row>
    <row r="18">
      <c r="A18" s="25" t="inlineStr">
        <is>
          <t>Use Case</t>
        </is>
      </c>
      <c r="B18" s="25" t="inlineStr">
        <is>
          <t>XLOOKUP Formula</t>
        </is>
      </c>
      <c r="C18" s="25" t="inlineStr">
        <is>
          <t>Result</t>
        </is>
      </c>
      <c r="D18" s="25" t="inlineStr">
        <is>
          <t>Explanation</t>
        </is>
      </c>
    </row>
    <row r="19" ht="28" customHeight="1">
      <c r="A19" s="171" t="inlineStr">
        <is>
          <t>Basic Lookup — Get Name</t>
        </is>
      </c>
      <c r="B19" s="172">
        <f>XLOOKUP("E003",A6:A15,B6:B15)</f>
        <v/>
      </c>
      <c r="C19" s="173">
        <f>XLOOKUP("E003",A6:A15,B6:B15)</f>
        <v/>
      </c>
      <c r="D19" s="174" t="inlineStr">
        <is>
          <t>Find E003's name</t>
        </is>
      </c>
    </row>
    <row r="20" ht="28" customHeight="1">
      <c r="A20" s="19" t="inlineStr">
        <is>
          <t>Get Salary for E006</t>
        </is>
      </c>
      <c r="B20" s="54">
        <f>XLOOKUP("E006",A6:A15,E6:E15)</f>
        <v/>
      </c>
      <c r="C20" s="175">
        <f>XLOOKUP("E006",A6:A15,E6:E15)</f>
        <v/>
      </c>
      <c r="D20" s="11" t="inlineStr">
        <is>
          <t>Return salary (column 5 in VLOOKUP, direct range in XLOOKUP)</t>
        </is>
      </c>
    </row>
    <row r="21" ht="28" customHeight="1">
      <c r="A21" s="171" t="inlineStr">
        <is>
          <t>With Not Found Message</t>
        </is>
      </c>
      <c r="B21" s="172">
        <f>XLOOKUP("E999",A6:A15,B6:B15,"Employee Not Found")</f>
        <v/>
      </c>
      <c r="C21" s="173">
        <f>XLOOKUP("E999",A6:A15,B6:B15,"Employee Not Found")</f>
        <v/>
      </c>
      <c r="D21" s="174" t="inlineStr">
        <is>
          <t>4th argument handles #N/A automatically</t>
        </is>
      </c>
    </row>
    <row r="22" ht="28" customHeight="1">
      <c r="A22" s="19" t="inlineStr">
        <is>
          <t>Lookup from Right</t>
        </is>
      </c>
      <c r="B22" s="54">
        <f>XLOOKUP("Mumbai",D6:D15,B6:B15,"Not Found")</f>
        <v/>
      </c>
      <c r="C22" s="74">
        <f>XLOOKUP("Mumbai",D6:D15,B6:B15,"Not Found")</f>
        <v/>
      </c>
      <c r="D22" s="11" t="inlineStr">
        <is>
          <t>Search City (right col) → return Name (left col) — VLOOKUP cannot do this!</t>
        </is>
      </c>
    </row>
    <row r="23" ht="28" customHeight="1">
      <c r="A23" s="171" t="inlineStr">
        <is>
          <t>Wildcard Lookup</t>
        </is>
      </c>
      <c r="B23" s="172">
        <f>XLOOKUP("Aarav*",B6:B15,E6:E15,"Not Found",2)</f>
        <v/>
      </c>
      <c r="C23" s="173">
        <f>XLOOKUP("Aarav*",B6:B15,E6:E15,"Not Found",2)</f>
        <v/>
      </c>
      <c r="D23" s="174" t="inlineStr">
        <is>
          <t>5th arg=2 enables wildcards. * matches any characters</t>
        </is>
      </c>
    </row>
    <row r="24" ht="28" customHeight="1">
      <c r="A24" s="19" t="inlineStr">
        <is>
          <t>Return Multiple Columns</t>
        </is>
      </c>
      <c r="B24" s="54">
        <f>XLOOKUP("E008",A6:A15,B6:D15,"Not Found")</f>
        <v/>
      </c>
      <c r="C24" s="74">
        <f>XLOOKUP("E008",A6:A15,B6:D15,"Not Found")</f>
        <v/>
      </c>
      <c r="D24" s="11" t="inlineStr">
        <is>
          <t>Returns Name, Dept, City all at once (spills into 3 cells)</t>
        </is>
      </c>
    </row>
    <row r="25" ht="28" customHeight="1">
      <c r="A25" s="171" t="inlineStr">
        <is>
          <t>Last Match</t>
        </is>
      </c>
      <c r="B25" s="172">
        <f>XLOOKUP("Sales",C6:C15,B6:B15,"None",0,-1)</f>
        <v/>
      </c>
      <c r="C25" s="173">
        <f>XLOOKUP("Sales",C6:C15,B6:B15,"None",0,-1)</f>
        <v/>
      </c>
      <c r="D25" s="174" t="inlineStr">
        <is>
          <t>6th arg=-1 searches from bottom up → last Sales employee</t>
        </is>
      </c>
    </row>
    <row r="27" ht="22" customHeight="1">
      <c r="A27" s="56" t="inlineStr">
        <is>
          <t xml:space="preserve">  TWO-WAY LOOKUP — XLOOKUP inside XLOOKUP (Row AND Column)</t>
        </is>
      </c>
    </row>
    <row r="28" ht="16" customHeight="1">
      <c r="A28" s="49" t="inlineStr">
        <is>
          <t>💡  Nested XLOOKUP: =XLOOKUP(row_val, row_range, XLOOKUP(col_val, col_range, data_matrix)) — finds intersection of row and column</t>
        </is>
      </c>
    </row>
    <row r="29">
      <c r="A29" s="3" t="inlineStr"/>
      <c r="B29" s="57" t="inlineStr">
        <is>
          <t>Q1</t>
        </is>
      </c>
      <c r="C29" s="57" t="inlineStr">
        <is>
          <t>Q2</t>
        </is>
      </c>
      <c r="D29" s="57" t="inlineStr">
        <is>
          <t>Q3</t>
        </is>
      </c>
      <c r="E29" s="57" t="inlineStr">
        <is>
          <t>Q4</t>
        </is>
      </c>
    </row>
    <row r="30">
      <c r="A30" s="176" t="inlineStr">
        <is>
          <t>Aarav Shah</t>
        </is>
      </c>
      <c r="B30" s="177" t="n">
        <v>285000</v>
      </c>
      <c r="C30" s="177" t="n">
        <v>310000</v>
      </c>
      <c r="D30" s="177" t="n">
        <v>295000</v>
      </c>
      <c r="E30" s="177" t="n">
        <v>340000</v>
      </c>
    </row>
    <row r="31">
      <c r="A31" s="15" t="inlineStr">
        <is>
          <t>Diya Sharma</t>
        </is>
      </c>
      <c r="B31" s="35" t="n">
        <v>198000</v>
      </c>
      <c r="C31" s="35" t="n">
        <v>220000</v>
      </c>
      <c r="D31" s="35" t="n">
        <v>245000</v>
      </c>
      <c r="E31" s="35" t="n">
        <v>267000</v>
      </c>
    </row>
    <row r="32">
      <c r="A32" s="176" t="inlineStr">
        <is>
          <t>Vivaan Reddy</t>
        </is>
      </c>
      <c r="B32" s="177" t="n">
        <v>310000</v>
      </c>
      <c r="C32" s="177" t="n">
        <v>290000</v>
      </c>
      <c r="D32" s="177" t="n">
        <v>330000</v>
      </c>
      <c r="E32" s="177" t="n">
        <v>385000</v>
      </c>
    </row>
    <row r="33">
      <c r="A33" s="15" t="inlineStr">
        <is>
          <t>Ananya Nair</t>
        </is>
      </c>
      <c r="B33" s="35" t="n">
        <v>175000</v>
      </c>
      <c r="C33" s="35" t="n">
        <v>188000</v>
      </c>
      <c r="D33" s="35" t="n">
        <v>195000</v>
      </c>
      <c r="E33" s="35" t="n">
        <v>210000</v>
      </c>
    </row>
    <row r="34">
      <c r="A34" s="176" t="inlineStr">
        <is>
          <t>Kabir Mehta</t>
        </is>
      </c>
      <c r="B34" s="177" t="n">
        <v>260000</v>
      </c>
      <c r="C34" s="177" t="n">
        <v>278000</v>
      </c>
      <c r="D34" s="177" t="n">
        <v>292000</v>
      </c>
      <c r="E34" s="177" t="n">
        <v>315000</v>
      </c>
    </row>
    <row r="35" ht="28" customHeight="1">
      <c r="A35" s="176" t="inlineStr">
        <is>
          <t>2-Way Lookup Formula</t>
        </is>
      </c>
      <c r="B35" s="178">
        <f>XLOOKUP("Vivaan Reddy",$A$30:$A$34,XLOOKUP("Q3",$B$29:$E$29,$B$30:$E$34))</f>
        <v/>
      </c>
      <c r="C35" s="179">
        <f>XLOOKUP("Vivaan Reddy",$A$30:$A$34,XLOOKUP("Q3",$B$29:$E$29,$B$30:$E$34))</f>
        <v/>
      </c>
      <c r="D35" s="61" t="inlineStr">
        <is>
          <t>Returns Vivaan Reddy's Q3 sales from the matrix → intersection of row &amp; column</t>
        </is>
      </c>
    </row>
    <row r="37" ht="22" customHeight="1">
      <c r="A37" s="68" t="inlineStr">
        <is>
          <t xml:space="preserve">  XLOOKUP vs VLOOKUP vs INDEX-MATCH — Complete Comparison</t>
        </is>
      </c>
    </row>
    <row r="38">
      <c r="A38" s="69" t="inlineStr">
        <is>
          <t>Scenario</t>
        </is>
      </c>
      <c r="B38" s="69" t="inlineStr">
        <is>
          <t>VLOOKUP</t>
        </is>
      </c>
      <c r="C38" s="69" t="inlineStr">
        <is>
          <t>INDEX-MATCH</t>
        </is>
      </c>
      <c r="D38" s="69" t="inlineStr">
        <is>
          <t>XLOOKUP</t>
        </is>
      </c>
    </row>
    <row r="39" ht="30" customHeight="1">
      <c r="A39" s="118" t="inlineStr">
        <is>
          <t>Find name by ID</t>
        </is>
      </c>
      <c r="B39" s="162">
        <f>VLOOKUP("E003",A:F,2,0)</f>
        <v/>
      </c>
      <c r="C39" s="94">
        <f>INDEX(B:B,MATCH("E003",A:A,0))</f>
        <v/>
      </c>
      <c r="D39" s="180">
        <f>XLOOKUP("E003",A:A,B:B)</f>
        <v/>
      </c>
    </row>
    <row r="40" ht="30" customHeight="1">
      <c r="A40" s="17" t="inlineStr">
        <is>
          <t>Left lookup (City→Name)</t>
        </is>
      </c>
      <c r="B40" s="163" t="inlineStr">
        <is>
          <t>❌ Cannot look left</t>
        </is>
      </c>
      <c r="C40" s="63">
        <f>INDEX(B:B,MATCH("Mumbai",D:D,0))</f>
        <v/>
      </c>
      <c r="D40" s="181">
        <f>XLOOKUP("Mumbai",D:D,B:B)</f>
        <v/>
      </c>
    </row>
    <row r="41" ht="30" customHeight="1">
      <c r="A41" s="118" t="inlineStr">
        <is>
          <t>Not found handling</t>
        </is>
      </c>
      <c r="B41" s="162">
        <f>IFERROR(VLOOKUP(...),"No")</f>
        <v/>
      </c>
      <c r="C41" s="94">
        <f>IFERROR(INDEX(MATCH(...)),"No")</f>
        <v/>
      </c>
      <c r="D41" s="180">
        <f>XLOOKUP(...,"No")</f>
        <v/>
      </c>
    </row>
    <row r="42" ht="30" customHeight="1">
      <c r="A42" s="17" t="inlineStr">
        <is>
          <t>Multiple columns</t>
        </is>
      </c>
      <c r="B42" s="163" t="inlineStr">
        <is>
          <t>Need 3 separate VLOOKUPs</t>
        </is>
      </c>
      <c r="C42" s="63" t="inlineStr">
        <is>
          <t>Need INDEX with multiple ranges</t>
        </is>
      </c>
      <c r="D42" s="181">
        <f>XLOOKUP("E003",A:A,B:D)</f>
        <v/>
      </c>
    </row>
    <row r="43" ht="30" customHeight="1">
      <c r="A43" s="118" t="inlineStr">
        <is>
          <t>Wildcard search</t>
        </is>
      </c>
      <c r="B43" s="162">
        <f>VLOOKUP("A*",A:F,2,0)</f>
        <v/>
      </c>
      <c r="C43" s="94" t="inlineStr">
        <is>
          <t>Complex formula needed</t>
        </is>
      </c>
      <c r="D43" s="180">
        <f>XLOOKUP("A*",B:B,E:E,"",2)</f>
        <v/>
      </c>
    </row>
    <row r="45" ht="20" customHeight="1">
      <c r="A45" s="47" t="inlineStr">
        <is>
          <t>✏️  EXERCISE — Practice all XLOOKUP variations</t>
        </is>
      </c>
    </row>
    <row r="46" ht="18" customHeight="1">
      <c r="A46" s="48" t="inlineStr">
        <is>
          <t>Q1: Write XLOOKUP to get the Department of employee 'E005'</t>
        </is>
      </c>
    </row>
    <row r="47" ht="18" customHeight="1">
      <c r="A47" s="48" t="inlineStr">
        <is>
          <t>Q2: Search by City 'Lucknow' and return the employee Name (left lookup — impossible in VLOOKUP)</t>
        </is>
      </c>
    </row>
    <row r="48" ht="18" customHeight="1">
      <c r="A48" s="48" t="inlineStr">
        <is>
          <t>Q3: Write XLOOKUP that returns 'Not Found' when looking up a non-existent ID like 'E999'</t>
        </is>
      </c>
    </row>
    <row r="49" ht="18" customHeight="1">
      <c r="A49" s="48" t="inlineStr">
        <is>
          <t>Q4: Return Name, Dept AND City for 'E008' in one formula (multi-column return)</t>
        </is>
      </c>
    </row>
    <row r="50" ht="18" customHeight="1">
      <c r="A50" s="48" t="inlineStr">
        <is>
          <t>Q5: Use wildcard to find any employee whose name starts with 'K' → return their salary</t>
        </is>
      </c>
    </row>
    <row r="51" ht="18" customHeight="1">
      <c r="A51" s="48" t="inlineStr">
        <is>
          <t>Q6: Use 2-way XLOOKUP to find Kabir Mehta's Q4 sales from the matrix table</t>
        </is>
      </c>
    </row>
    <row r="52" ht="18" customHeight="1">
      <c r="A52" s="48" t="inlineStr">
        <is>
          <t>Q7: Rewrite any VLOOKUP from Sheet 6 as XLOOKUP — compare the formula length</t>
        </is>
      </c>
    </row>
    <row r="53" ht="18" customHeight="1">
      <c r="A53" s="48" t="inlineStr">
        <is>
          <t>Q8: Use XLOOKUP with -1 (reverse search) to find the LAST Sales department employee</t>
        </is>
      </c>
    </row>
    <row r="54" ht="16" customHeight="1">
      <c r="A54" s="49" t="inlineStr">
        <is>
          <t>💡  XLOOKUP syntax: =XLOOKUP(lookup_val, lookup_array, return_array, [if_not_found], [match_mode], [search_mode])</t>
        </is>
      </c>
    </row>
  </sheetData>
  <mergeCells count="18">
    <mergeCell ref="A2:L2"/>
    <mergeCell ref="A54:L54"/>
    <mergeCell ref="A52:L52"/>
    <mergeCell ref="A49:L49"/>
    <mergeCell ref="A51:L51"/>
    <mergeCell ref="A47:L47"/>
    <mergeCell ref="A1:L1"/>
    <mergeCell ref="A28:L28"/>
    <mergeCell ref="A4:G4"/>
    <mergeCell ref="A37:L37"/>
    <mergeCell ref="A45:L45"/>
    <mergeCell ref="A46:L46"/>
    <mergeCell ref="A17:L17"/>
    <mergeCell ref="A27:L27"/>
    <mergeCell ref="A3:L3"/>
    <mergeCell ref="A53:L53"/>
    <mergeCell ref="A50:L50"/>
    <mergeCell ref="A48:L4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B2A4A"/>
    <outlinePr summaryBelow="1" summaryRight="1"/>
    <pageSetUpPr/>
  </sheetPr>
  <dimension ref="A1:L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21" t="inlineStr">
        <is>
          <t xml:space="preserve">  ⚡  ADVANCED INTEGRATION — XLOOKUP + Pivot + Cross-Sheet + Nested Formulas</t>
        </is>
      </c>
    </row>
    <row r="2" ht="18" customHeight="1">
      <c r="A2" s="22" t="inlineStr">
        <is>
          <t xml:space="preserve">  Real-world analytics combines multiple tools. This sheet shows advanced patterns used in professional dashboards.</t>
        </is>
      </c>
    </row>
    <row r="3" ht="8" customHeight="1">
      <c r="A3" s="23" t="n"/>
    </row>
    <row r="4" ht="22" customHeight="1">
      <c r="A4" s="24" t="inlineStr">
        <is>
          <t xml:space="preserve">  SALES PERFORMANCE DASHBOARD — Advanced Summarization</t>
        </is>
      </c>
    </row>
    <row r="6">
      <c r="A6" s="25" t="inlineStr">
        <is>
          <t>Total Revenue</t>
        </is>
      </c>
      <c r="B6" s="25" t="inlineStr">
        <is>
          <t>Net Revenue</t>
        </is>
      </c>
      <c r="C6" s="25" t="inlineStr">
        <is>
          <t>Avg Order</t>
        </is>
      </c>
      <c r="D6" s="25" t="inlineStr">
        <is>
          <t>Top Region</t>
        </is>
      </c>
      <c r="E6" s="25" t="inlineStr">
        <is>
          <t>Total Orders</t>
        </is>
      </c>
      <c r="F6" s="25" t="inlineStr">
        <is>
          <t>Best Month</t>
        </is>
      </c>
    </row>
    <row r="7">
      <c r="A7" s="182">
        <f>'09_Pivot_Tables'!I6+'09_Pivot_Tables'!I7+'09_Pivot_Tables'!I8</f>
        <v/>
      </c>
      <c r="B7" s="182">
        <f>'09_Pivot_Tables'!K6+'09_Pivot_Tables'!K7+'09_Pivot_Tables'!K8</f>
        <v/>
      </c>
      <c r="C7" s="182">
        <f>AVERAGE('09_Pivot_Tables'!I6:I25)</f>
        <v/>
      </c>
      <c r="D7" s="183">
        <f>TEXT(MAX('09_Pivot_Tables'!I6:I25),"₹#,##0")</f>
        <v/>
      </c>
      <c r="E7" s="182">
        <f>COUNTA('09_Pivot_Tables'!A6:A25)</f>
        <v/>
      </c>
      <c r="F7" s="183">
        <f>TEXT(TODAY(),"MMM YYYY")</f>
        <v/>
      </c>
    </row>
    <row r="9" ht="22" customHeight="1">
      <c r="A9" s="56" t="inlineStr">
        <is>
          <t xml:space="preserve">  ADVANCED FORMULA PATTERNS — Nested &amp; Cross-Sheet</t>
        </is>
      </c>
    </row>
    <row r="10">
      <c r="A10" s="57" t="inlineStr">
        <is>
          <t>Pattern</t>
        </is>
      </c>
      <c r="B10" s="57" t="inlineStr">
        <is>
          <t>Formula</t>
        </is>
      </c>
      <c r="C10" s="57" t="inlineStr">
        <is>
          <t>When to Use</t>
        </is>
      </c>
    </row>
    <row r="11" ht="32" customHeight="1">
      <c r="A11" s="176" t="inlineStr">
        <is>
          <t>XLOOKUP + IF</t>
        </is>
      </c>
      <c r="B11" s="178">
        <f>IF(XLOOKUP("E003",'10_XLOOKUP_Advanced'!A6:A15,'10_XLOOKUP_Advanced'!F6:F15)="A+","Bonus Eligible","Standard")</f>
        <v/>
      </c>
      <c r="C11" s="61" t="inlineStr">
        <is>
          <t>Combine lookup with conditional logic</t>
        </is>
      </c>
    </row>
    <row r="12" ht="32" customHeight="1">
      <c r="A12" s="15" t="inlineStr">
        <is>
          <t>XLOOKUP + SUMIF</t>
        </is>
      </c>
      <c r="B12" s="54">
        <f>SUMIF('09_Pivot_Tables'!C6:C25,XLOOKUP("E001",'10_XLOOKUP_Advanced'!A6:A15,'10_XLOOKUP_Advanced'!B6:B15),'09_Pivot_Tables'!I6:I25)</f>
        <v/>
      </c>
      <c r="C12" s="11" t="inlineStr">
        <is>
          <t>Sum orders for a specific sales rep found by ID</t>
        </is>
      </c>
    </row>
    <row r="13" ht="32" customHeight="1">
      <c r="A13" s="176" t="inlineStr">
        <is>
          <t>Nested SUMIFS</t>
        </is>
      </c>
      <c r="B13" s="178">
        <f>SUMIFS(I6:I25,C6:C25,"Aarav Shah",D6:D25,"North")</f>
        <v/>
      </c>
      <c r="C13" s="61" t="inlineStr">
        <is>
          <t>Total revenue for a specific person in a specific region</t>
        </is>
      </c>
    </row>
    <row r="14" ht="32" customHeight="1">
      <c r="A14" s="15" t="inlineStr">
        <is>
          <t>XLOOKUP + CONCATENATE</t>
        </is>
      </c>
      <c r="B14" s="54">
        <f>XLOOKUP("E006",A6:A15,B6:B15)&amp;" | "&amp;XLOOKUP("E006",A6:A15,C6:C15)&amp;" | "&amp;TEXT(XLOOKUP("E006",A6:A15,E6:E15),"₹#,##0")</f>
        <v/>
      </c>
      <c r="C14" s="11" t="inlineStr">
        <is>
          <t>Build an employee card string from lookup results</t>
        </is>
      </c>
    </row>
    <row r="15" ht="32" customHeight="1">
      <c r="A15" s="176" t="inlineStr">
        <is>
          <t>Dynamic Summary Row</t>
        </is>
      </c>
      <c r="B15" s="178">
        <f>SUMPRODUCT((D6:D25="North")*(E6:E25="Electronics")*I6:I25)</f>
        <v/>
      </c>
      <c r="C15" s="61" t="inlineStr">
        <is>
          <t>Sum with multiple conditions (alternative to SUMIFS)</t>
        </is>
      </c>
    </row>
    <row r="16" ht="32" customHeight="1">
      <c r="A16" s="15" t="inlineStr">
        <is>
          <t>Running Total</t>
        </is>
      </c>
      <c r="B16" s="54">
        <f>SUM($I$6:I6)</f>
        <v/>
      </c>
      <c r="C16" s="11" t="inlineStr">
        <is>
          <t>Cumulative revenue — copy down to see running total</t>
        </is>
      </c>
    </row>
    <row r="17" ht="32" customHeight="1">
      <c r="A17" s="176" t="inlineStr">
        <is>
          <t>Year-over-Year</t>
        </is>
      </c>
      <c r="B17" s="178">
        <f>IFERROR((CurrentYear-PriorYear)/PriorYear,"N/A")</f>
        <v/>
      </c>
      <c r="C17" s="61" t="inlineStr">
        <is>
          <t>Growth calculation with error handling</t>
        </is>
      </c>
    </row>
    <row r="19" ht="22" customHeight="1">
      <c r="A19" s="41" t="inlineStr">
        <is>
          <t xml:space="preserve">  REAL-WORLD USE CASES — Sales, HR, Stock Movement</t>
        </is>
      </c>
    </row>
    <row r="20">
      <c r="A20" s="25" t="inlineStr">
        <is>
          <t>Sales Analytics</t>
        </is>
      </c>
      <c r="B20" s="4" t="n"/>
      <c r="C20" s="4" t="n"/>
      <c r="D20" s="5" t="n"/>
      <c r="E20" s="78" t="inlineStr">
        <is>
          <t>Employee Performance</t>
        </is>
      </c>
      <c r="F20" s="4" t="n"/>
      <c r="G20" s="4" t="n"/>
      <c r="H20" s="5" t="n"/>
      <c r="I20" s="103" t="inlineStr">
        <is>
          <t>Inventory / Stock</t>
        </is>
      </c>
      <c r="J20" s="4" t="n"/>
      <c r="K20" s="4" t="n"/>
      <c r="L20" s="5" t="n"/>
    </row>
    <row r="21" ht="24" customHeight="1">
      <c r="A21" s="184" t="inlineStr">
        <is>
          <t xml:space="preserve">  ✓  XLOOKUP employee ID → get name/region for commission report</t>
        </is>
      </c>
      <c r="E21" s="184" t="inlineStr">
        <is>
          <t xml:space="preserve">  ✓  DATEDIF: tenure calculation for appraisal eligibility</t>
        </is>
      </c>
      <c r="I21" s="184" t="inlineStr">
        <is>
          <t xml:space="preserve">  ✓  SUMIF: total stock by warehouse or category</t>
        </is>
      </c>
    </row>
    <row r="22" ht="24" customHeight="1">
      <c r="A22" s="185" t="inlineStr">
        <is>
          <t xml:space="preserve">  ✓  SUMIFS: revenue by region AND product category AND month</t>
        </is>
      </c>
      <c r="E22" s="185" t="inlineStr">
        <is>
          <t xml:space="preserve">  ✓  IFS: grade employees A+/A/B+/B/C based on KPIs</t>
        </is>
      </c>
      <c r="I22" s="185" t="inlineStr">
        <is>
          <t xml:space="preserve">  ✓  XLOOKUP: find product details by SKU code</t>
        </is>
      </c>
    </row>
    <row r="23" ht="24" customHeight="1">
      <c r="A23" s="184" t="inlineStr">
        <is>
          <t xml:space="preserve">  ✓  Pivot: monthly trend → PivotChart for dashboard</t>
        </is>
      </c>
      <c r="E23" s="184" t="inlineStr">
        <is>
          <t xml:space="preserve">  ✓  XLOOKUP: cross-reference HR records with Payroll data</t>
        </is>
      </c>
      <c r="I23" s="184" t="inlineStr">
        <is>
          <t xml:space="preserve">  ✓  Conditional Formatting: flag low stock (&lt; reorder level)</t>
        </is>
      </c>
    </row>
    <row r="24" ht="24" customHeight="1">
      <c r="A24" s="185" t="inlineStr">
        <is>
          <t xml:space="preserve">  ✓  Conditional Formatting: highlight reps above target in green</t>
        </is>
      </c>
      <c r="E24" s="185" t="inlineStr">
        <is>
          <t xml:space="preserve">  ✓  NETWORKDAYS: calculate working days in review period</t>
        </is>
      </c>
      <c r="I24" s="185" t="inlineStr">
        <is>
          <t xml:space="preserve">  ✓  Pivot: stock movement by month — group dates</t>
        </is>
      </c>
    </row>
    <row r="27" ht="20" customHeight="1">
      <c r="A27" s="47" t="inlineStr">
        <is>
          <t>✏️  EXERCISE — Advanced Integration — Combine all tools learned</t>
        </is>
      </c>
    </row>
    <row r="28" ht="18" customHeight="1">
      <c r="A28" s="48" t="inlineStr">
        <is>
          <t>Q1: Build a Sales Rep scorecard: given an Emp ID, show Name, Region, Total Revenue, Avg Order, Order Count</t>
        </is>
      </c>
    </row>
    <row r="29" ht="18" customHeight="1">
      <c r="A29" s="48" t="inlineStr">
        <is>
          <t>Q2: Create a cross-sheet formula that pulls an employee's rating from Sheet 10 and assigns a bonus %</t>
        </is>
      </c>
    </row>
    <row r="30" ht="18" customHeight="1">
      <c r="A30" s="48" t="inlineStr">
        <is>
          <t>Q3: Build a running total column on the Pivot source data (Sheet 9) using SUM with locked start</t>
        </is>
      </c>
    </row>
    <row r="31" ht="18" customHeight="1">
      <c r="A31" s="48" t="inlineStr">
        <is>
          <t>Q4: Create a 2-way summary: SUMIFS for each Region+Category combination (same as pivot but with formulas)</t>
        </is>
      </c>
    </row>
    <row r="32" ht="18" customHeight="1">
      <c r="A32" s="48" t="inlineStr">
        <is>
          <t>Q5: Use XLOOKUP nested in a conditional: if rating='A+', lookup their project from Sheet 4 else show 'N/A'</t>
        </is>
      </c>
    </row>
    <row r="33" ht="18" customHeight="1">
      <c r="A33" s="48" t="inlineStr">
        <is>
          <t>Q6: Build a dynamic dashboard: 3 KPI cards, 1 region chart, 1 category chart, linked to Pivot source</t>
        </is>
      </c>
    </row>
    <row r="34" ht="18" customHeight="1">
      <c r="A34" s="48" t="inlineStr">
        <is>
          <t>Q7: Write a formula to find the Top 3 sales reps by revenue using LARGE + INDEX + MATCH</t>
        </is>
      </c>
    </row>
    <row r="35" ht="18" customHeight="1">
      <c r="A35" s="48" t="inlineStr">
        <is>
          <t>Q8: Create a stock alert system: XLOOKUP product → if stock &lt; reorder level → 'ORDER NOW' else 'OK'</t>
        </is>
      </c>
    </row>
    <row r="36" ht="16" customHeight="1">
      <c r="A36" s="49" t="inlineStr">
        <is>
          <t>💡  Professional analysts combine Pivot Tables (for exploration) with XLOOKUP+SUMIFS (for dynamic reports). Both tools are essential.</t>
        </is>
      </c>
    </row>
  </sheetData>
  <mergeCells count="31">
    <mergeCell ref="A23:D23"/>
    <mergeCell ref="A22:D22"/>
    <mergeCell ref="A20:D20"/>
    <mergeCell ref="I20:L20"/>
    <mergeCell ref="A27:L27"/>
    <mergeCell ref="A3:L3"/>
    <mergeCell ref="E22:H22"/>
    <mergeCell ref="A2:L2"/>
    <mergeCell ref="A33:L33"/>
    <mergeCell ref="A32:L32"/>
    <mergeCell ref="E21:H21"/>
    <mergeCell ref="A24:D24"/>
    <mergeCell ref="E24:H24"/>
    <mergeCell ref="A35:L35"/>
    <mergeCell ref="A4:L4"/>
    <mergeCell ref="E23:H23"/>
    <mergeCell ref="A29:L29"/>
    <mergeCell ref="A19:L19"/>
    <mergeCell ref="A28:L28"/>
    <mergeCell ref="E20:H20"/>
    <mergeCell ref="A31:L31"/>
    <mergeCell ref="A9:L9"/>
    <mergeCell ref="A34:L34"/>
    <mergeCell ref="I22:L22"/>
    <mergeCell ref="A30:L30"/>
    <mergeCell ref="I21:L21"/>
    <mergeCell ref="A1:L1"/>
    <mergeCell ref="A21:D21"/>
    <mergeCell ref="A36:L36"/>
    <mergeCell ref="I24:L24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2026-04-02T06:16:44Z</dcterms:created>
  <dcterms:modified xmlns:dcterms="http://purl.org/dc/terms/" xmlns:xsi="http://www.w3.org/2001/XMLSchema-instance" xsi:type="dcterms:W3CDTF">2026-04-02T06:16:45Z</dcterms:modified>
</cp:coreProperties>
</file>