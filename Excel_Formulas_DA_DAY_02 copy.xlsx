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applem1pro/Desktop/DA in 30 Days/CT/Day 02/"/>
    </mc:Choice>
  </mc:AlternateContent>
  <xr:revisionPtr revIDLastSave="0" documentId="13_ncr:1_{9C3FE41E-D397-9146-8199-F3A269A09D0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01_Tables_CtrlT" sheetId="2" r:id="rId1"/>
    <sheet name="02_Logical_IF_IFS_AND_OR" sheetId="3" r:id="rId2"/>
    <sheet name="03_Text_Functions" sheetId="4" r:id="rId3"/>
    <sheet name="04_Date_Functions" sheetId="5" r:id="rId4"/>
    <sheet name="05_Math_Stat_Function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6" l="1"/>
  <c r="C34" i="6"/>
  <c r="B34" i="6"/>
  <c r="C33" i="6"/>
  <c r="B33" i="6"/>
  <c r="C31" i="6"/>
  <c r="C30" i="6"/>
  <c r="C29" i="6"/>
  <c r="B29" i="6"/>
  <c r="C28" i="6"/>
  <c r="B28" i="6"/>
  <c r="C27" i="6"/>
  <c r="B27" i="6"/>
  <c r="C26" i="6"/>
  <c r="B26" i="6"/>
  <c r="H20" i="6"/>
  <c r="F20" i="6"/>
  <c r="F19" i="6"/>
  <c r="H19" i="6" s="1"/>
  <c r="H18" i="6"/>
  <c r="F18" i="6"/>
  <c r="F17" i="6"/>
  <c r="H17" i="6" s="1"/>
  <c r="H16" i="6"/>
  <c r="F16" i="6"/>
  <c r="F15" i="6"/>
  <c r="H15" i="6" s="1"/>
  <c r="H14" i="6"/>
  <c r="F14" i="6"/>
  <c r="F13" i="6"/>
  <c r="H13" i="6" s="1"/>
  <c r="H12" i="6"/>
  <c r="F12" i="6"/>
  <c r="F11" i="6"/>
  <c r="H11" i="6" s="1"/>
  <c r="H10" i="6"/>
  <c r="F10" i="6"/>
  <c r="F9" i="6"/>
  <c r="H9" i="6" s="1"/>
  <c r="H8" i="6"/>
  <c r="F8" i="6"/>
  <c r="F7" i="6"/>
  <c r="H7" i="6" s="1"/>
  <c r="H6" i="6"/>
  <c r="F6" i="6"/>
  <c r="B30" i="6" s="1"/>
  <c r="D26" i="5"/>
  <c r="C26" i="5"/>
  <c r="B26" i="5"/>
  <c r="D25" i="5"/>
  <c r="C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K15" i="5"/>
  <c r="J15" i="5"/>
  <c r="I15" i="5"/>
  <c r="H15" i="5"/>
  <c r="G15" i="5"/>
  <c r="K14" i="5"/>
  <c r="J14" i="5"/>
  <c r="I14" i="5"/>
  <c r="H14" i="5"/>
  <c r="G14" i="5"/>
  <c r="K13" i="5"/>
  <c r="J13" i="5"/>
  <c r="I13" i="5"/>
  <c r="H13" i="5"/>
  <c r="G13" i="5"/>
  <c r="K12" i="5"/>
  <c r="J12" i="5"/>
  <c r="I12" i="5"/>
  <c r="H12" i="5"/>
  <c r="G12" i="5"/>
  <c r="K11" i="5"/>
  <c r="J11" i="5"/>
  <c r="I11" i="5"/>
  <c r="H11" i="5"/>
  <c r="G11" i="5"/>
  <c r="K10" i="5"/>
  <c r="J10" i="5"/>
  <c r="I10" i="5"/>
  <c r="H10" i="5"/>
  <c r="G10" i="5"/>
  <c r="K9" i="5"/>
  <c r="J9" i="5"/>
  <c r="I9" i="5"/>
  <c r="H9" i="5"/>
  <c r="G9" i="5"/>
  <c r="K8" i="5"/>
  <c r="J8" i="5"/>
  <c r="I8" i="5"/>
  <c r="H8" i="5"/>
  <c r="G8" i="5"/>
  <c r="K7" i="5"/>
  <c r="J7" i="5"/>
  <c r="I7" i="5"/>
  <c r="H7" i="5"/>
  <c r="G7" i="5"/>
  <c r="K6" i="5"/>
  <c r="J6" i="5"/>
  <c r="I6" i="5"/>
  <c r="H6" i="5"/>
  <c r="G6" i="5"/>
  <c r="C43" i="4"/>
  <c r="B43" i="4"/>
  <c r="C42" i="4"/>
  <c r="B42" i="4"/>
  <c r="C41" i="4"/>
  <c r="C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28" i="4"/>
  <c r="A28" i="4"/>
  <c r="C27" i="4"/>
  <c r="A27" i="4"/>
  <c r="C26" i="4"/>
  <c r="A26" i="4"/>
  <c r="C25" i="4"/>
  <c r="A25" i="4"/>
  <c r="C24" i="4"/>
  <c r="A24" i="4"/>
  <c r="C23" i="4"/>
  <c r="A23" i="4"/>
  <c r="C22" i="4"/>
  <c r="A22" i="4"/>
  <c r="C21" i="4"/>
  <c r="A21" i="4"/>
  <c r="C20" i="4"/>
  <c r="A20" i="4"/>
  <c r="C19" i="4"/>
  <c r="A19" i="4"/>
  <c r="C18" i="4"/>
  <c r="A18" i="4"/>
  <c r="C17" i="4"/>
  <c r="A17" i="4"/>
  <c r="C33" i="3"/>
  <c r="B33" i="3"/>
  <c r="B25" i="3"/>
  <c r="C24" i="3"/>
  <c r="C23" i="3"/>
  <c r="B21" i="3"/>
  <c r="J17" i="3"/>
  <c r="G17" i="3"/>
  <c r="H17" i="3" s="1"/>
  <c r="I17" i="3" s="1"/>
  <c r="J16" i="3"/>
  <c r="G16" i="3"/>
  <c r="H16" i="3" s="1"/>
  <c r="I16" i="3" s="1"/>
  <c r="J15" i="3"/>
  <c r="G15" i="3"/>
  <c r="H15" i="3" s="1"/>
  <c r="I15" i="3" s="1"/>
  <c r="J14" i="3"/>
  <c r="G14" i="3"/>
  <c r="H14" i="3" s="1"/>
  <c r="I14" i="3" s="1"/>
  <c r="J13" i="3"/>
  <c r="G13" i="3"/>
  <c r="H13" i="3" s="1"/>
  <c r="I13" i="3" s="1"/>
  <c r="J12" i="3"/>
  <c r="G12" i="3"/>
  <c r="H12" i="3" s="1"/>
  <c r="I12" i="3" s="1"/>
  <c r="J11" i="3"/>
  <c r="G11" i="3"/>
  <c r="H11" i="3" s="1"/>
  <c r="I11" i="3" s="1"/>
  <c r="J10" i="3"/>
  <c r="G10" i="3"/>
  <c r="H10" i="3" s="1"/>
  <c r="I10" i="3" s="1"/>
  <c r="J9" i="3"/>
  <c r="G9" i="3"/>
  <c r="H9" i="3" s="1"/>
  <c r="I9" i="3" s="1"/>
  <c r="J8" i="3"/>
  <c r="G8" i="3"/>
  <c r="H8" i="3" s="1"/>
  <c r="I8" i="3" s="1"/>
  <c r="J7" i="3"/>
  <c r="G7" i="3"/>
  <c r="H7" i="3" s="1"/>
  <c r="I7" i="3" s="1"/>
  <c r="J6" i="3"/>
  <c r="G6" i="3"/>
  <c r="H6" i="3" s="1"/>
  <c r="C26" i="2"/>
  <c r="C25" i="2"/>
  <c r="G20" i="2"/>
  <c r="H20" i="2" s="1"/>
  <c r="H19" i="2"/>
  <c r="G19" i="2"/>
  <c r="G18" i="2"/>
  <c r="H18" i="2" s="1"/>
  <c r="G17" i="2"/>
  <c r="H17" i="2" s="1"/>
  <c r="G16" i="2"/>
  <c r="H16" i="2" s="1"/>
  <c r="H15" i="2"/>
  <c r="G15" i="2"/>
  <c r="G14" i="2"/>
  <c r="H14" i="2" s="1"/>
  <c r="G13" i="2"/>
  <c r="H13" i="2" s="1"/>
  <c r="G12" i="2"/>
  <c r="H12" i="2" s="1"/>
  <c r="H11" i="2"/>
  <c r="G11" i="2"/>
  <c r="G10" i="2"/>
  <c r="H10" i="2" s="1"/>
  <c r="G9" i="2"/>
  <c r="H9" i="2" s="1"/>
  <c r="G8" i="2"/>
  <c r="H8" i="2" s="1"/>
  <c r="H7" i="2"/>
  <c r="G7" i="2"/>
  <c r="G6" i="2"/>
  <c r="H6" i="2" s="1"/>
  <c r="I17" i="6" l="1"/>
  <c r="J17" i="6" s="1"/>
  <c r="I11" i="6"/>
  <c r="J11" i="6" s="1"/>
  <c r="C32" i="3"/>
  <c r="J19" i="6"/>
  <c r="I19" i="6"/>
  <c r="C25" i="6"/>
  <c r="I7" i="6"/>
  <c r="J7" i="6" s="1"/>
  <c r="J12" i="6"/>
  <c r="J18" i="6"/>
  <c r="I9" i="6"/>
  <c r="J9" i="6" s="1"/>
  <c r="B29" i="3"/>
  <c r="I6" i="3"/>
  <c r="C21" i="3"/>
  <c r="C29" i="3"/>
  <c r="J13" i="6"/>
  <c r="I13" i="6"/>
  <c r="J15" i="6"/>
  <c r="I15" i="6"/>
  <c r="B32" i="3"/>
  <c r="B30" i="3"/>
  <c r="C30" i="3"/>
  <c r="I6" i="6"/>
  <c r="I8" i="6"/>
  <c r="J8" i="6" s="1"/>
  <c r="I10" i="6"/>
  <c r="J10" i="6" s="1"/>
  <c r="I12" i="6"/>
  <c r="I14" i="6"/>
  <c r="J14" i="6" s="1"/>
  <c r="I16" i="6"/>
  <c r="J16" i="6" s="1"/>
  <c r="I18" i="6"/>
  <c r="I20" i="6"/>
  <c r="J20" i="6" s="1"/>
  <c r="B31" i="6"/>
  <c r="B35" i="6"/>
  <c r="B24" i="6"/>
  <c r="C24" i="6"/>
  <c r="C25" i="3"/>
  <c r="B25" i="6"/>
  <c r="C32" i="6" l="1"/>
  <c r="B32" i="6"/>
  <c r="B31" i="3"/>
  <c r="C31" i="3"/>
  <c r="J6" i="6"/>
</calcChain>
</file>

<file path=xl/sharedStrings.xml><?xml version="1.0" encoding="utf-8"?>
<sst xmlns="http://schemas.openxmlformats.org/spreadsheetml/2006/main" count="468" uniqueCount="364">
  <si>
    <t xml:space="preserve">  📊  INTRODUCTION TO TABLES (Ctrl+T)  —  Smart, Auto-Expanding Data Ranges</t>
  </si>
  <si>
    <t xml:space="preserve">  CONCEPT:  Format data as an Excel Table to enable auto-filters, structured references, and automatic formula expansion.</t>
  </si>
  <si>
    <t xml:space="preserve">  SAMPLE DATA — Indian Sales Team Performance (Format this range as a Table → Ctrl+T)</t>
  </si>
  <si>
    <t>Emp ID</t>
  </si>
  <si>
    <t>Employee Name</t>
  </si>
  <si>
    <t>City</t>
  </si>
  <si>
    <t>Department</t>
  </si>
  <si>
    <t>Sales (₹)</t>
  </si>
  <si>
    <t>Target (₹)</t>
  </si>
  <si>
    <t>% Achieved</t>
  </si>
  <si>
    <t>Status</t>
  </si>
  <si>
    <t>E001</t>
  </si>
  <si>
    <t>Aarav Shah</t>
  </si>
  <si>
    <t>Mumbai</t>
  </si>
  <si>
    <t>Sales</t>
  </si>
  <si>
    <t>E002</t>
  </si>
  <si>
    <t>Diya Sharma</t>
  </si>
  <si>
    <t>Delhi</t>
  </si>
  <si>
    <t>E003</t>
  </si>
  <si>
    <t>Vivaan Reddy</t>
  </si>
  <si>
    <t>Bengaluru</t>
  </si>
  <si>
    <t>Marketing</t>
  </si>
  <si>
    <t>E004</t>
  </si>
  <si>
    <t>Ananya Nair</t>
  </si>
  <si>
    <t>Hyderabad</t>
  </si>
  <si>
    <t>E005</t>
  </si>
  <si>
    <t>Kabir Mehta</t>
  </si>
  <si>
    <t>Chennai</t>
  </si>
  <si>
    <t>E006</t>
  </si>
  <si>
    <t>Ishaan Bose</t>
  </si>
  <si>
    <t>Kolkata</t>
  </si>
  <si>
    <t>E007</t>
  </si>
  <si>
    <t>Myra Joshi</t>
  </si>
  <si>
    <t>Pune</t>
  </si>
  <si>
    <t>HR</t>
  </si>
  <si>
    <t>E008</t>
  </si>
  <si>
    <t>Aryan Patel</t>
  </si>
  <si>
    <t>Ahmedabad</t>
  </si>
  <si>
    <t>E009</t>
  </si>
  <si>
    <t>Kiara Gupta</t>
  </si>
  <si>
    <t>Jaipur</t>
  </si>
  <si>
    <t>E010</t>
  </si>
  <si>
    <t>Reyansh Singh</t>
  </si>
  <si>
    <t>Lucknow</t>
  </si>
  <si>
    <t>E011</t>
  </si>
  <si>
    <t>Ira Desai</t>
  </si>
  <si>
    <t>Surat</t>
  </si>
  <si>
    <t>E012</t>
  </si>
  <si>
    <t>Shaurya Verma</t>
  </si>
  <si>
    <t>Kanpur</t>
  </si>
  <si>
    <t>E013</t>
  </si>
  <si>
    <t>Aanya Kulkarni</t>
  </si>
  <si>
    <t>Nagpur</t>
  </si>
  <si>
    <t>E014</t>
  </si>
  <si>
    <t>Dhruv Tiwari</t>
  </si>
  <si>
    <t>Indore</t>
  </si>
  <si>
    <t>E015</t>
  </si>
  <si>
    <t>Zara Malhotra</t>
  </si>
  <si>
    <t>Bhopal</t>
  </si>
  <si>
    <t xml:space="preserve">  TABLE BENEFITS &amp; KEY FEATURES</t>
  </si>
  <si>
    <t>Feature</t>
  </si>
  <si>
    <t>What It Does</t>
  </si>
  <si>
    <t>Example / Action</t>
  </si>
  <si>
    <t>Auto-Filter Dropdowns</t>
  </si>
  <si>
    <t>Dropdown arrows appear on every column header automatically.</t>
  </si>
  <si>
    <t>Structured References</t>
  </si>
  <si>
    <t>Use =Table1[Sales] instead of =$E$6:$E$20. Much easier to read.</t>
  </si>
  <si>
    <t>Auto-Expansion</t>
  </si>
  <si>
    <t>Add a new row below the table — formulas fill down automatically.</t>
  </si>
  <si>
    <t>Type in row 21 to test</t>
  </si>
  <si>
    <t>Total Row</t>
  </si>
  <si>
    <t>Right-click table → Table → Toggle Total Row for instant aggregates.</t>
  </si>
  <si>
    <t>SUM, AVG, COUNT, MAX...</t>
  </si>
  <si>
    <t>Named Table</t>
  </si>
  <si>
    <t>Every table has a name (Table1). Rename in Table Design → Table Name.</t>
  </si>
  <si>
    <t>Use name in VLOOKUP etc.</t>
  </si>
  <si>
    <t>✏️  EXERCISE — Apply Ctrl+T, Rename, Add Total Row, Sort, Filter</t>
  </si>
  <si>
    <t>1.  Select the data range (including headers) → Press Ctrl+T → Confirm 'My table has headers' → OK</t>
  </si>
  <si>
    <t>2.  Go to Table Design tab → Change Table Name from 'Table1' to 'SalesTeam'</t>
  </si>
  <si>
    <t>3.  Click any cell in the table → Table Design → check 'Total Row' → see aggregates appear</t>
  </si>
  <si>
    <t>4.  Click the Department filter dropdown → show only 'Sales' department employees</t>
  </si>
  <si>
    <t>5.  Sort the table by 'Sales (₹)' column — Largest to Smallest</t>
  </si>
  <si>
    <t>6.  In an empty cell, type:  =SUM(SalesTeam[Sales (₹)])  — observe structured reference</t>
  </si>
  <si>
    <t>7.  Add a new employee row below the last row → observe formula auto-fill in columns G and H</t>
  </si>
  <si>
    <t>💡  Ctrl+T is the FIRST thing a data analyst does on any new dataset. Tables are the foundation of all professional Excel work.</t>
  </si>
  <si>
    <t xml:space="preserve">  🧠  LOGICAL FUNCTIONS — IF, IFS, AND, OR, NOT</t>
  </si>
  <si>
    <t xml:space="preserve">  Logical functions evaluate conditions and return different values based on TRUE/FALSE outcomes.</t>
  </si>
  <si>
    <t xml:space="preserve">  SAMPLE DATA — Student Exam Results (Indian Students)</t>
  </si>
  <si>
    <t>S.No</t>
  </si>
  <si>
    <t>Student Name</t>
  </si>
  <si>
    <t>Math</t>
  </si>
  <si>
    <t>Science</t>
  </si>
  <si>
    <t>English</t>
  </si>
  <si>
    <t>Total</t>
  </si>
  <si>
    <t>Average</t>
  </si>
  <si>
    <t>Grade</t>
  </si>
  <si>
    <t>Pass/Fail</t>
  </si>
  <si>
    <t xml:space="preserve">  FORMULA REFERENCE — Syntax, Logic &amp; Examples</t>
  </si>
  <si>
    <t>Function</t>
  </si>
  <si>
    <t>Syntax</t>
  </si>
  <si>
    <t>Example Used Above</t>
  </si>
  <si>
    <t>What It Returns</t>
  </si>
  <si>
    <t>IF</t>
  </si>
  <si>
    <t>Returns 'A+' if average ≥ 90, otherwise 'Below A+'</t>
  </si>
  <si>
    <t>IFS</t>
  </si>
  <si>
    <t>Tests multiple conditions in order, returns first TRUE match</t>
  </si>
  <si>
    <t>AND</t>
  </si>
  <si>
    <t>TRUE only if ALL conditions are true</t>
  </si>
  <si>
    <t>OR</t>
  </si>
  <si>
    <t>TRUE if ANY condition is true</t>
  </si>
  <si>
    <t>NOT</t>
  </si>
  <si>
    <t>Reverses TRUE to FALSE and FALSE to TRUE</t>
  </si>
  <si>
    <t xml:space="preserve">  ADDITIONAL FORMULA EXAMPLES  (applied to above data)</t>
  </si>
  <si>
    <t>What We Want</t>
  </si>
  <si>
    <t>Formula</t>
  </si>
  <si>
    <t>Result (live)</t>
  </si>
  <si>
    <t>Top Scorer</t>
  </si>
  <si>
    <t>Pass Count</t>
  </si>
  <si>
    <t>A+ Students</t>
  </si>
  <si>
    <t>Avg of Passers</t>
  </si>
  <si>
    <t>Any Below 40 Math</t>
  </si>
  <si>
    <t>✏️  EXERCISE — Write IF, IFS, AND, OR formulas on this data</t>
  </si>
  <si>
    <t>Q1: Write an IF formula to flag students who scored &gt; 85 average as 'Merit' else 'Standard' (Column K)</t>
  </si>
  <si>
    <t>Q2: Use AND to check if a student passed ALL 3 subjects AND has average &gt;= 70 (Column L)</t>
  </si>
  <si>
    <t>Q3: Use OR to find if any single subject score is &gt;= 95 (Column M)</t>
  </si>
  <si>
    <t>Q4: Use IFS to assign scholarship: avg&gt;=90→'Full', avg&gt;=80→'Half', avg&gt;=70→'25%', else 'None' (Column N)</t>
  </si>
  <si>
    <t>Q5: Use NOT to create a 'Needs Improvement' flag — NOT(passed AND grade is A or A+)</t>
  </si>
  <si>
    <t>Q6: Count how many students are in each grade (A+, A, B+, B, C, F) using COUNTIF</t>
  </si>
  <si>
    <t>💡  IFS replaces nested IF for multiple conditions. AND/OR can be nested inside IF for compound conditions.</t>
  </si>
  <si>
    <t xml:space="preserve">  📝  TEXT FUNCTIONS — LEFT, RIGHT, MID, LEN, TRIM, UPPER, LOWER, CONCAT, TEXTJOIN</t>
  </si>
  <si>
    <t xml:space="preserve">  Text functions manipulate, extract, combine and clean text strings. Essential for data cleaning in analytics.</t>
  </si>
  <si>
    <t xml:space="preserve">  SAMPLE DATA — Employee Records with Text Cleaning Needs</t>
  </si>
  <si>
    <t>Raw Full Name</t>
  </si>
  <si>
    <t>Email (Messy)</t>
  </si>
  <si>
    <t>Phone</t>
  </si>
  <si>
    <t>Dept Code</t>
  </si>
  <si>
    <t xml:space="preserve">  Aarav.Shah  </t>
  </si>
  <si>
    <t>MUMBAI</t>
  </si>
  <si>
    <t xml:space="preserve">  AARAV.SHAH@GMAIL.COM  </t>
  </si>
  <si>
    <t>9876543210</t>
  </si>
  <si>
    <t>SALES-MH-001</t>
  </si>
  <si>
    <t xml:space="preserve">  Diya.Sharma  </t>
  </si>
  <si>
    <t>DELHI</t>
  </si>
  <si>
    <t xml:space="preserve">diya.sharma@YAHOO.COM  </t>
  </si>
  <si>
    <t>8765432109</t>
  </si>
  <si>
    <t>MKT-DL-002</t>
  </si>
  <si>
    <t xml:space="preserve">  Vivaan.Reddy  </t>
  </si>
  <si>
    <t>BENGALURU</t>
  </si>
  <si>
    <t>vivaan.reddy@gmail.com</t>
  </si>
  <si>
    <t>7654321098</t>
  </si>
  <si>
    <t>SALES-KA-003</t>
  </si>
  <si>
    <t xml:space="preserve">  Ananya.Nair  </t>
  </si>
  <si>
    <t>HYDERABAD</t>
  </si>
  <si>
    <t>ANANYA.NAIR@OUTLOOK.COM</t>
  </si>
  <si>
    <t>6543210987</t>
  </si>
  <si>
    <t>HR-TS-004</t>
  </si>
  <si>
    <t xml:space="preserve">  Kabir.Mehta  </t>
  </si>
  <si>
    <t>CHENNAI</t>
  </si>
  <si>
    <t>kabir.mehta@gmail.com</t>
  </si>
  <si>
    <t>5432109876</t>
  </si>
  <si>
    <t>MKT-TN-005</t>
  </si>
  <si>
    <t xml:space="preserve">  Ishaan.Bose  </t>
  </si>
  <si>
    <t>KOLKATA</t>
  </si>
  <si>
    <t>ISHAAN.BOSE@GMAIL.COM</t>
  </si>
  <si>
    <t>4321098765</t>
  </si>
  <si>
    <t>SALES-WB-006</t>
  </si>
  <si>
    <t xml:space="preserve">  Myra.Joshi  </t>
  </si>
  <si>
    <t>PUNE</t>
  </si>
  <si>
    <t>myra.joshi@yahoo.com</t>
  </si>
  <si>
    <t>3210987654</t>
  </si>
  <si>
    <t>HR-MH-007</t>
  </si>
  <si>
    <t xml:space="preserve">  Aryan.Patel  </t>
  </si>
  <si>
    <t>AHMEDABAD</t>
  </si>
  <si>
    <t>aryan.patel@gmail.com</t>
  </si>
  <si>
    <t>2109876543</t>
  </si>
  <si>
    <t>SALES-GJ-008</t>
  </si>
  <si>
    <t xml:space="preserve">  FORMULA OUTPUTS — Cleaned &amp; Extracted Data</t>
  </si>
  <si>
    <t>Applied To</t>
  </si>
  <si>
    <t>Result Column</t>
  </si>
  <si>
    <t>Description</t>
  </si>
  <si>
    <t>Removes leading/trailing spaces</t>
  </si>
  <si>
    <t>Full Name</t>
  </si>
  <si>
    <t>Title case after trimming</t>
  </si>
  <si>
    <t>Extract First Name</t>
  </si>
  <si>
    <t>Extract Last Name</t>
  </si>
  <si>
    <t>Character count of cleaned name</t>
  </si>
  <si>
    <t>Uppercase city name</t>
  </si>
  <si>
    <t>Email</t>
  </si>
  <si>
    <t>Lowercase and trimmed email</t>
  </si>
  <si>
    <t>Last 10 digits of phone</t>
  </si>
  <si>
    <t>Extract department prefix (SALES, MKT, HR)</t>
  </si>
  <si>
    <t>Name</t>
  </si>
  <si>
    <t>Build company email</t>
  </si>
  <si>
    <t>Multiple</t>
  </si>
  <si>
    <t>Join Name+City+Dept</t>
  </si>
  <si>
    <t>Remove all spaces from email</t>
  </si>
  <si>
    <t xml:space="preserve">  FUNCTION QUICK REFERENCE</t>
  </si>
  <si>
    <t>Example</t>
  </si>
  <si>
    <t>Result</t>
  </si>
  <si>
    <t>Purpose</t>
  </si>
  <si>
    <t>LEFT</t>
  </si>
  <si>
    <t>Aarav</t>
  </si>
  <si>
    <t>Extract n chars from left</t>
  </si>
  <si>
    <t>RIGHT</t>
  </si>
  <si>
    <t>Shah</t>
  </si>
  <si>
    <t>Extract n chars from right</t>
  </si>
  <si>
    <t>MID</t>
  </si>
  <si>
    <t>Extract from middle</t>
  </si>
  <si>
    <t>LEN</t>
  </si>
  <si>
    <t>10</t>
  </si>
  <si>
    <t>Count characters</t>
  </si>
  <si>
    <t>TRIM</t>
  </si>
  <si>
    <t>Remove extra spaces</t>
  </si>
  <si>
    <t>UPPER</t>
  </si>
  <si>
    <t>AARAV</t>
  </si>
  <si>
    <t>All uppercase</t>
  </si>
  <si>
    <t>LOWER</t>
  </si>
  <si>
    <t>aarav</t>
  </si>
  <si>
    <t>All lowercase</t>
  </si>
  <si>
    <t>PROPER</t>
  </si>
  <si>
    <t>Capitalise each word</t>
  </si>
  <si>
    <t>CONCAT</t>
  </si>
  <si>
    <t>Join text without separator</t>
  </si>
  <si>
    <t>TEXTJOIN</t>
  </si>
  <si>
    <t>A, B</t>
  </si>
  <si>
    <t>Join with delimiter</t>
  </si>
  <si>
    <t>FIND</t>
  </si>
  <si>
    <t>6</t>
  </si>
  <si>
    <t>Position of character</t>
  </si>
  <si>
    <t>SUBSTITUTE</t>
  </si>
  <si>
    <t>A B</t>
  </si>
  <si>
    <t>Replace text</t>
  </si>
  <si>
    <t>✏️  EXERCISE — Clean and transform the raw employee data above</t>
  </si>
  <si>
    <t>Q1: Use TRIM to clean the spaces from column A (Raw Full Name) → write in column G</t>
  </si>
  <si>
    <t>Q2: Use LEFT + FIND to extract the First Name from the cleaned name → column H</t>
  </si>
  <si>
    <t>Q3: Use MID + FIND + LEN to extract the Last Name → column I</t>
  </si>
  <si>
    <t>Q4: Use LOWER + TRIM to clean the email addresses in column C → column J</t>
  </si>
  <si>
    <t>Q5: Use PROPER to convert city names from UPPERCASE to Proper Case → column K</t>
  </si>
  <si>
    <t>Q6: Build a company email: =LOWER(first_name)&amp;"."&amp;LOWER(last_name)&amp;"@business.in" → column L</t>
  </si>
  <si>
    <t>Q7: Use TEXTJOIN to create an employee ID card: "Name: X | City: Y | Dept: Z" → column M</t>
  </si>
  <si>
    <t>Q8: Use LEFT(E6, FIND("-",E6)-1) to extract just the department code prefix → column N</t>
  </si>
  <si>
    <t>💡  TRIM + PROPER + LOWER + FIND are the core data cleaning combo for text columns in any real dataset.</t>
  </si>
  <si>
    <t xml:space="preserve">  📅  DATE FUNCTIONS — TODAY, NOW, DATE, EDATE, DATEDIF, NETWORKDAYS</t>
  </si>
  <si>
    <t xml:space="preserve">  Date functions enable date arithmetic, tenure calculations, deadline tracking and business day counting.</t>
  </si>
  <si>
    <t xml:space="preserve">  SAMPLE DATA — Employee Join &amp; Project Dates</t>
  </si>
  <si>
    <t>Join Date</t>
  </si>
  <si>
    <t>Dept</t>
  </si>
  <si>
    <t>Project Start</t>
  </si>
  <si>
    <t>Project End</t>
  </si>
  <si>
    <t>Tenure (Days)</t>
  </si>
  <si>
    <t>Tenure (Years)</t>
  </si>
  <si>
    <t>Days to Delivery</t>
  </si>
  <si>
    <t>Working Days</t>
  </si>
  <si>
    <t xml:space="preserve">  DATE FUNCTION REFERENCE</t>
  </si>
  <si>
    <t>Live Result</t>
  </si>
  <si>
    <t>TODAY</t>
  </si>
  <si>
    <t>Today's date (auto-updates)</t>
  </si>
  <si>
    <t>NOW</t>
  </si>
  <si>
    <t>Current date + time</t>
  </si>
  <si>
    <t>DATE</t>
  </si>
  <si>
    <t>Construct a date from parts</t>
  </si>
  <si>
    <t>EDATE</t>
  </si>
  <si>
    <t>Date n months from start</t>
  </si>
  <si>
    <t>DATEDIF</t>
  </si>
  <si>
    <t>Difference in years, months, days</t>
  </si>
  <si>
    <t>NETWORKDAYS</t>
  </si>
  <si>
    <t>Working days between dates</t>
  </si>
  <si>
    <t>YEAR/MONTH/DAY</t>
  </si>
  <si>
    <t>Extract year/month/day part</t>
  </si>
  <si>
    <t>EOMONTH</t>
  </si>
  <si>
    <t>Last day of the month</t>
  </si>
  <si>
    <t>✏️  EXERCISE — Date calculations on employee and project data</t>
  </si>
  <si>
    <t>Q1: Calculate how many days each employee has been working (=TODAY()-JoinDate) → verify column G</t>
  </si>
  <si>
    <t>Q2: Use DATEDIF with 'YM' to get months AFTER the last full year of service</t>
  </si>
  <si>
    <t>Q3: Use EDATE to calculate the contract renewal date (6 months after join date) → column L</t>
  </si>
  <si>
    <t>Q4: Count how many projects are 'Due Soon' (delivery within 30 days) using COUNTIF on column K</t>
  </si>
  <si>
    <t>Q5: Use NETWORKDAYS to count working days remaining for each project</t>
  </si>
  <si>
    <t>Q6: Use YEAR(JoinDate) to group employees by the year they joined → COUNTIF by year</t>
  </si>
  <si>
    <t>Q7: Find the longest-serving employee using MIN(JoinDate) and DATEDIF</t>
  </si>
  <si>
    <t>Q8: Use EOMONTH(ProjectEnd,0) to confirm the project ends on the last day of the month</t>
  </si>
  <si>
    <t>💡  DATEDIF is undocumented in Excel help but fully functional. Use 'Y' for years, 'M' for months, 'D' for days, 'YM' for months after last full year.</t>
  </si>
  <si>
    <t xml:space="preserve">  🔢  MATH &amp; STAT FUNCTIONS — SUM, AVERAGE, COUNT, COUNTA, ROUND, INT, MOD</t>
  </si>
  <si>
    <t xml:space="preserve">  Math and statistical functions form the backbone of quantitative analysis in Excel.</t>
  </si>
  <si>
    <t xml:space="preserve">  SAMPLE DATA — Product Sales Data</t>
  </si>
  <si>
    <t>Product ID</t>
  </si>
  <si>
    <t>Product Name</t>
  </si>
  <si>
    <t>Category</t>
  </si>
  <si>
    <t>Unit Price (₹)</t>
  </si>
  <si>
    <t>Units Sold</t>
  </si>
  <si>
    <t>Revenue (₹)</t>
  </si>
  <si>
    <t>Discount %</t>
  </si>
  <si>
    <t>Net Revenue</t>
  </si>
  <si>
    <t>Tax (18%)</t>
  </si>
  <si>
    <t>Final Price</t>
  </si>
  <si>
    <t>P001</t>
  </si>
  <si>
    <t>iPhone 15</t>
  </si>
  <si>
    <t>Electronics</t>
  </si>
  <si>
    <t>P002</t>
  </si>
  <si>
    <t>Samsung S24</t>
  </si>
  <si>
    <t>P003</t>
  </si>
  <si>
    <t>OnePlus 12</t>
  </si>
  <si>
    <t>P004</t>
  </si>
  <si>
    <t>Nike Air Max</t>
  </si>
  <si>
    <t>Footwear</t>
  </si>
  <si>
    <t>P005</t>
  </si>
  <si>
    <t>Adidas Ultra</t>
  </si>
  <si>
    <t>P006</t>
  </si>
  <si>
    <t>Levi's Jeans</t>
  </si>
  <si>
    <t>Clothing</t>
  </si>
  <si>
    <t>P007</t>
  </si>
  <si>
    <t>H&amp;M Shirt</t>
  </si>
  <si>
    <t>P008</t>
  </si>
  <si>
    <t>Boat Earbuds</t>
  </si>
  <si>
    <t>P009</t>
  </si>
  <si>
    <t>Dell Laptop</t>
  </si>
  <si>
    <t>P010</t>
  </si>
  <si>
    <t>HP Printer</t>
  </si>
  <si>
    <t>P011</t>
  </si>
  <si>
    <t>Woodland Shoe</t>
  </si>
  <si>
    <t>P012</t>
  </si>
  <si>
    <t>Zara Dress</t>
  </si>
  <si>
    <t>P013</t>
  </si>
  <si>
    <t>Sony Headphone</t>
  </si>
  <si>
    <t>P014</t>
  </si>
  <si>
    <t>Puma Tshirt</t>
  </si>
  <si>
    <t>P015</t>
  </si>
  <si>
    <t>Fossil Watch</t>
  </si>
  <si>
    <t>Accessories</t>
  </si>
  <si>
    <t xml:space="preserve">  SUMMARY STATISTICS — All Math/Stat Functions Applied</t>
  </si>
  <si>
    <t>Metric</t>
  </si>
  <si>
    <t>Total Revenue</t>
  </si>
  <si>
    <t>Sum all revenue</t>
  </si>
  <si>
    <t>Total Net Revenue</t>
  </si>
  <si>
    <t>Sum discounted revenue</t>
  </si>
  <si>
    <t>Average Unit Price</t>
  </si>
  <si>
    <t>Mean unit price</t>
  </si>
  <si>
    <t>Average Units Sold</t>
  </si>
  <si>
    <t>Mean units (rounded)</t>
  </si>
  <si>
    <t>Count of Products</t>
  </si>
  <si>
    <t>Count numeric cells</t>
  </si>
  <si>
    <t>Count Non-Empty Names</t>
  </si>
  <si>
    <t>Count non-empty cells</t>
  </si>
  <si>
    <t>Max Revenue Product</t>
  </si>
  <si>
    <t>Highest revenue row</t>
  </si>
  <si>
    <t>Min Revenue Product</t>
  </si>
  <si>
    <t>Lowest revenue row</t>
  </si>
  <si>
    <t>ROUND(Tax, -3)</t>
  </si>
  <si>
    <t>Round to nearest 1000</t>
  </si>
  <si>
    <t>INT of Avg Price</t>
  </si>
  <si>
    <t>Integer part of average</t>
  </si>
  <si>
    <t>MOD(Units,10)</t>
  </si>
  <si>
    <t>Remainder of total units ÷ 10</t>
  </si>
  <si>
    <t>Electronics Revenue</t>
  </si>
  <si>
    <t>Category-specific sum</t>
  </si>
  <si>
    <t>✏️  EXERCISE — Math/Stat formulas on product data</t>
  </si>
  <si>
    <t>Q1: Calculate total revenue for each Category using SUMIF (Electronics, Footwear, Clothing, Accessories)</t>
  </si>
  <si>
    <t>Q2: Use AVERAGEIF to find the average discount % for Electronics products</t>
  </si>
  <si>
    <t>Q3: Use COUNTIF to count how many products have more than 100 units sold</t>
  </si>
  <si>
    <t>Q4: Use INT to calculate how many full thousands are in each product's revenue (=INT(Revenue/1000))</t>
  </si>
  <si>
    <t>Q5: Use MOD to flag products where Units Sold is divisible by 5 → MOD(E,5)=0</t>
  </si>
  <si>
    <t>Q6: Use ROUND with -2 to round all prices to nearest 100</t>
  </si>
  <si>
    <t>Q7: Use LARGE(range,1), LARGE(range,2), LARGE(range,3) to find Top 3 revenues</t>
  </si>
  <si>
    <t>Q8: Calculate the Gross Profit Margin: (Net Revenue - Cost) / Revenue where Cost = Price * 0.6</t>
  </si>
  <si>
    <t>💡  ROUND(n,-2) rounds to nearest 100. ROUND(n,-3) rounds to nearest 1000. INT removes decimal. MOD gives remainder.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</si>
</sst>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%"/>
    <numFmt numFmtId="166" formatCode="dd\-mmm\-yyyy"/>
    <numFmt numFmtId="167" formatCode="dd\-mmm\-yyyy\ hh:mm"/>
  </numFmts>
  <fonts count="2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374151"/>
      <name val="Arial"/>
      <family val="2"/>
    </font>
    <font>
      <b/>
      <sz val="10"/>
      <color rgb="FFFFFFFF"/>
      <name val="Arial"/>
      <family val="2"/>
    </font>
    <font>
      <b/>
      <sz val="10"/>
      <color rgb="FF2563EB"/>
      <name val="Arial"/>
      <family val="2"/>
    </font>
    <font>
      <sz val="10"/>
      <color rgb="FF374151"/>
      <name val="Arial"/>
      <family val="2"/>
    </font>
    <font>
      <b/>
      <sz val="10"/>
      <color rgb="FF059669"/>
      <name val="Arial"/>
      <family val="2"/>
    </font>
    <font>
      <sz val="10"/>
      <color rgb="FF2563EB"/>
      <name val="Courier New"/>
      <family val="1"/>
    </font>
    <font>
      <sz val="10"/>
      <color rgb="FF374151"/>
      <name val="Courier New"/>
      <family val="1"/>
    </font>
    <font>
      <b/>
      <sz val="10"/>
      <color rgb="FF7DD3FC"/>
      <name val="Courier New"/>
      <family val="1"/>
    </font>
    <font>
      <b/>
      <sz val="10"/>
      <color rgb="FF0EA5E9"/>
      <name val="Arial"/>
      <family val="2"/>
    </font>
    <font>
      <b/>
      <sz val="10"/>
      <color rgb="FFD97706"/>
      <name val="Arial"/>
      <family val="2"/>
    </font>
    <font>
      <sz val="9"/>
      <color rgb="FF374151"/>
      <name val="Arial"/>
      <family val="2"/>
    </font>
    <font>
      <i/>
      <sz val="9"/>
      <color rgb="FF059669"/>
      <name val="Arial"/>
      <family val="2"/>
    </font>
    <font>
      <b/>
      <sz val="10"/>
      <color rgb="FF374151"/>
      <name val="Arial"/>
      <family val="2"/>
    </font>
    <font>
      <sz val="10"/>
      <color rgb="FF7C3AED"/>
      <name val="Courier New"/>
      <family val="1"/>
    </font>
    <font>
      <b/>
      <sz val="10"/>
      <color rgb="FF7C3AED"/>
      <name val="Arial"/>
      <family val="2"/>
    </font>
    <font>
      <sz val="10"/>
      <color rgb="FF2563EB"/>
      <name val="Arial"/>
      <family val="2"/>
    </font>
    <font>
      <sz val="10"/>
      <color rgb="FF059669"/>
      <name val="Arial"/>
      <family val="2"/>
    </font>
    <font>
      <b/>
      <sz val="10"/>
      <color rgb="FF059669"/>
      <name val="Courier New"/>
      <family val="1"/>
    </font>
    <font>
      <b/>
      <sz val="10"/>
      <color rgb="FFEA580C"/>
      <name val="Arial"/>
      <family val="2"/>
    </font>
    <font>
      <sz val="10"/>
      <color rgb="FF059669"/>
      <name val="Courier New"/>
      <family val="1"/>
    </font>
    <font>
      <sz val="10"/>
      <color rgb="FF0EA5E9"/>
      <name val="Courier New"/>
      <family val="1"/>
    </font>
    <font>
      <b/>
      <sz val="10"/>
      <color rgb="FFDC2626"/>
      <name val="Arial"/>
      <family val="2"/>
    </font>
    <font>
      <b/>
      <sz val="10"/>
      <color rgb="FF0EA5E9"/>
      <name val="Courier New"/>
      <family val="1"/>
    </font>
    <font>
      <b/>
      <sz val="10"/>
      <color rgb="FF7C3AED"/>
      <name val="Courier New"/>
      <family val="1"/>
    </font>
    <font>
      <b/>
      <sz val="10"/>
      <color rgb="FF1B2A4A"/>
      <name val="Courier New"/>
      <family val="1"/>
    </font>
  </fonts>
  <fills count="1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0EA5E9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D97706"/>
      </patternFill>
    </fill>
    <fill>
      <patternFill patternType="solid">
        <fgColor rgb="FF059669"/>
      </patternFill>
    </fill>
    <fill>
      <patternFill patternType="solid">
        <fgColor rgb="FFEA580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165" fontId="7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/>
    </xf>
    <xf numFmtId="0" fontId="19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6" fontId="10" fillId="3" borderId="1" xfId="0" applyNumberFormat="1" applyFont="1" applyFill="1" applyBorder="1" applyAlignment="1">
      <alignment horizontal="center" vertical="center"/>
    </xf>
    <xf numFmtId="166" fontId="20" fillId="3" borderId="1" xfId="0" applyNumberFormat="1" applyFont="1" applyFill="1" applyBorder="1" applyAlignment="1">
      <alignment horizontal="center" vertical="center"/>
    </xf>
    <xf numFmtId="3" fontId="21" fillId="3" borderId="1" xfId="0" applyNumberFormat="1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3" fontId="7" fillId="3" borderId="1" xfId="0" applyNumberFormat="1" applyFont="1" applyFill="1" applyBorder="1" applyAlignment="1">
      <alignment horizontal="left" vertical="center" wrapText="1"/>
    </xf>
    <xf numFmtId="3" fontId="22" fillId="3" borderId="1" xfId="0" applyNumberFormat="1" applyFont="1" applyFill="1" applyBorder="1" applyAlignment="1">
      <alignment horizontal="left" vertical="center" wrapText="1"/>
    </xf>
    <xf numFmtId="166" fontId="5" fillId="4" borderId="1" xfId="0" applyNumberFormat="1" applyFont="1" applyFill="1" applyBorder="1" applyAlignment="1">
      <alignment horizontal="center" vertical="center"/>
    </xf>
    <xf numFmtId="166" fontId="10" fillId="4" borderId="1" xfId="0" applyNumberFormat="1" applyFont="1" applyFill="1" applyBorder="1" applyAlignment="1">
      <alignment horizontal="center" vertical="center"/>
    </xf>
    <xf numFmtId="166" fontId="20" fillId="4" borderId="1" xfId="0" applyNumberFormat="1" applyFont="1" applyFill="1" applyBorder="1" applyAlignment="1">
      <alignment horizontal="center" vertical="center"/>
    </xf>
    <xf numFmtId="3" fontId="21" fillId="4" borderId="1" xfId="0" applyNumberFormat="1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3" fontId="7" fillId="4" borderId="1" xfId="0" applyNumberFormat="1" applyFont="1" applyFill="1" applyBorder="1" applyAlignment="1">
      <alignment horizontal="left" vertical="center" wrapText="1"/>
    </xf>
    <xf numFmtId="3" fontId="22" fillId="4" borderId="1" xfId="0" applyNumberFormat="1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3" fontId="19" fillId="8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167" fontId="19" fillId="4" borderId="1" xfId="0" applyNumberFormat="1" applyFont="1" applyFill="1" applyBorder="1" applyAlignment="1">
      <alignment horizontal="center" vertical="center" wrapText="1"/>
    </xf>
    <xf numFmtId="166" fontId="19" fillId="8" borderId="1" xfId="0" applyNumberFormat="1" applyFont="1" applyFill="1" applyBorder="1" applyAlignment="1">
      <alignment horizontal="center" vertical="center" wrapText="1"/>
    </xf>
    <xf numFmtId="166" fontId="19" fillId="4" borderId="1" xfId="0" applyNumberFormat="1" applyFont="1" applyFill="1" applyBorder="1" applyAlignment="1">
      <alignment horizontal="center" vertical="center" wrapText="1"/>
    </xf>
    <xf numFmtId="3" fontId="19" fillId="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right" vertical="center"/>
    </xf>
    <xf numFmtId="164" fontId="19" fillId="3" borderId="1" xfId="0" applyNumberFormat="1" applyFont="1" applyFill="1" applyBorder="1" applyAlignment="1">
      <alignment horizontal="right" vertical="center" wrapText="1"/>
    </xf>
    <xf numFmtId="9" fontId="23" fillId="3" borderId="1" xfId="0" applyNumberFormat="1" applyFont="1" applyFill="1" applyBorder="1" applyAlignment="1">
      <alignment horizontal="center" vertical="center"/>
    </xf>
    <xf numFmtId="164" fontId="24" fillId="3" borderId="1" xfId="0" applyNumberFormat="1" applyFont="1" applyFill="1" applyBorder="1" applyAlignment="1">
      <alignment horizontal="right" vertical="center" wrapText="1"/>
    </xf>
    <xf numFmtId="164" fontId="25" fillId="3" borderId="1" xfId="0" applyNumberFormat="1" applyFont="1" applyFill="1" applyBorder="1" applyAlignment="1">
      <alignment horizontal="right" vertical="center" wrapText="1"/>
    </xf>
    <xf numFmtId="164" fontId="26" fillId="3" borderId="1" xfId="0" applyNumberFormat="1" applyFont="1" applyFill="1" applyBorder="1" applyAlignment="1">
      <alignment horizontal="right" vertical="center" wrapText="1"/>
    </xf>
    <xf numFmtId="0" fontId="20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19" fillId="4" borderId="1" xfId="0" applyNumberFormat="1" applyFont="1" applyFill="1" applyBorder="1" applyAlignment="1">
      <alignment horizontal="right" vertical="center" wrapText="1"/>
    </xf>
    <xf numFmtId="9" fontId="23" fillId="4" borderId="1" xfId="0" applyNumberFormat="1" applyFont="1" applyFill="1" applyBorder="1" applyAlignment="1">
      <alignment horizontal="center" vertical="center"/>
    </xf>
    <xf numFmtId="164" fontId="24" fillId="4" borderId="1" xfId="0" applyNumberFormat="1" applyFont="1" applyFill="1" applyBorder="1" applyAlignment="1">
      <alignment horizontal="right" vertical="center" wrapText="1"/>
    </xf>
    <xf numFmtId="164" fontId="25" fillId="4" borderId="1" xfId="0" applyNumberFormat="1" applyFont="1" applyFill="1" applyBorder="1" applyAlignment="1">
      <alignment horizontal="right" vertical="center" wrapText="1"/>
    </xf>
    <xf numFmtId="164" fontId="26" fillId="4" borderId="1" xfId="0" applyNumberFormat="1" applyFont="1" applyFill="1" applyBorder="1" applyAlignment="1">
      <alignment horizontal="right" vertical="center" wrapText="1"/>
    </xf>
    <xf numFmtId="0" fontId="11" fillId="8" borderId="1" xfId="0" applyFont="1" applyFill="1" applyBorder="1" applyAlignment="1">
      <alignment horizontal="left" vertical="center"/>
    </xf>
    <xf numFmtId="164" fontId="19" fillId="8" borderId="1" xfId="0" applyNumberFormat="1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left" vertical="center"/>
    </xf>
    <xf numFmtId="3" fontId="19" fillId="4" borderId="1" xfId="0" applyNumberFormat="1" applyFont="1" applyFill="1" applyBorder="1" applyAlignment="1">
      <alignment horizontal="right" vertical="center" wrapText="1"/>
    </xf>
    <xf numFmtId="3" fontId="19" fillId="8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/>
    <xf numFmtId="0" fontId="1" fillId="5" borderId="0" xfId="0" applyFont="1" applyFill="1" applyAlignment="1">
      <alignment horizontal="left" vertical="center"/>
    </xf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" fillId="10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H39"/>
  <sheetViews>
    <sheetView tabSelected="1" workbookViewId="0">
      <pane ySplit="2" topLeftCell="A3" activePane="bottomLeft" state="frozen"/>
      <selection pane="bottomLeft" activeCell="L18" sqref="L18"/>
    </sheetView>
  </sheetViews>
  <sheetFormatPr baseColWidth="10" defaultColWidth="8.83203125" defaultRowHeight="15" x14ac:dyDescent="0.2"/>
  <cols>
    <col min="1" max="1" width="9" customWidth="1"/>
    <col min="2" max="2" width="58.1640625" bestFit="1" customWidth="1"/>
    <col min="3" max="3" width="24" bestFit="1" customWidth="1"/>
    <col min="4" max="6" width="14" customWidth="1"/>
    <col min="7" max="7" width="13" customWidth="1"/>
    <col min="8" max="8" width="14" customWidth="1"/>
  </cols>
  <sheetData>
    <row r="1" spans="1:8" ht="22" customHeight="1" x14ac:dyDescent="0.2">
      <c r="A1" s="98" t="s">
        <v>0</v>
      </c>
      <c r="B1" s="95"/>
      <c r="C1" s="95"/>
      <c r="D1" s="95"/>
      <c r="E1" s="95"/>
      <c r="F1" s="95"/>
      <c r="G1" s="95"/>
      <c r="H1" s="95"/>
    </row>
    <row r="2" spans="1:8" ht="18" customHeight="1" x14ac:dyDescent="0.2">
      <c r="A2" s="102" t="s">
        <v>1</v>
      </c>
      <c r="B2" s="95"/>
      <c r="C2" s="95"/>
      <c r="D2" s="95"/>
      <c r="E2" s="95"/>
      <c r="F2" s="95"/>
      <c r="G2" s="95"/>
      <c r="H2" s="95"/>
    </row>
    <row r="3" spans="1:8" ht="8" customHeight="1" x14ac:dyDescent="0.2">
      <c r="A3" s="97"/>
      <c r="B3" s="95"/>
      <c r="C3" s="95"/>
      <c r="D3" s="95"/>
      <c r="E3" s="95"/>
      <c r="F3" s="95"/>
      <c r="G3" s="95"/>
      <c r="H3" s="95"/>
    </row>
    <row r="4" spans="1:8" ht="22" customHeight="1" x14ac:dyDescent="0.2">
      <c r="A4" s="96" t="s">
        <v>2</v>
      </c>
      <c r="B4" s="95"/>
      <c r="C4" s="95"/>
      <c r="D4" s="95"/>
      <c r="E4" s="95"/>
      <c r="F4" s="95"/>
      <c r="G4" s="95"/>
      <c r="H4" s="95"/>
    </row>
    <row r="5" spans="1:8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">
      <c r="A6" s="5" t="s">
        <v>11</v>
      </c>
      <c r="B6" s="6" t="s">
        <v>12</v>
      </c>
      <c r="C6" s="6" t="s">
        <v>13</v>
      </c>
      <c r="D6" s="6" t="s">
        <v>14</v>
      </c>
      <c r="E6" s="7">
        <v>285000</v>
      </c>
      <c r="F6" s="8">
        <v>250000</v>
      </c>
      <c r="G6" s="9">
        <f t="shared" ref="G6:G20" si="0">E6/F6</f>
        <v>1.1399999999999999</v>
      </c>
      <c r="H6" s="10" t="str">
        <f t="shared" ref="H6:H20" si="1">IF(G6&gt;=1,"✅ Achieved","❌ Missed")</f>
        <v>✅ Achieved</v>
      </c>
    </row>
    <row r="7" spans="1:8" x14ac:dyDescent="0.2">
      <c r="A7" s="11" t="s">
        <v>15</v>
      </c>
      <c r="B7" s="12" t="s">
        <v>16</v>
      </c>
      <c r="C7" s="12" t="s">
        <v>17</v>
      </c>
      <c r="D7" s="12" t="s">
        <v>14</v>
      </c>
      <c r="E7" s="13">
        <v>198000</v>
      </c>
      <c r="F7" s="14">
        <v>220000</v>
      </c>
      <c r="G7" s="15">
        <f t="shared" si="0"/>
        <v>0.9</v>
      </c>
      <c r="H7" s="16" t="str">
        <f t="shared" si="1"/>
        <v>❌ Missed</v>
      </c>
    </row>
    <row r="8" spans="1:8" x14ac:dyDescent="0.2">
      <c r="A8" s="5" t="s">
        <v>18</v>
      </c>
      <c r="B8" s="6" t="s">
        <v>19</v>
      </c>
      <c r="C8" s="6" t="s">
        <v>20</v>
      </c>
      <c r="D8" s="6" t="s">
        <v>21</v>
      </c>
      <c r="E8" s="7">
        <v>310000</v>
      </c>
      <c r="F8" s="8">
        <v>300000</v>
      </c>
      <c r="G8" s="9">
        <f t="shared" si="0"/>
        <v>1.0333333333333334</v>
      </c>
      <c r="H8" s="10" t="str">
        <f t="shared" si="1"/>
        <v>✅ Achieved</v>
      </c>
    </row>
    <row r="9" spans="1:8" x14ac:dyDescent="0.2">
      <c r="A9" s="11" t="s">
        <v>22</v>
      </c>
      <c r="B9" s="12" t="s">
        <v>23</v>
      </c>
      <c r="C9" s="12" t="s">
        <v>24</v>
      </c>
      <c r="D9" s="12" t="s">
        <v>14</v>
      </c>
      <c r="E9" s="13">
        <v>175000</v>
      </c>
      <c r="F9" s="14">
        <v>200000</v>
      </c>
      <c r="G9" s="15">
        <f t="shared" si="0"/>
        <v>0.875</v>
      </c>
      <c r="H9" s="16" t="str">
        <f t="shared" si="1"/>
        <v>❌ Missed</v>
      </c>
    </row>
    <row r="10" spans="1:8" x14ac:dyDescent="0.2">
      <c r="A10" s="5" t="s">
        <v>25</v>
      </c>
      <c r="B10" s="6" t="s">
        <v>26</v>
      </c>
      <c r="C10" s="6" t="s">
        <v>27</v>
      </c>
      <c r="D10" s="6" t="s">
        <v>21</v>
      </c>
      <c r="E10" s="7">
        <v>260000</v>
      </c>
      <c r="F10" s="8">
        <v>250000</v>
      </c>
      <c r="G10" s="9">
        <f t="shared" si="0"/>
        <v>1.04</v>
      </c>
      <c r="H10" s="10" t="str">
        <f t="shared" si="1"/>
        <v>✅ Achieved</v>
      </c>
    </row>
    <row r="11" spans="1:8" x14ac:dyDescent="0.2">
      <c r="A11" s="11" t="s">
        <v>28</v>
      </c>
      <c r="B11" s="12" t="s">
        <v>29</v>
      </c>
      <c r="C11" s="12" t="s">
        <v>30</v>
      </c>
      <c r="D11" s="12" t="s">
        <v>14</v>
      </c>
      <c r="E11" s="13">
        <v>340000</v>
      </c>
      <c r="F11" s="14">
        <v>300000</v>
      </c>
      <c r="G11" s="15">
        <f t="shared" si="0"/>
        <v>1.1333333333333333</v>
      </c>
      <c r="H11" s="16" t="str">
        <f t="shared" si="1"/>
        <v>✅ Achieved</v>
      </c>
    </row>
    <row r="12" spans="1:8" x14ac:dyDescent="0.2">
      <c r="A12" s="5" t="s">
        <v>31</v>
      </c>
      <c r="B12" s="6" t="s">
        <v>32</v>
      </c>
      <c r="C12" s="6" t="s">
        <v>33</v>
      </c>
      <c r="D12" s="6" t="s">
        <v>34</v>
      </c>
      <c r="E12" s="7">
        <v>95000</v>
      </c>
      <c r="F12" s="8">
        <v>100000</v>
      </c>
      <c r="G12" s="9">
        <f t="shared" si="0"/>
        <v>0.95</v>
      </c>
      <c r="H12" s="10" t="str">
        <f t="shared" si="1"/>
        <v>❌ Missed</v>
      </c>
    </row>
    <row r="13" spans="1:8" x14ac:dyDescent="0.2">
      <c r="A13" s="11" t="s">
        <v>35</v>
      </c>
      <c r="B13" s="12" t="s">
        <v>36</v>
      </c>
      <c r="C13" s="12" t="s">
        <v>37</v>
      </c>
      <c r="D13" s="12" t="s">
        <v>14</v>
      </c>
      <c r="E13" s="13">
        <v>215000</v>
      </c>
      <c r="F13" s="14">
        <v>220000</v>
      </c>
      <c r="G13" s="15">
        <f t="shared" si="0"/>
        <v>0.97727272727272729</v>
      </c>
      <c r="H13" s="16" t="str">
        <f t="shared" si="1"/>
        <v>❌ Missed</v>
      </c>
    </row>
    <row r="14" spans="1:8" x14ac:dyDescent="0.2">
      <c r="A14" s="5" t="s">
        <v>38</v>
      </c>
      <c r="B14" s="6" t="s">
        <v>39</v>
      </c>
      <c r="C14" s="6" t="s">
        <v>40</v>
      </c>
      <c r="D14" s="6" t="s">
        <v>21</v>
      </c>
      <c r="E14" s="7">
        <v>188000</v>
      </c>
      <c r="F14" s="8">
        <v>180000</v>
      </c>
      <c r="G14" s="9">
        <f t="shared" si="0"/>
        <v>1.0444444444444445</v>
      </c>
      <c r="H14" s="10" t="str">
        <f t="shared" si="1"/>
        <v>✅ Achieved</v>
      </c>
    </row>
    <row r="15" spans="1:8" x14ac:dyDescent="0.2">
      <c r="A15" s="11" t="s">
        <v>41</v>
      </c>
      <c r="B15" s="12" t="s">
        <v>42</v>
      </c>
      <c r="C15" s="12" t="s">
        <v>43</v>
      </c>
      <c r="D15" s="12" t="s">
        <v>14</v>
      </c>
      <c r="E15" s="13">
        <v>305000</v>
      </c>
      <c r="F15" s="14">
        <v>280000</v>
      </c>
      <c r="G15" s="15">
        <f t="shared" si="0"/>
        <v>1.0892857142857142</v>
      </c>
      <c r="H15" s="16" t="str">
        <f t="shared" si="1"/>
        <v>✅ Achieved</v>
      </c>
    </row>
    <row r="16" spans="1:8" x14ac:dyDescent="0.2">
      <c r="A16" s="5" t="s">
        <v>44</v>
      </c>
      <c r="B16" s="6" t="s">
        <v>45</v>
      </c>
      <c r="C16" s="6" t="s">
        <v>46</v>
      </c>
      <c r="D16" s="6" t="s">
        <v>34</v>
      </c>
      <c r="E16" s="7">
        <v>88000</v>
      </c>
      <c r="F16" s="8">
        <v>100000</v>
      </c>
      <c r="G16" s="9">
        <f t="shared" si="0"/>
        <v>0.88</v>
      </c>
      <c r="H16" s="10" t="str">
        <f t="shared" si="1"/>
        <v>❌ Missed</v>
      </c>
    </row>
    <row r="17" spans="1:8" x14ac:dyDescent="0.2">
      <c r="A17" s="11" t="s">
        <v>47</v>
      </c>
      <c r="B17" s="12" t="s">
        <v>48</v>
      </c>
      <c r="C17" s="12" t="s">
        <v>49</v>
      </c>
      <c r="D17" s="12" t="s">
        <v>14</v>
      </c>
      <c r="E17" s="13">
        <v>240000</v>
      </c>
      <c r="F17" s="14">
        <v>230000</v>
      </c>
      <c r="G17" s="15">
        <f t="shared" si="0"/>
        <v>1.0434782608695652</v>
      </c>
      <c r="H17" s="16" t="str">
        <f t="shared" si="1"/>
        <v>✅ Achieved</v>
      </c>
    </row>
    <row r="18" spans="1:8" x14ac:dyDescent="0.2">
      <c r="A18" s="5" t="s">
        <v>50</v>
      </c>
      <c r="B18" s="6" t="s">
        <v>51</v>
      </c>
      <c r="C18" s="6" t="s">
        <v>52</v>
      </c>
      <c r="D18" s="6" t="s">
        <v>21</v>
      </c>
      <c r="E18" s="7">
        <v>275000</v>
      </c>
      <c r="F18" s="8">
        <v>260000</v>
      </c>
      <c r="G18" s="9">
        <f t="shared" si="0"/>
        <v>1.0576923076923077</v>
      </c>
      <c r="H18" s="10" t="str">
        <f t="shared" si="1"/>
        <v>✅ Achieved</v>
      </c>
    </row>
    <row r="19" spans="1:8" x14ac:dyDescent="0.2">
      <c r="A19" s="11" t="s">
        <v>53</v>
      </c>
      <c r="B19" s="12" t="s">
        <v>54</v>
      </c>
      <c r="C19" s="12" t="s">
        <v>55</v>
      </c>
      <c r="D19" s="12" t="s">
        <v>14</v>
      </c>
      <c r="E19" s="13">
        <v>190000</v>
      </c>
      <c r="F19" s="14">
        <v>210000</v>
      </c>
      <c r="G19" s="15">
        <f t="shared" si="0"/>
        <v>0.90476190476190477</v>
      </c>
      <c r="H19" s="16" t="str">
        <f t="shared" si="1"/>
        <v>❌ Missed</v>
      </c>
    </row>
    <row r="20" spans="1:8" x14ac:dyDescent="0.2">
      <c r="A20" s="5" t="s">
        <v>56</v>
      </c>
      <c r="B20" s="6" t="s">
        <v>57</v>
      </c>
      <c r="C20" s="6" t="s">
        <v>58</v>
      </c>
      <c r="D20" s="6" t="s">
        <v>34</v>
      </c>
      <c r="E20" s="7">
        <v>110000</v>
      </c>
      <c r="F20" s="8">
        <v>100000</v>
      </c>
      <c r="G20" s="9">
        <f t="shared" si="0"/>
        <v>1.1000000000000001</v>
      </c>
      <c r="H20" s="10" t="str">
        <f t="shared" si="1"/>
        <v>✅ Achieved</v>
      </c>
    </row>
    <row r="21" spans="1:8" ht="20" customHeight="1" x14ac:dyDescent="0.2">
      <c r="A21" s="91"/>
      <c r="B21" s="104"/>
      <c r="C21" s="95"/>
      <c r="D21" s="95"/>
      <c r="E21" s="92"/>
      <c r="F21" s="92"/>
      <c r="G21" s="93"/>
      <c r="H21" s="94"/>
    </row>
    <row r="23" spans="1:8" ht="22" customHeight="1" x14ac:dyDescent="0.2">
      <c r="A23" s="99" t="s">
        <v>59</v>
      </c>
      <c r="B23" s="95"/>
      <c r="C23" s="95"/>
      <c r="D23" s="95"/>
      <c r="E23" s="95"/>
      <c r="F23" s="95"/>
      <c r="G23" s="95"/>
      <c r="H23" s="95"/>
    </row>
    <row r="24" spans="1:8" x14ac:dyDescent="0.2">
      <c r="A24" s="17" t="s">
        <v>60</v>
      </c>
      <c r="B24" s="17" t="s">
        <v>61</v>
      </c>
      <c r="C24" s="17" t="s">
        <v>62</v>
      </c>
    </row>
    <row r="25" spans="1:8" ht="20" customHeight="1" x14ac:dyDescent="0.2">
      <c r="A25" s="18" t="s">
        <v>63</v>
      </c>
      <c r="B25" s="19" t="s">
        <v>64</v>
      </c>
      <c r="C25" s="20" t="e">
        <f>Ctrl+T on any range</f>
        <v>#NAME?</v>
      </c>
    </row>
    <row r="26" spans="1:8" ht="20" customHeight="1" x14ac:dyDescent="0.2">
      <c r="A26" s="21" t="s">
        <v>65</v>
      </c>
      <c r="B26" s="2" t="s">
        <v>66</v>
      </c>
      <c r="C26" s="1" t="e">
        <f>SUM(#REF!)</f>
        <v>#REF!</v>
      </c>
    </row>
    <row r="27" spans="1:8" ht="20" customHeight="1" x14ac:dyDescent="0.2">
      <c r="A27" s="18" t="s">
        <v>67</v>
      </c>
      <c r="B27" s="19" t="s">
        <v>68</v>
      </c>
      <c r="C27" s="20" t="s">
        <v>69</v>
      </c>
    </row>
    <row r="28" spans="1:8" ht="20" customHeight="1" x14ac:dyDescent="0.2">
      <c r="A28" s="21" t="s">
        <v>70</v>
      </c>
      <c r="B28" s="2" t="s">
        <v>71</v>
      </c>
      <c r="C28" s="1" t="s">
        <v>72</v>
      </c>
    </row>
    <row r="29" spans="1:8" ht="20" customHeight="1" x14ac:dyDescent="0.2">
      <c r="A29" s="18" t="s">
        <v>73</v>
      </c>
      <c r="B29" s="19" t="s">
        <v>74</v>
      </c>
      <c r="C29" s="20" t="s">
        <v>75</v>
      </c>
    </row>
    <row r="31" spans="1:8" ht="20" customHeight="1" x14ac:dyDescent="0.2">
      <c r="A31" s="101" t="s">
        <v>76</v>
      </c>
      <c r="B31" s="95"/>
      <c r="C31" s="95"/>
      <c r="D31" s="95"/>
      <c r="E31" s="95"/>
      <c r="F31" s="95"/>
      <c r="G31" s="95"/>
      <c r="H31" s="95"/>
    </row>
    <row r="32" spans="1:8" ht="18" customHeight="1" x14ac:dyDescent="0.2">
      <c r="A32" s="100" t="s">
        <v>77</v>
      </c>
      <c r="B32" s="95"/>
      <c r="C32" s="95"/>
      <c r="D32" s="95"/>
      <c r="E32" s="95"/>
      <c r="F32" s="95"/>
      <c r="G32" s="95"/>
      <c r="H32" s="95"/>
    </row>
    <row r="33" spans="1:8" ht="18" customHeight="1" x14ac:dyDescent="0.2">
      <c r="A33" s="100" t="s">
        <v>78</v>
      </c>
      <c r="B33" s="95"/>
      <c r="C33" s="95"/>
      <c r="D33" s="95"/>
      <c r="E33" s="95"/>
      <c r="F33" s="95"/>
      <c r="G33" s="95"/>
      <c r="H33" s="95"/>
    </row>
    <row r="34" spans="1:8" ht="18" customHeight="1" x14ac:dyDescent="0.2">
      <c r="A34" s="100" t="s">
        <v>79</v>
      </c>
      <c r="B34" s="95"/>
      <c r="C34" s="95"/>
      <c r="D34" s="95"/>
      <c r="E34" s="95"/>
      <c r="F34" s="95"/>
      <c r="G34" s="95"/>
      <c r="H34" s="95"/>
    </row>
    <row r="35" spans="1:8" ht="18" customHeight="1" x14ac:dyDescent="0.2">
      <c r="A35" s="100" t="s">
        <v>80</v>
      </c>
      <c r="B35" s="95"/>
      <c r="C35" s="95"/>
      <c r="D35" s="95"/>
      <c r="E35" s="95"/>
      <c r="F35" s="95"/>
      <c r="G35" s="95"/>
      <c r="H35" s="95"/>
    </row>
    <row r="36" spans="1:8" ht="18" customHeight="1" x14ac:dyDescent="0.2">
      <c r="A36" s="100" t="s">
        <v>81</v>
      </c>
      <c r="B36" s="95"/>
      <c r="C36" s="95"/>
      <c r="D36" s="95"/>
      <c r="E36" s="95"/>
      <c r="F36" s="95"/>
      <c r="G36" s="95"/>
      <c r="H36" s="95"/>
    </row>
    <row r="37" spans="1:8" ht="18" customHeight="1" x14ac:dyDescent="0.2">
      <c r="A37" s="100" t="s">
        <v>82</v>
      </c>
      <c r="B37" s="95"/>
      <c r="C37" s="95"/>
      <c r="D37" s="95"/>
      <c r="E37" s="95"/>
      <c r="F37" s="95"/>
      <c r="G37" s="95"/>
      <c r="H37" s="95"/>
    </row>
    <row r="38" spans="1:8" ht="18" customHeight="1" x14ac:dyDescent="0.2">
      <c r="A38" s="100" t="s">
        <v>83</v>
      </c>
      <c r="B38" s="95"/>
      <c r="C38" s="95"/>
      <c r="D38" s="95"/>
      <c r="E38" s="95"/>
      <c r="F38" s="95"/>
      <c r="G38" s="95"/>
      <c r="H38" s="95"/>
    </row>
    <row r="39" spans="1:8" ht="16" customHeight="1" x14ac:dyDescent="0.2">
      <c r="A39" s="103" t="s">
        <v>84</v>
      </c>
      <c r="B39" s="95"/>
      <c r="C39" s="95"/>
      <c r="D39" s="95"/>
      <c r="E39" s="95"/>
      <c r="F39" s="95"/>
      <c r="G39" s="95"/>
      <c r="H39" s="95"/>
    </row>
  </sheetData>
  <mergeCells count="15">
    <mergeCell ref="A39:H39"/>
    <mergeCell ref="A35:H35"/>
    <mergeCell ref="A38:H38"/>
    <mergeCell ref="A36:H36"/>
    <mergeCell ref="B21:D21"/>
    <mergeCell ref="A37:H37"/>
    <mergeCell ref="A34:H34"/>
    <mergeCell ref="A33:H33"/>
    <mergeCell ref="A4:H4"/>
    <mergeCell ref="A3:H3"/>
    <mergeCell ref="A1:H1"/>
    <mergeCell ref="A23:H23"/>
    <mergeCell ref="A32:H32"/>
    <mergeCell ref="A31:H3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J42"/>
  <sheetViews>
    <sheetView workbookViewId="0">
      <pane ySplit="2" topLeftCell="A3" activePane="bottomLeft" state="frozen"/>
      <selection pane="bottomLeft" sqref="A1:J1"/>
    </sheetView>
  </sheetViews>
  <sheetFormatPr baseColWidth="10" defaultColWidth="8.83203125" defaultRowHeight="15" x14ac:dyDescent="0.2"/>
  <cols>
    <col min="1" max="1" width="6" customWidth="1"/>
    <col min="2" max="2" width="20" customWidth="1"/>
    <col min="3" max="3" width="19.33203125" bestFit="1" customWidth="1"/>
    <col min="4" max="4" width="25.1640625" bestFit="1" customWidth="1"/>
    <col min="5" max="8" width="9" customWidth="1"/>
    <col min="9" max="9" width="8" customWidth="1"/>
    <col min="10" max="10" width="12" customWidth="1"/>
  </cols>
  <sheetData>
    <row r="1" spans="1:10" ht="22" customHeight="1" x14ac:dyDescent="0.2">
      <c r="A1" s="98" t="s">
        <v>85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ht="18" customHeight="1" x14ac:dyDescent="0.2">
      <c r="A2" s="102" t="s">
        <v>86</v>
      </c>
      <c r="B2" s="95"/>
      <c r="C2" s="95"/>
      <c r="D2" s="95"/>
      <c r="E2" s="95"/>
      <c r="F2" s="95"/>
      <c r="G2" s="95"/>
      <c r="H2" s="95"/>
      <c r="I2" s="95"/>
      <c r="J2" s="95"/>
    </row>
    <row r="3" spans="1:10" ht="8" customHeight="1" x14ac:dyDescent="0.2">
      <c r="A3" s="97"/>
      <c r="B3" s="95"/>
      <c r="C3" s="95"/>
      <c r="D3" s="95"/>
      <c r="E3" s="95"/>
      <c r="F3" s="95"/>
      <c r="G3" s="95"/>
      <c r="H3" s="95"/>
      <c r="I3" s="95"/>
      <c r="J3" s="95"/>
    </row>
    <row r="4" spans="1:10" ht="22" customHeight="1" x14ac:dyDescent="0.2">
      <c r="A4" s="96" t="s">
        <v>87</v>
      </c>
      <c r="B4" s="95"/>
      <c r="C4" s="95"/>
      <c r="D4" s="95"/>
      <c r="E4" s="95"/>
      <c r="F4" s="95"/>
      <c r="G4" s="95"/>
      <c r="H4" s="95"/>
      <c r="I4" s="95"/>
      <c r="J4" s="95"/>
    </row>
    <row r="5" spans="1:10" x14ac:dyDescent="0.2">
      <c r="A5" s="4" t="s">
        <v>88</v>
      </c>
      <c r="B5" s="4" t="s">
        <v>89</v>
      </c>
      <c r="C5" s="4" t="s">
        <v>5</v>
      </c>
      <c r="D5" s="4" t="s">
        <v>90</v>
      </c>
      <c r="E5" s="4" t="s">
        <v>91</v>
      </c>
      <c r="F5" s="4" t="s">
        <v>92</v>
      </c>
      <c r="G5" s="4" t="s">
        <v>93</v>
      </c>
      <c r="H5" s="4" t="s">
        <v>94</v>
      </c>
      <c r="I5" s="4" t="s">
        <v>95</v>
      </c>
      <c r="J5" s="4" t="s">
        <v>96</v>
      </c>
    </row>
    <row r="6" spans="1:10" ht="18" customHeight="1" x14ac:dyDescent="0.2">
      <c r="A6" s="5">
        <v>1</v>
      </c>
      <c r="B6" s="6" t="s">
        <v>12</v>
      </c>
      <c r="C6" s="6" t="s">
        <v>13</v>
      </c>
      <c r="D6" s="22">
        <v>88</v>
      </c>
      <c r="E6" s="22">
        <v>92</v>
      </c>
      <c r="F6" s="22">
        <v>78</v>
      </c>
      <c r="G6" s="23">
        <f t="shared" ref="G6:G17" si="0">D6+E6+F6</f>
        <v>258</v>
      </c>
      <c r="H6" s="23">
        <f t="shared" ref="H6:H17" si="1">ROUND(G6/3,1)</f>
        <v>86</v>
      </c>
      <c r="I6" s="24" t="e">
        <f t="shared" ref="I6:I17" ca="1" si="2">_xludf.IFS(H6&gt;=90,"A+",H6&gt;=80,"A",H6&gt;=70,"B+",H6&gt;=60,"B",H6&gt;=50,"C",TRUE,"F")</f>
        <v>#NAME?</v>
      </c>
      <c r="J6" s="10" t="str">
        <f t="shared" ref="J6:J17" si="3">IF(AND(D6&gt;=40,E6&gt;=40,F6&gt;=40),"✅ Pass","❌ Fail")</f>
        <v>✅ Pass</v>
      </c>
    </row>
    <row r="7" spans="1:10" ht="18" customHeight="1" x14ac:dyDescent="0.2">
      <c r="A7" s="11">
        <v>2</v>
      </c>
      <c r="B7" s="12" t="s">
        <v>16</v>
      </c>
      <c r="C7" s="12" t="s">
        <v>17</v>
      </c>
      <c r="D7" s="25">
        <v>72</v>
      </c>
      <c r="E7" s="25">
        <v>68</v>
      </c>
      <c r="F7" s="25">
        <v>80</v>
      </c>
      <c r="G7" s="26">
        <f t="shared" si="0"/>
        <v>220</v>
      </c>
      <c r="H7" s="26">
        <f t="shared" si="1"/>
        <v>73.3</v>
      </c>
      <c r="I7" s="27" t="e">
        <f t="shared" ca="1" si="2"/>
        <v>#NAME?</v>
      </c>
      <c r="J7" s="16" t="str">
        <f t="shared" si="3"/>
        <v>✅ Pass</v>
      </c>
    </row>
    <row r="8" spans="1:10" ht="18" customHeight="1" x14ac:dyDescent="0.2">
      <c r="A8" s="5">
        <v>3</v>
      </c>
      <c r="B8" s="6" t="s">
        <v>19</v>
      </c>
      <c r="C8" s="6" t="s">
        <v>20</v>
      </c>
      <c r="D8" s="22">
        <v>95</v>
      </c>
      <c r="E8" s="22">
        <v>88</v>
      </c>
      <c r="F8" s="22">
        <v>92</v>
      </c>
      <c r="G8" s="23">
        <f t="shared" si="0"/>
        <v>275</v>
      </c>
      <c r="H8" s="23">
        <f t="shared" si="1"/>
        <v>91.7</v>
      </c>
      <c r="I8" s="24" t="e">
        <f t="shared" ca="1" si="2"/>
        <v>#NAME?</v>
      </c>
      <c r="J8" s="10" t="str">
        <f t="shared" si="3"/>
        <v>✅ Pass</v>
      </c>
    </row>
    <row r="9" spans="1:10" ht="18" customHeight="1" x14ac:dyDescent="0.2">
      <c r="A9" s="11">
        <v>4</v>
      </c>
      <c r="B9" s="12" t="s">
        <v>23</v>
      </c>
      <c r="C9" s="12" t="s">
        <v>24</v>
      </c>
      <c r="D9" s="25">
        <v>45</v>
      </c>
      <c r="E9" s="25">
        <v>58</v>
      </c>
      <c r="F9" s="25">
        <v>62</v>
      </c>
      <c r="G9" s="26">
        <f t="shared" si="0"/>
        <v>165</v>
      </c>
      <c r="H9" s="26">
        <f t="shared" si="1"/>
        <v>55</v>
      </c>
      <c r="I9" s="27" t="e">
        <f t="shared" ca="1" si="2"/>
        <v>#NAME?</v>
      </c>
      <c r="J9" s="16" t="str">
        <f t="shared" si="3"/>
        <v>✅ Pass</v>
      </c>
    </row>
    <row r="10" spans="1:10" ht="18" customHeight="1" x14ac:dyDescent="0.2">
      <c r="A10" s="5">
        <v>5</v>
      </c>
      <c r="B10" s="6" t="s">
        <v>26</v>
      </c>
      <c r="C10" s="6" t="s">
        <v>27</v>
      </c>
      <c r="D10" s="22">
        <v>78</v>
      </c>
      <c r="E10" s="22">
        <v>75</v>
      </c>
      <c r="F10" s="22">
        <v>80</v>
      </c>
      <c r="G10" s="23">
        <f t="shared" si="0"/>
        <v>233</v>
      </c>
      <c r="H10" s="23">
        <f t="shared" si="1"/>
        <v>77.7</v>
      </c>
      <c r="I10" s="24" t="e">
        <f t="shared" ca="1" si="2"/>
        <v>#NAME?</v>
      </c>
      <c r="J10" s="10" t="str">
        <f t="shared" si="3"/>
        <v>✅ Pass</v>
      </c>
    </row>
    <row r="11" spans="1:10" ht="18" customHeight="1" x14ac:dyDescent="0.2">
      <c r="A11" s="11">
        <v>6</v>
      </c>
      <c r="B11" s="12" t="s">
        <v>29</v>
      </c>
      <c r="C11" s="12" t="s">
        <v>30</v>
      </c>
      <c r="D11" s="25">
        <v>55</v>
      </c>
      <c r="E11" s="25">
        <v>60</v>
      </c>
      <c r="F11" s="25">
        <v>50</v>
      </c>
      <c r="G11" s="26">
        <f t="shared" si="0"/>
        <v>165</v>
      </c>
      <c r="H11" s="26">
        <f t="shared" si="1"/>
        <v>55</v>
      </c>
      <c r="I11" s="27" t="e">
        <f t="shared" ca="1" si="2"/>
        <v>#NAME?</v>
      </c>
      <c r="J11" s="16" t="str">
        <f t="shared" si="3"/>
        <v>✅ Pass</v>
      </c>
    </row>
    <row r="12" spans="1:10" ht="18" customHeight="1" x14ac:dyDescent="0.2">
      <c r="A12" s="5">
        <v>7</v>
      </c>
      <c r="B12" s="6" t="s">
        <v>32</v>
      </c>
      <c r="C12" s="6" t="s">
        <v>33</v>
      </c>
      <c r="D12" s="22">
        <v>91</v>
      </c>
      <c r="E12" s="22">
        <v>94</v>
      </c>
      <c r="F12" s="22">
        <v>89</v>
      </c>
      <c r="G12" s="23">
        <f t="shared" si="0"/>
        <v>274</v>
      </c>
      <c r="H12" s="23">
        <f t="shared" si="1"/>
        <v>91.3</v>
      </c>
      <c r="I12" s="24" t="e">
        <f t="shared" ca="1" si="2"/>
        <v>#NAME?</v>
      </c>
      <c r="J12" s="10" t="str">
        <f t="shared" si="3"/>
        <v>✅ Pass</v>
      </c>
    </row>
    <row r="13" spans="1:10" ht="18" customHeight="1" x14ac:dyDescent="0.2">
      <c r="A13" s="11">
        <v>8</v>
      </c>
      <c r="B13" s="12" t="s">
        <v>36</v>
      </c>
      <c r="C13" s="12" t="s">
        <v>37</v>
      </c>
      <c r="D13" s="25">
        <v>38</v>
      </c>
      <c r="E13" s="25">
        <v>45</v>
      </c>
      <c r="F13" s="25">
        <v>55</v>
      </c>
      <c r="G13" s="26">
        <f t="shared" si="0"/>
        <v>138</v>
      </c>
      <c r="H13" s="26">
        <f t="shared" si="1"/>
        <v>46</v>
      </c>
      <c r="I13" s="27" t="e">
        <f t="shared" ca="1" si="2"/>
        <v>#NAME?</v>
      </c>
      <c r="J13" s="16" t="str">
        <f t="shared" si="3"/>
        <v>❌ Fail</v>
      </c>
    </row>
    <row r="14" spans="1:10" ht="18" customHeight="1" x14ac:dyDescent="0.2">
      <c r="A14" s="5">
        <v>9</v>
      </c>
      <c r="B14" s="6" t="s">
        <v>39</v>
      </c>
      <c r="C14" s="6" t="s">
        <v>40</v>
      </c>
      <c r="D14" s="22">
        <v>82</v>
      </c>
      <c r="E14" s="22">
        <v>79</v>
      </c>
      <c r="F14" s="22">
        <v>76</v>
      </c>
      <c r="G14" s="23">
        <f t="shared" si="0"/>
        <v>237</v>
      </c>
      <c r="H14" s="23">
        <f t="shared" si="1"/>
        <v>79</v>
      </c>
      <c r="I14" s="24" t="e">
        <f t="shared" ca="1" si="2"/>
        <v>#NAME?</v>
      </c>
      <c r="J14" s="10" t="str">
        <f t="shared" si="3"/>
        <v>✅ Pass</v>
      </c>
    </row>
    <row r="15" spans="1:10" ht="18" customHeight="1" x14ac:dyDescent="0.2">
      <c r="A15" s="11">
        <v>10</v>
      </c>
      <c r="B15" s="12" t="s">
        <v>42</v>
      </c>
      <c r="C15" s="12" t="s">
        <v>43</v>
      </c>
      <c r="D15" s="25">
        <v>67</v>
      </c>
      <c r="E15" s="25">
        <v>70</v>
      </c>
      <c r="F15" s="25">
        <v>63</v>
      </c>
      <c r="G15" s="26">
        <f t="shared" si="0"/>
        <v>200</v>
      </c>
      <c r="H15" s="26">
        <f t="shared" si="1"/>
        <v>66.7</v>
      </c>
      <c r="I15" s="27" t="e">
        <f t="shared" ca="1" si="2"/>
        <v>#NAME?</v>
      </c>
      <c r="J15" s="16" t="str">
        <f t="shared" si="3"/>
        <v>✅ Pass</v>
      </c>
    </row>
    <row r="16" spans="1:10" ht="18" customHeight="1" x14ac:dyDescent="0.2">
      <c r="A16" s="5">
        <v>11</v>
      </c>
      <c r="B16" s="6" t="s">
        <v>45</v>
      </c>
      <c r="C16" s="6" t="s">
        <v>46</v>
      </c>
      <c r="D16" s="22">
        <v>99</v>
      </c>
      <c r="E16" s="22">
        <v>97</v>
      </c>
      <c r="F16" s="22">
        <v>95</v>
      </c>
      <c r="G16" s="23">
        <f t="shared" si="0"/>
        <v>291</v>
      </c>
      <c r="H16" s="23">
        <f t="shared" si="1"/>
        <v>97</v>
      </c>
      <c r="I16" s="24" t="e">
        <f t="shared" ca="1" si="2"/>
        <v>#NAME?</v>
      </c>
      <c r="J16" s="10" t="str">
        <f t="shared" si="3"/>
        <v>✅ Pass</v>
      </c>
    </row>
    <row r="17" spans="1:10" ht="18" customHeight="1" x14ac:dyDescent="0.2">
      <c r="A17" s="11">
        <v>12</v>
      </c>
      <c r="B17" s="12" t="s">
        <v>57</v>
      </c>
      <c r="C17" s="12" t="s">
        <v>58</v>
      </c>
      <c r="D17" s="25">
        <v>50</v>
      </c>
      <c r="E17" s="25">
        <v>55</v>
      </c>
      <c r="F17" s="25">
        <v>48</v>
      </c>
      <c r="G17" s="26">
        <f t="shared" si="0"/>
        <v>153</v>
      </c>
      <c r="H17" s="26">
        <f t="shared" si="1"/>
        <v>51</v>
      </c>
      <c r="I17" s="27" t="e">
        <f t="shared" ca="1" si="2"/>
        <v>#NAME?</v>
      </c>
      <c r="J17" s="16" t="str">
        <f t="shared" si="3"/>
        <v>✅ Pass</v>
      </c>
    </row>
    <row r="19" spans="1:10" ht="22" customHeight="1" x14ac:dyDescent="0.2">
      <c r="A19" s="105" t="s">
        <v>97</v>
      </c>
      <c r="B19" s="95"/>
      <c r="C19" s="95"/>
      <c r="D19" s="95"/>
      <c r="E19" s="95"/>
      <c r="F19" s="95"/>
      <c r="G19" s="95"/>
      <c r="H19" s="95"/>
      <c r="I19" s="95"/>
      <c r="J19" s="95"/>
    </row>
    <row r="20" spans="1:10" x14ac:dyDescent="0.2">
      <c r="A20" s="28" t="s">
        <v>98</v>
      </c>
      <c r="B20" s="28" t="s">
        <v>99</v>
      </c>
      <c r="C20" s="28" t="s">
        <v>100</v>
      </c>
      <c r="D20" s="28" t="s">
        <v>101</v>
      </c>
    </row>
    <row r="21" spans="1:10" ht="30" customHeight="1" x14ac:dyDescent="0.2">
      <c r="A21" s="29" t="s">
        <v>102</v>
      </c>
      <c r="B21" s="30" t="e">
        <f>IF(condition, value_if_true, value_if_false)</f>
        <v>#NAME?</v>
      </c>
      <c r="C21" s="31" t="str">
        <f>IF(H6&gt;=90,"A+","Below A+")</f>
        <v>Below A+</v>
      </c>
      <c r="D21" s="32" t="s">
        <v>103</v>
      </c>
    </row>
    <row r="22" spans="1:10" ht="30" customHeight="1" x14ac:dyDescent="0.2">
      <c r="A22" s="33" t="s">
        <v>104</v>
      </c>
      <c r="B22" s="34"/>
      <c r="C22" s="35"/>
      <c r="D22" s="2" t="s">
        <v>105</v>
      </c>
    </row>
    <row r="23" spans="1:10" ht="30" customHeight="1" x14ac:dyDescent="0.2">
      <c r="A23" s="29" t="s">
        <v>106</v>
      </c>
      <c r="B23" s="30"/>
      <c r="C23" s="31" t="b">
        <f>AND(D6&gt;=40, E6&gt;=40, F6&gt;=40)</f>
        <v>1</v>
      </c>
      <c r="D23" s="32" t="s">
        <v>107</v>
      </c>
    </row>
    <row r="24" spans="1:10" ht="30" customHeight="1" x14ac:dyDescent="0.2">
      <c r="A24" s="33" t="s">
        <v>108</v>
      </c>
      <c r="B24" s="34"/>
      <c r="C24" s="35" t="b">
        <f>OR(D6&gt;=90, E6&gt;=90, F6&gt;=90)</f>
        <v>1</v>
      </c>
      <c r="D24" s="2" t="s">
        <v>109</v>
      </c>
    </row>
    <row r="25" spans="1:10" ht="30" customHeight="1" x14ac:dyDescent="0.2">
      <c r="A25" s="29" t="s">
        <v>110</v>
      </c>
      <c r="B25" s="30" t="e">
        <f>NOT(condition)</f>
        <v>#NAME?</v>
      </c>
      <c r="C25" s="31" t="b">
        <f>NOT(J6="✅ Pass")</f>
        <v>0</v>
      </c>
      <c r="D25" s="32" t="s">
        <v>111</v>
      </c>
    </row>
    <row r="27" spans="1:10" ht="22" customHeight="1" x14ac:dyDescent="0.2">
      <c r="A27" s="99" t="s">
        <v>112</v>
      </c>
      <c r="B27" s="95"/>
      <c r="C27" s="95"/>
      <c r="D27" s="95"/>
      <c r="E27" s="95"/>
      <c r="F27" s="95"/>
      <c r="G27" s="95"/>
      <c r="H27" s="95"/>
      <c r="I27" s="95"/>
      <c r="J27" s="95"/>
    </row>
    <row r="28" spans="1:10" x14ac:dyDescent="0.2">
      <c r="A28" s="17" t="s">
        <v>113</v>
      </c>
      <c r="B28" s="17" t="s">
        <v>114</v>
      </c>
      <c r="C28" s="17" t="s">
        <v>115</v>
      </c>
    </row>
    <row r="29" spans="1:10" ht="18" customHeight="1" x14ac:dyDescent="0.2">
      <c r="A29" s="18" t="s">
        <v>116</v>
      </c>
      <c r="B29" s="36" t="str">
        <f>INDEX(B6:B17,MATCH(MAX(H6:H17),H6:H17,0))</f>
        <v>Ira Desai</v>
      </c>
      <c r="C29" s="37" t="str">
        <f>INDEX(B6:B17,MATCH(MAX(H6:H17),H6:H17,0))</f>
        <v>Ira Desai</v>
      </c>
    </row>
    <row r="30" spans="1:10" ht="18" customHeight="1" x14ac:dyDescent="0.2">
      <c r="A30" s="21" t="s">
        <v>117</v>
      </c>
      <c r="B30" s="26">
        <f>COUNTIF(J6:J17,"✅ Pass")</f>
        <v>11</v>
      </c>
      <c r="C30" s="38">
        <f>COUNTIF(J6:J17,"✅ Pass")</f>
        <v>11</v>
      </c>
    </row>
    <row r="31" spans="1:10" ht="18" customHeight="1" x14ac:dyDescent="0.2">
      <c r="A31" s="18" t="s">
        <v>118</v>
      </c>
      <c r="B31" s="36">
        <f ca="1">COUNTIF(I6:I17,"A+")</f>
        <v>0</v>
      </c>
      <c r="C31" s="37">
        <f ca="1">COUNTIF(I6:I17,"A+")</f>
        <v>0</v>
      </c>
    </row>
    <row r="32" spans="1:10" ht="18" customHeight="1" x14ac:dyDescent="0.2">
      <c r="A32" s="21" t="s">
        <v>119</v>
      </c>
      <c r="B32" s="26">
        <f>AVERAGEIF(J6:J17,"✅ Pass",H6:H17)</f>
        <v>74.88181818181819</v>
      </c>
      <c r="C32" s="38">
        <f>AVERAGEIF(J6:J17,"✅ Pass",H6:H17)</f>
        <v>74.88181818181819</v>
      </c>
    </row>
    <row r="33" spans="1:10" ht="18" customHeight="1" x14ac:dyDescent="0.2">
      <c r="A33" s="18" t="s">
        <v>120</v>
      </c>
      <c r="B33" s="36" t="str">
        <f>IF(COUNTIF(D6:D17,"&lt;40")&gt;0,"Yes — has failures","No — all passed")</f>
        <v>Yes — has failures</v>
      </c>
      <c r="C33" s="37" t="str">
        <f>IF(COUNTIF(D6:D17,"&lt;40")&gt;0,"Yes — has failures","No — all passed")</f>
        <v>Yes — has failures</v>
      </c>
    </row>
    <row r="35" spans="1:10" ht="20" customHeight="1" x14ac:dyDescent="0.2">
      <c r="A35" s="101" t="s">
        <v>121</v>
      </c>
      <c r="B35" s="95"/>
      <c r="C35" s="95"/>
      <c r="D35" s="95"/>
      <c r="E35" s="95"/>
      <c r="F35" s="95"/>
      <c r="G35" s="95"/>
      <c r="H35" s="95"/>
      <c r="I35" s="95"/>
      <c r="J35" s="95"/>
    </row>
    <row r="36" spans="1:10" ht="18" customHeight="1" x14ac:dyDescent="0.2">
      <c r="A36" s="100" t="s">
        <v>122</v>
      </c>
      <c r="B36" s="95"/>
      <c r="C36" s="95"/>
      <c r="D36" s="95"/>
      <c r="E36" s="95"/>
      <c r="F36" s="95"/>
      <c r="G36" s="95"/>
      <c r="H36" s="95"/>
      <c r="I36" s="95"/>
      <c r="J36" s="95"/>
    </row>
    <row r="37" spans="1:10" ht="18" customHeight="1" x14ac:dyDescent="0.2">
      <c r="A37" s="100" t="s">
        <v>123</v>
      </c>
      <c r="B37" s="95"/>
      <c r="C37" s="95"/>
      <c r="D37" s="95"/>
      <c r="E37" s="95"/>
      <c r="F37" s="95"/>
      <c r="G37" s="95"/>
      <c r="H37" s="95"/>
      <c r="I37" s="95"/>
      <c r="J37" s="95"/>
    </row>
    <row r="38" spans="1:10" ht="18" customHeight="1" x14ac:dyDescent="0.2">
      <c r="A38" s="100" t="s">
        <v>124</v>
      </c>
      <c r="B38" s="95"/>
      <c r="C38" s="95"/>
      <c r="D38" s="95"/>
      <c r="E38" s="95"/>
      <c r="F38" s="95"/>
      <c r="G38" s="95"/>
      <c r="H38" s="95"/>
      <c r="I38" s="95"/>
      <c r="J38" s="95"/>
    </row>
    <row r="39" spans="1:10" ht="18" customHeight="1" x14ac:dyDescent="0.2">
      <c r="A39" s="100" t="s">
        <v>125</v>
      </c>
      <c r="B39" s="95"/>
      <c r="C39" s="95"/>
      <c r="D39" s="95"/>
      <c r="E39" s="95"/>
      <c r="F39" s="95"/>
      <c r="G39" s="95"/>
      <c r="H39" s="95"/>
      <c r="I39" s="95"/>
      <c r="J39" s="95"/>
    </row>
    <row r="40" spans="1:10" ht="18" customHeight="1" x14ac:dyDescent="0.2">
      <c r="A40" s="100" t="s">
        <v>126</v>
      </c>
      <c r="B40" s="95"/>
      <c r="C40" s="95"/>
      <c r="D40" s="95"/>
      <c r="E40" s="95"/>
      <c r="F40" s="95"/>
      <c r="G40" s="95"/>
      <c r="H40" s="95"/>
      <c r="I40" s="95"/>
      <c r="J40" s="95"/>
    </row>
    <row r="41" spans="1:10" ht="18" customHeight="1" x14ac:dyDescent="0.2">
      <c r="A41" s="100" t="s">
        <v>127</v>
      </c>
      <c r="B41" s="95"/>
      <c r="C41" s="95"/>
      <c r="D41" s="95"/>
      <c r="E41" s="95"/>
      <c r="F41" s="95"/>
      <c r="G41" s="95"/>
      <c r="H41" s="95"/>
      <c r="I41" s="95"/>
      <c r="J41" s="95"/>
    </row>
    <row r="42" spans="1:10" ht="16" customHeight="1" x14ac:dyDescent="0.2">
      <c r="A42" s="103" t="s">
        <v>128</v>
      </c>
      <c r="B42" s="95"/>
      <c r="C42" s="95"/>
      <c r="D42" s="95"/>
      <c r="E42" s="95"/>
      <c r="F42" s="95"/>
      <c r="G42" s="95"/>
      <c r="H42" s="95"/>
      <c r="I42" s="95"/>
      <c r="J42" s="95"/>
    </row>
  </sheetData>
  <mergeCells count="14">
    <mergeCell ref="A42:J42"/>
    <mergeCell ref="A41:J41"/>
    <mergeCell ref="A19:J19"/>
    <mergeCell ref="A1:J1"/>
    <mergeCell ref="A37:J37"/>
    <mergeCell ref="A36:J36"/>
    <mergeCell ref="A40:J40"/>
    <mergeCell ref="A27:J27"/>
    <mergeCell ref="A3:J3"/>
    <mergeCell ref="A39:J39"/>
    <mergeCell ref="A35:J35"/>
    <mergeCell ref="A4:J4"/>
    <mergeCell ref="A38:J3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EA5E9"/>
  </sheetPr>
  <dimension ref="A1:J54"/>
  <sheetViews>
    <sheetView workbookViewId="0">
      <pane ySplit="2" topLeftCell="A3" activePane="bottomLeft" state="frozen"/>
      <selection pane="bottomLeft" sqref="A1:J1"/>
    </sheetView>
  </sheetViews>
  <sheetFormatPr baseColWidth="10" defaultColWidth="8.83203125" defaultRowHeight="15" x14ac:dyDescent="0.2"/>
  <cols>
    <col min="1" max="1" width="22" customWidth="1"/>
    <col min="2" max="2" width="13.33203125" bestFit="1" customWidth="1"/>
    <col min="3" max="3" width="27.5" bestFit="1" customWidth="1"/>
    <col min="4" max="4" width="36.1640625" bestFit="1" customWidth="1"/>
    <col min="5" max="5" width="16" customWidth="1"/>
    <col min="6" max="10" width="14" customWidth="1"/>
  </cols>
  <sheetData>
    <row r="1" spans="1:10" ht="22" customHeight="1" x14ac:dyDescent="0.2">
      <c r="A1" s="98" t="s">
        <v>129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ht="18" customHeight="1" x14ac:dyDescent="0.2">
      <c r="A2" s="102" t="s">
        <v>130</v>
      </c>
      <c r="B2" s="95"/>
      <c r="C2" s="95"/>
      <c r="D2" s="95"/>
      <c r="E2" s="95"/>
      <c r="F2" s="95"/>
      <c r="G2" s="95"/>
      <c r="H2" s="95"/>
      <c r="I2" s="95"/>
      <c r="J2" s="95"/>
    </row>
    <row r="3" spans="1:10" ht="8" customHeight="1" x14ac:dyDescent="0.2">
      <c r="A3" s="97"/>
      <c r="B3" s="95"/>
      <c r="C3" s="95"/>
      <c r="D3" s="95"/>
      <c r="E3" s="95"/>
      <c r="F3" s="95"/>
      <c r="G3" s="95"/>
      <c r="H3" s="95"/>
      <c r="I3" s="95"/>
      <c r="J3" s="95"/>
    </row>
    <row r="4" spans="1:10" ht="22" customHeight="1" x14ac:dyDescent="0.2">
      <c r="A4" s="99" t="s">
        <v>131</v>
      </c>
      <c r="B4" s="95"/>
      <c r="C4" s="95"/>
      <c r="D4" s="95"/>
      <c r="E4" s="95"/>
      <c r="F4" s="95"/>
      <c r="G4" s="95"/>
      <c r="H4" s="95"/>
      <c r="I4" s="95"/>
      <c r="J4" s="95"/>
    </row>
    <row r="5" spans="1:10" x14ac:dyDescent="0.2">
      <c r="A5" s="17" t="s">
        <v>132</v>
      </c>
      <c r="B5" s="17" t="s">
        <v>5</v>
      </c>
      <c r="C5" s="17" t="s">
        <v>133</v>
      </c>
      <c r="D5" s="17" t="s">
        <v>134</v>
      </c>
      <c r="E5" s="17" t="s">
        <v>135</v>
      </c>
    </row>
    <row r="6" spans="1:10" ht="18" customHeight="1" x14ac:dyDescent="0.2">
      <c r="A6" s="6" t="s">
        <v>136</v>
      </c>
      <c r="B6" s="6" t="s">
        <v>137</v>
      </c>
      <c r="C6" s="6" t="s">
        <v>138</v>
      </c>
      <c r="D6" s="6" t="s">
        <v>139</v>
      </c>
      <c r="E6" s="6" t="s">
        <v>140</v>
      </c>
    </row>
    <row r="7" spans="1:10" ht="18" customHeight="1" x14ac:dyDescent="0.2">
      <c r="A7" s="12" t="s">
        <v>141</v>
      </c>
      <c r="B7" s="12" t="s">
        <v>142</v>
      </c>
      <c r="C7" s="12" t="s">
        <v>143</v>
      </c>
      <c r="D7" s="12" t="s">
        <v>144</v>
      </c>
      <c r="E7" s="12" t="s">
        <v>145</v>
      </c>
    </row>
    <row r="8" spans="1:10" ht="18" customHeight="1" x14ac:dyDescent="0.2">
      <c r="A8" s="6" t="s">
        <v>146</v>
      </c>
      <c r="B8" s="6" t="s">
        <v>147</v>
      </c>
      <c r="C8" s="6" t="s">
        <v>148</v>
      </c>
      <c r="D8" s="6" t="s">
        <v>149</v>
      </c>
      <c r="E8" s="6" t="s">
        <v>150</v>
      </c>
    </row>
    <row r="9" spans="1:10" ht="18" customHeight="1" x14ac:dyDescent="0.2">
      <c r="A9" s="12" t="s">
        <v>151</v>
      </c>
      <c r="B9" s="12" t="s">
        <v>152</v>
      </c>
      <c r="C9" s="12" t="s">
        <v>153</v>
      </c>
      <c r="D9" s="12" t="s">
        <v>154</v>
      </c>
      <c r="E9" s="12" t="s">
        <v>155</v>
      </c>
    </row>
    <row r="10" spans="1:10" ht="18" customHeight="1" x14ac:dyDescent="0.2">
      <c r="A10" s="6" t="s">
        <v>156</v>
      </c>
      <c r="B10" s="6" t="s">
        <v>157</v>
      </c>
      <c r="C10" s="6" t="s">
        <v>158</v>
      </c>
      <c r="D10" s="6" t="s">
        <v>159</v>
      </c>
      <c r="E10" s="6" t="s">
        <v>160</v>
      </c>
    </row>
    <row r="11" spans="1:10" ht="18" customHeight="1" x14ac:dyDescent="0.2">
      <c r="A11" s="12" t="s">
        <v>161</v>
      </c>
      <c r="B11" s="12" t="s">
        <v>162</v>
      </c>
      <c r="C11" s="12" t="s">
        <v>163</v>
      </c>
      <c r="D11" s="12" t="s">
        <v>164</v>
      </c>
      <c r="E11" s="12" t="s">
        <v>165</v>
      </c>
    </row>
    <row r="12" spans="1:10" ht="18" customHeight="1" x14ac:dyDescent="0.2">
      <c r="A12" s="6" t="s">
        <v>166</v>
      </c>
      <c r="B12" s="6" t="s">
        <v>167</v>
      </c>
      <c r="C12" s="6" t="s">
        <v>168</v>
      </c>
      <c r="D12" s="6" t="s">
        <v>169</v>
      </c>
      <c r="E12" s="6" t="s">
        <v>170</v>
      </c>
    </row>
    <row r="13" spans="1:10" ht="18" customHeight="1" x14ac:dyDescent="0.2">
      <c r="A13" s="12" t="s">
        <v>171</v>
      </c>
      <c r="B13" s="12" t="s">
        <v>172</v>
      </c>
      <c r="C13" s="12" t="s">
        <v>173</v>
      </c>
      <c r="D13" s="12" t="s">
        <v>174</v>
      </c>
      <c r="E13" s="12" t="s">
        <v>175</v>
      </c>
    </row>
    <row r="15" spans="1:10" ht="22" customHeight="1" x14ac:dyDescent="0.2">
      <c r="A15" s="106" t="s">
        <v>176</v>
      </c>
      <c r="B15" s="95"/>
      <c r="C15" s="95"/>
      <c r="D15" s="95"/>
      <c r="E15" s="95"/>
      <c r="F15" s="95"/>
      <c r="G15" s="95"/>
      <c r="H15" s="95"/>
      <c r="I15" s="95"/>
      <c r="J15" s="95"/>
    </row>
    <row r="16" spans="1:10" x14ac:dyDescent="0.2">
      <c r="A16" s="39" t="s">
        <v>114</v>
      </c>
      <c r="B16" s="39" t="s">
        <v>177</v>
      </c>
      <c r="C16" s="39" t="s">
        <v>178</v>
      </c>
      <c r="D16" s="39" t="s">
        <v>179</v>
      </c>
    </row>
    <row r="17" spans="1:10" ht="22" customHeight="1" x14ac:dyDescent="0.2">
      <c r="A17" s="40" t="str">
        <f>TRIM(A6)</f>
        <v>Aarav.Shah</v>
      </c>
      <c r="B17" s="41" t="s">
        <v>132</v>
      </c>
      <c r="C17" s="42" t="str">
        <f>TRIM(A6)</f>
        <v>Aarav.Shah</v>
      </c>
      <c r="D17" s="43" t="s">
        <v>180</v>
      </c>
    </row>
    <row r="18" spans="1:10" ht="22" customHeight="1" x14ac:dyDescent="0.2">
      <c r="A18" s="26" t="str">
        <f>PROPER(TRIM(A6))</f>
        <v>Aarav.Shah</v>
      </c>
      <c r="B18" s="21" t="s">
        <v>181</v>
      </c>
      <c r="C18" s="44" t="str">
        <f>PROPER(TRIM(A6))</f>
        <v>Aarav.Shah</v>
      </c>
      <c r="D18" s="2" t="s">
        <v>182</v>
      </c>
    </row>
    <row r="19" spans="1:10" ht="22" customHeight="1" x14ac:dyDescent="0.2">
      <c r="A19" s="40" t="str">
        <f>LEFT(TRIM(A6),FIND(".",TRIM(A6))-1)</f>
        <v>Aarav</v>
      </c>
      <c r="B19" s="41" t="s">
        <v>181</v>
      </c>
      <c r="C19" s="42" t="str">
        <f>LEFT(TRIM(A6),FIND(".",TRIM(A6))-1)</f>
        <v>Aarav</v>
      </c>
      <c r="D19" s="43" t="s">
        <v>183</v>
      </c>
    </row>
    <row r="20" spans="1:10" ht="22" customHeight="1" x14ac:dyDescent="0.2">
      <c r="A20" s="26" t="str">
        <f>MID(TRIM(A6),FIND(".",TRIM(A6))+1,LEN(TRIM(A6)))</f>
        <v>Shah</v>
      </c>
      <c r="B20" s="21" t="s">
        <v>181</v>
      </c>
      <c r="C20" s="44" t="str">
        <f>MID(TRIM(A6),FIND(".",TRIM(A6))+1,LEN(TRIM(A6)))</f>
        <v>Shah</v>
      </c>
      <c r="D20" s="2" t="s">
        <v>184</v>
      </c>
    </row>
    <row r="21" spans="1:10" ht="22" customHeight="1" x14ac:dyDescent="0.2">
      <c r="A21" s="40">
        <f>LEN(TRIM(A6))</f>
        <v>10</v>
      </c>
      <c r="B21" s="41" t="s">
        <v>181</v>
      </c>
      <c r="C21" s="42">
        <f>LEN(TRIM(A6))</f>
        <v>10</v>
      </c>
      <c r="D21" s="43" t="s">
        <v>185</v>
      </c>
    </row>
    <row r="22" spans="1:10" ht="22" customHeight="1" x14ac:dyDescent="0.2">
      <c r="A22" s="26" t="str">
        <f>UPPER(B6)</f>
        <v>MUMBAI</v>
      </c>
      <c r="B22" s="21" t="s">
        <v>5</v>
      </c>
      <c r="C22" s="44" t="str">
        <f>UPPER(B6)</f>
        <v>MUMBAI</v>
      </c>
      <c r="D22" s="2" t="s">
        <v>186</v>
      </c>
    </row>
    <row r="23" spans="1:10" ht="22" customHeight="1" x14ac:dyDescent="0.2">
      <c r="A23" s="40" t="str">
        <f>LOWER(TRIM(C6))</f>
        <v>aarav.shah@gmail.com</v>
      </c>
      <c r="B23" s="41" t="s">
        <v>187</v>
      </c>
      <c r="C23" s="42" t="str">
        <f>LOWER(TRIM(C6))</f>
        <v>aarav.shah@gmail.com</v>
      </c>
      <c r="D23" s="43" t="s">
        <v>188</v>
      </c>
    </row>
    <row r="24" spans="1:10" ht="22" customHeight="1" x14ac:dyDescent="0.2">
      <c r="A24" s="26" t="str">
        <f>RIGHT(D6,10)</f>
        <v>9876543210</v>
      </c>
      <c r="B24" s="21" t="s">
        <v>134</v>
      </c>
      <c r="C24" s="44" t="str">
        <f>RIGHT(D6,10)</f>
        <v>9876543210</v>
      </c>
      <c r="D24" s="2" t="s">
        <v>189</v>
      </c>
    </row>
    <row r="25" spans="1:10" ht="22" customHeight="1" x14ac:dyDescent="0.2">
      <c r="A25" s="40" t="str">
        <f>LEFT(E6,FIND("-",E6)-1)</f>
        <v>SALES</v>
      </c>
      <c r="B25" s="41" t="s">
        <v>135</v>
      </c>
      <c r="C25" s="42" t="str">
        <f>LEFT(E6,FIND("-",E6)-1)</f>
        <v>SALES</v>
      </c>
      <c r="D25" s="43" t="s">
        <v>190</v>
      </c>
    </row>
    <row r="26" spans="1:10" ht="22" customHeight="1" x14ac:dyDescent="0.2">
      <c r="A26" s="26" t="e">
        <f ca="1">_xludf.CONCAT(LOWER(LEFT(TRIM(A6),4)),"@company.in")</f>
        <v>#NAME?</v>
      </c>
      <c r="B26" s="21" t="s">
        <v>191</v>
      </c>
      <c r="C26" s="44" t="e">
        <f ca="1">_xludf.CONCAT(LOWER(LEFT(TRIM(A6),4)),"@company.in")</f>
        <v>#NAME?</v>
      </c>
      <c r="D26" s="2" t="s">
        <v>192</v>
      </c>
    </row>
    <row r="27" spans="1:10" ht="22" customHeight="1" x14ac:dyDescent="0.2">
      <c r="A27" s="40" t="e">
        <f ca="1">_xludf.TEXTJOIN(" | ",TRUE,TRIM(A6),B6,LEFT(E6,FIND("-",E6)-1))</f>
        <v>#NAME?</v>
      </c>
      <c r="B27" s="41" t="s">
        <v>193</v>
      </c>
      <c r="C27" s="42" t="e">
        <f ca="1">_xludf.TEXTJOIN(" | ",TRUE,TRIM(A6),B6,LEFT(E6,FIND("-",E6)-1))</f>
        <v>#NAME?</v>
      </c>
      <c r="D27" s="43" t="s">
        <v>194</v>
      </c>
    </row>
    <row r="28" spans="1:10" ht="22" customHeight="1" x14ac:dyDescent="0.2">
      <c r="A28" s="26" t="str">
        <f>SUBSTITUTE(C6," ","")</f>
        <v>AARAV.SHAH@GMAIL.COM</v>
      </c>
      <c r="B28" s="21" t="s">
        <v>187</v>
      </c>
      <c r="C28" s="44" t="str">
        <f>SUBSTITUTE(C6," ","")</f>
        <v>AARAV.SHAH@GMAIL.COM</v>
      </c>
      <c r="D28" s="2" t="s">
        <v>195</v>
      </c>
    </row>
    <row r="30" spans="1:10" ht="22" customHeight="1" x14ac:dyDescent="0.2">
      <c r="A30" s="105" t="s">
        <v>196</v>
      </c>
      <c r="B30" s="95"/>
      <c r="C30" s="95"/>
      <c r="D30" s="95"/>
      <c r="E30" s="95"/>
      <c r="F30" s="95"/>
      <c r="G30" s="95"/>
      <c r="H30" s="95"/>
      <c r="I30" s="95"/>
      <c r="J30" s="95"/>
    </row>
    <row r="31" spans="1:10" x14ac:dyDescent="0.2">
      <c r="A31" s="28" t="s">
        <v>98</v>
      </c>
      <c r="B31" s="28" t="s">
        <v>99</v>
      </c>
      <c r="C31" s="28" t="s">
        <v>197</v>
      </c>
      <c r="D31" s="28" t="s">
        <v>198</v>
      </c>
      <c r="E31" s="28" t="s">
        <v>199</v>
      </c>
    </row>
    <row r="32" spans="1:10" ht="22" customHeight="1" x14ac:dyDescent="0.2">
      <c r="A32" s="29" t="s">
        <v>200</v>
      </c>
      <c r="B32" s="30" t="e">
        <f>LEFT(text, n)</f>
        <v>#NAME?</v>
      </c>
      <c r="C32" s="32" t="str">
        <f>LEFT("Aarav.Shah",5)</f>
        <v>Aarav</v>
      </c>
      <c r="D32" s="45" t="s">
        <v>201</v>
      </c>
      <c r="E32" s="32" t="s">
        <v>202</v>
      </c>
    </row>
    <row r="33" spans="1:10" ht="22" customHeight="1" x14ac:dyDescent="0.2">
      <c r="A33" s="33" t="s">
        <v>203</v>
      </c>
      <c r="B33" s="34" t="e">
        <f>RIGHT(text, n)</f>
        <v>#NAME?</v>
      </c>
      <c r="C33" s="2" t="str">
        <f>RIGHT("Aarav.Shah",4)</f>
        <v>Shah</v>
      </c>
      <c r="D33" s="46" t="s">
        <v>204</v>
      </c>
      <c r="E33" s="2" t="s">
        <v>205</v>
      </c>
    </row>
    <row r="34" spans="1:10" ht="22" customHeight="1" x14ac:dyDescent="0.2">
      <c r="A34" s="29" t="s">
        <v>206</v>
      </c>
      <c r="B34" s="30" t="e">
        <f>MID(text, start, n)</f>
        <v>#NAME?</v>
      </c>
      <c r="C34" s="32" t="str">
        <f>MID("Aarav.Shah",7,4)</f>
        <v>Shah</v>
      </c>
      <c r="D34" s="45" t="s">
        <v>204</v>
      </c>
      <c r="E34" s="32" t="s">
        <v>207</v>
      </c>
    </row>
    <row r="35" spans="1:10" ht="22" customHeight="1" x14ac:dyDescent="0.2">
      <c r="A35" s="33" t="s">
        <v>208</v>
      </c>
      <c r="B35" s="34" t="e">
        <f>LEN(text)</f>
        <v>#NAME?</v>
      </c>
      <c r="C35" s="2">
        <f>LEN("Aarav.Shah")</f>
        <v>10</v>
      </c>
      <c r="D35" s="46" t="s">
        <v>209</v>
      </c>
      <c r="E35" s="2" t="s">
        <v>210</v>
      </c>
    </row>
    <row r="36" spans="1:10" ht="22" customHeight="1" x14ac:dyDescent="0.2">
      <c r="A36" s="29" t="s">
        <v>211</v>
      </c>
      <c r="B36" s="30" t="e">
        <f>TRIM(text)</f>
        <v>#NAME?</v>
      </c>
      <c r="C36" s="32" t="str">
        <f>TRIM("  Aarav  ")</f>
        <v>Aarav</v>
      </c>
      <c r="D36" s="45" t="s">
        <v>201</v>
      </c>
      <c r="E36" s="32" t="s">
        <v>212</v>
      </c>
    </row>
    <row r="37" spans="1:10" ht="22" customHeight="1" x14ac:dyDescent="0.2">
      <c r="A37" s="33" t="s">
        <v>213</v>
      </c>
      <c r="B37" s="34" t="e">
        <f>UPPER(text)</f>
        <v>#NAME?</v>
      </c>
      <c r="C37" s="2" t="str">
        <f>UPPER("aarav")</f>
        <v>AARAV</v>
      </c>
      <c r="D37" s="46" t="s">
        <v>214</v>
      </c>
      <c r="E37" s="2" t="s">
        <v>215</v>
      </c>
    </row>
    <row r="38" spans="1:10" ht="22" customHeight="1" x14ac:dyDescent="0.2">
      <c r="A38" s="29" t="s">
        <v>216</v>
      </c>
      <c r="B38" s="30" t="e">
        <f>LOWER(text)</f>
        <v>#NAME?</v>
      </c>
      <c r="C38" s="32" t="str">
        <f>LOWER("AARAV")</f>
        <v>aarav</v>
      </c>
      <c r="D38" s="45" t="s">
        <v>217</v>
      </c>
      <c r="E38" s="32" t="s">
        <v>218</v>
      </c>
    </row>
    <row r="39" spans="1:10" ht="22" customHeight="1" x14ac:dyDescent="0.2">
      <c r="A39" s="33" t="s">
        <v>219</v>
      </c>
      <c r="B39" s="34" t="e">
        <f>PROPER(text)</f>
        <v>#NAME?</v>
      </c>
      <c r="C39" s="2" t="str">
        <f>PROPER("aarav shah")</f>
        <v>Aarav Shah</v>
      </c>
      <c r="D39" s="46" t="s">
        <v>12</v>
      </c>
      <c r="E39" s="2" t="s">
        <v>220</v>
      </c>
    </row>
    <row r="40" spans="1:10" ht="22" customHeight="1" x14ac:dyDescent="0.2">
      <c r="A40" s="29" t="s">
        <v>221</v>
      </c>
      <c r="B40" s="30"/>
      <c r="C40" s="32" t="e">
        <f ca="1">_xludf.CONCAT("Aarav"," ","Shah")</f>
        <v>#NAME?</v>
      </c>
      <c r="D40" s="45" t="s">
        <v>12</v>
      </c>
      <c r="E40" s="32" t="s">
        <v>222</v>
      </c>
    </row>
    <row r="41" spans="1:10" ht="22" customHeight="1" x14ac:dyDescent="0.2">
      <c r="A41" s="33" t="s">
        <v>223</v>
      </c>
      <c r="B41" s="34"/>
      <c r="C41" s="2" t="e">
        <f ca="1">_xludf.TEXTJOIN(", ",TRUE,A1,B1)</f>
        <v>#NAME?</v>
      </c>
      <c r="D41" s="46" t="s">
        <v>224</v>
      </c>
      <c r="E41" s="2" t="s">
        <v>225</v>
      </c>
    </row>
    <row r="42" spans="1:10" ht="22" customHeight="1" x14ac:dyDescent="0.2">
      <c r="A42" s="29" t="s">
        <v>226</v>
      </c>
      <c r="B42" s="30" t="e">
        <f>FIND(find, within)</f>
        <v>#NAME?</v>
      </c>
      <c r="C42" s="32">
        <f>FIND(".","Aarav.Shah")</f>
        <v>6</v>
      </c>
      <c r="D42" s="45" t="s">
        <v>227</v>
      </c>
      <c r="E42" s="32" t="s">
        <v>228</v>
      </c>
    </row>
    <row r="43" spans="1:10" ht="22" customHeight="1" x14ac:dyDescent="0.2">
      <c r="A43" s="33" t="s">
        <v>229</v>
      </c>
      <c r="B43" s="34" t="e">
        <f>SUBSTITUTE(text,old,new)</f>
        <v>#NAME?</v>
      </c>
      <c r="C43" s="2" t="str">
        <f>SUBSTITUTE("A.B","."," ")</f>
        <v>A B</v>
      </c>
      <c r="D43" s="46" t="s">
        <v>230</v>
      </c>
      <c r="E43" s="2" t="s">
        <v>231</v>
      </c>
    </row>
    <row r="45" spans="1:10" ht="20" customHeight="1" x14ac:dyDescent="0.2">
      <c r="A45" s="101" t="s">
        <v>232</v>
      </c>
      <c r="B45" s="95"/>
      <c r="C45" s="95"/>
      <c r="D45" s="95"/>
      <c r="E45" s="95"/>
      <c r="F45" s="95"/>
      <c r="G45" s="95"/>
      <c r="H45" s="95"/>
      <c r="I45" s="95"/>
      <c r="J45" s="95"/>
    </row>
    <row r="46" spans="1:10" ht="18" customHeight="1" x14ac:dyDescent="0.2">
      <c r="A46" s="100" t="s">
        <v>233</v>
      </c>
      <c r="B46" s="95"/>
      <c r="C46" s="95"/>
      <c r="D46" s="95"/>
      <c r="E46" s="95"/>
      <c r="F46" s="95"/>
      <c r="G46" s="95"/>
      <c r="H46" s="95"/>
      <c r="I46" s="95"/>
      <c r="J46" s="95"/>
    </row>
    <row r="47" spans="1:10" ht="18" customHeight="1" x14ac:dyDescent="0.2">
      <c r="A47" s="100" t="s">
        <v>234</v>
      </c>
      <c r="B47" s="95"/>
      <c r="C47" s="95"/>
      <c r="D47" s="95"/>
      <c r="E47" s="95"/>
      <c r="F47" s="95"/>
      <c r="G47" s="95"/>
      <c r="H47" s="95"/>
      <c r="I47" s="95"/>
      <c r="J47" s="95"/>
    </row>
    <row r="48" spans="1:10" ht="18" customHeight="1" x14ac:dyDescent="0.2">
      <c r="A48" s="100" t="s">
        <v>235</v>
      </c>
      <c r="B48" s="95"/>
      <c r="C48" s="95"/>
      <c r="D48" s="95"/>
      <c r="E48" s="95"/>
      <c r="F48" s="95"/>
      <c r="G48" s="95"/>
      <c r="H48" s="95"/>
      <c r="I48" s="95"/>
      <c r="J48" s="95"/>
    </row>
    <row r="49" spans="1:10" ht="18" customHeight="1" x14ac:dyDescent="0.2">
      <c r="A49" s="100" t="s">
        <v>236</v>
      </c>
      <c r="B49" s="95"/>
      <c r="C49" s="95"/>
      <c r="D49" s="95"/>
      <c r="E49" s="95"/>
      <c r="F49" s="95"/>
      <c r="G49" s="95"/>
      <c r="H49" s="95"/>
      <c r="I49" s="95"/>
      <c r="J49" s="95"/>
    </row>
    <row r="50" spans="1:10" ht="18" customHeight="1" x14ac:dyDescent="0.2">
      <c r="A50" s="100" t="s">
        <v>237</v>
      </c>
      <c r="B50" s="95"/>
      <c r="C50" s="95"/>
      <c r="D50" s="95"/>
      <c r="E50" s="95"/>
      <c r="F50" s="95"/>
      <c r="G50" s="95"/>
      <c r="H50" s="95"/>
      <c r="I50" s="95"/>
      <c r="J50" s="95"/>
    </row>
    <row r="51" spans="1:10" ht="18" customHeight="1" x14ac:dyDescent="0.2">
      <c r="A51" s="100" t="s">
        <v>238</v>
      </c>
      <c r="B51" s="95"/>
      <c r="C51" s="95"/>
      <c r="D51" s="95"/>
      <c r="E51" s="95"/>
      <c r="F51" s="95"/>
      <c r="G51" s="95"/>
      <c r="H51" s="95"/>
      <c r="I51" s="95"/>
      <c r="J51" s="95"/>
    </row>
    <row r="52" spans="1:10" ht="18" customHeight="1" x14ac:dyDescent="0.2">
      <c r="A52" s="100" t="s">
        <v>239</v>
      </c>
      <c r="B52" s="95"/>
      <c r="C52" s="95"/>
      <c r="D52" s="95"/>
      <c r="E52" s="95"/>
      <c r="F52" s="95"/>
      <c r="G52" s="95"/>
      <c r="H52" s="95"/>
      <c r="I52" s="95"/>
      <c r="J52" s="95"/>
    </row>
    <row r="53" spans="1:10" ht="18" customHeight="1" x14ac:dyDescent="0.2">
      <c r="A53" s="100" t="s">
        <v>240</v>
      </c>
      <c r="B53" s="95"/>
      <c r="C53" s="95"/>
      <c r="D53" s="95"/>
      <c r="E53" s="95"/>
      <c r="F53" s="95"/>
      <c r="G53" s="95"/>
      <c r="H53" s="95"/>
      <c r="I53" s="95"/>
      <c r="J53" s="95"/>
    </row>
    <row r="54" spans="1:10" ht="16" customHeight="1" x14ac:dyDescent="0.2">
      <c r="A54" s="103" t="s">
        <v>241</v>
      </c>
      <c r="B54" s="95"/>
      <c r="C54" s="95"/>
      <c r="D54" s="95"/>
      <c r="E54" s="95"/>
      <c r="F54" s="95"/>
      <c r="G54" s="95"/>
      <c r="H54" s="95"/>
      <c r="I54" s="95"/>
      <c r="J54" s="95"/>
    </row>
  </sheetData>
  <mergeCells count="16">
    <mergeCell ref="A1:J1"/>
    <mergeCell ref="A45:J45"/>
    <mergeCell ref="A46:J46"/>
    <mergeCell ref="A3:J3"/>
    <mergeCell ref="A30:J30"/>
    <mergeCell ref="A2:J2"/>
    <mergeCell ref="A54:J54"/>
    <mergeCell ref="A49:J49"/>
    <mergeCell ref="A53:J53"/>
    <mergeCell ref="A15:J15"/>
    <mergeCell ref="A4:J4"/>
    <mergeCell ref="A48:J48"/>
    <mergeCell ref="A50:J50"/>
    <mergeCell ref="A51:J51"/>
    <mergeCell ref="A52:J52"/>
    <mergeCell ref="A47:J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59669"/>
  </sheetPr>
  <dimension ref="A1:K3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14" customWidth="1"/>
    <col min="4" max="4" width="12" customWidth="1"/>
    <col min="5" max="7" width="14" customWidth="1"/>
    <col min="8" max="8" width="16" customWidth="1"/>
    <col min="9" max="11" width="14" customWidth="1"/>
  </cols>
  <sheetData>
    <row r="1" spans="1:11" ht="22" customHeight="1" x14ac:dyDescent="0.2">
      <c r="A1" s="98" t="s">
        <v>242</v>
      </c>
      <c r="B1" s="95"/>
      <c r="C1" s="95"/>
      <c r="D1" s="95"/>
      <c r="E1" s="95"/>
      <c r="F1" s="95"/>
      <c r="G1" s="95"/>
      <c r="H1" s="95"/>
      <c r="I1" s="95"/>
      <c r="J1" s="95"/>
    </row>
    <row r="2" spans="1:11" ht="18" customHeight="1" x14ac:dyDescent="0.2">
      <c r="A2" s="102" t="s">
        <v>243</v>
      </c>
      <c r="B2" s="95"/>
      <c r="C2" s="95"/>
      <c r="D2" s="95"/>
      <c r="E2" s="95"/>
      <c r="F2" s="95"/>
      <c r="G2" s="95"/>
      <c r="H2" s="95"/>
      <c r="I2" s="95"/>
      <c r="J2" s="95"/>
    </row>
    <row r="3" spans="1:11" ht="8" customHeight="1" x14ac:dyDescent="0.2">
      <c r="A3" s="97"/>
      <c r="B3" s="95"/>
      <c r="C3" s="95"/>
      <c r="D3" s="95"/>
      <c r="E3" s="95"/>
      <c r="F3" s="95"/>
      <c r="G3" s="95"/>
      <c r="H3" s="95"/>
      <c r="I3" s="95"/>
      <c r="J3" s="95"/>
    </row>
    <row r="4" spans="1:11" ht="22" customHeight="1" x14ac:dyDescent="0.2">
      <c r="A4" s="107" t="s">
        <v>244</v>
      </c>
      <c r="B4" s="95"/>
      <c r="C4" s="95"/>
      <c r="D4" s="95"/>
      <c r="E4" s="95"/>
      <c r="F4" s="95"/>
      <c r="G4" s="95"/>
      <c r="H4" s="95"/>
      <c r="I4" s="95"/>
      <c r="J4" s="95"/>
    </row>
    <row r="5" spans="1:11" x14ac:dyDescent="0.2">
      <c r="A5" s="47" t="s">
        <v>3</v>
      </c>
      <c r="B5" s="47" t="s">
        <v>4</v>
      </c>
      <c r="C5" s="47" t="s">
        <v>245</v>
      </c>
      <c r="D5" s="47" t="s">
        <v>246</v>
      </c>
      <c r="E5" s="47" t="s">
        <v>247</v>
      </c>
      <c r="F5" s="47" t="s">
        <v>248</v>
      </c>
      <c r="G5" s="47" t="s">
        <v>249</v>
      </c>
      <c r="H5" s="47" t="s">
        <v>250</v>
      </c>
      <c r="I5" s="47" t="s">
        <v>251</v>
      </c>
      <c r="J5" s="47" t="s">
        <v>252</v>
      </c>
      <c r="K5" s="47" t="s">
        <v>10</v>
      </c>
    </row>
    <row r="6" spans="1:11" ht="20" customHeight="1" x14ac:dyDescent="0.2">
      <c r="A6" s="5" t="s">
        <v>11</v>
      </c>
      <c r="B6" s="6" t="s">
        <v>12</v>
      </c>
      <c r="C6" s="48">
        <v>43936</v>
      </c>
      <c r="D6" s="6" t="s">
        <v>14</v>
      </c>
      <c r="E6" s="49">
        <v>45301</v>
      </c>
      <c r="F6" s="50">
        <v>45473</v>
      </c>
      <c r="G6" s="51">
        <f t="shared" ref="G6:G15" ca="1" si="0">TODAY()-C6</f>
        <v>2178</v>
      </c>
      <c r="H6" s="52" t="str">
        <f t="shared" ref="H6:H15" ca="1" si="1">DATEDIF(C6,TODAY(),"Y")&amp;" yrs "&amp;DATEDIF(C6,TODAY(),"YM")&amp;" mo"</f>
        <v>5 yrs 11 mo</v>
      </c>
      <c r="I6" s="53">
        <f t="shared" ref="I6:I15" ca="1" si="2">F6-TODAY()</f>
        <v>-641</v>
      </c>
      <c r="J6" s="54">
        <f t="shared" ref="J6:J15" si="3">NETWORKDAYS(E6,F6)</f>
        <v>123</v>
      </c>
      <c r="K6" s="10" t="str">
        <f t="shared" ref="K6:K15" ca="1" si="4">IF(F6&lt;TODAY(),"✅ Completed",IF(F6-TODAY()&lt;=30,"⚠️ Due Soon","🔵 In Progress"))</f>
        <v>✅ Completed</v>
      </c>
    </row>
    <row r="7" spans="1:11" ht="20" customHeight="1" x14ac:dyDescent="0.2">
      <c r="A7" s="11" t="s">
        <v>15</v>
      </c>
      <c r="B7" s="12" t="s">
        <v>16</v>
      </c>
      <c r="C7" s="55">
        <v>44378</v>
      </c>
      <c r="D7" s="12" t="s">
        <v>21</v>
      </c>
      <c r="E7" s="56">
        <v>45323</v>
      </c>
      <c r="F7" s="57">
        <v>45519</v>
      </c>
      <c r="G7" s="58">
        <f t="shared" ca="1" si="0"/>
        <v>1736</v>
      </c>
      <c r="H7" s="59" t="str">
        <f t="shared" ca="1" si="1"/>
        <v>4 yrs 9 mo</v>
      </c>
      <c r="I7" s="60">
        <f t="shared" ca="1" si="2"/>
        <v>-595</v>
      </c>
      <c r="J7" s="61">
        <f t="shared" si="3"/>
        <v>141</v>
      </c>
      <c r="K7" s="16" t="str">
        <f t="shared" ca="1" si="4"/>
        <v>✅ Completed</v>
      </c>
    </row>
    <row r="8" spans="1:11" ht="20" customHeight="1" x14ac:dyDescent="0.2">
      <c r="A8" s="5" t="s">
        <v>18</v>
      </c>
      <c r="B8" s="6" t="s">
        <v>19</v>
      </c>
      <c r="C8" s="48">
        <v>43485</v>
      </c>
      <c r="D8" s="6" t="s">
        <v>14</v>
      </c>
      <c r="E8" s="49">
        <v>45306</v>
      </c>
      <c r="F8" s="50">
        <v>45443</v>
      </c>
      <c r="G8" s="51">
        <f t="shared" ca="1" si="0"/>
        <v>2629</v>
      </c>
      <c r="H8" s="52" t="str">
        <f t="shared" ca="1" si="1"/>
        <v>7 yrs 2 mo</v>
      </c>
      <c r="I8" s="53">
        <f t="shared" ca="1" si="2"/>
        <v>-671</v>
      </c>
      <c r="J8" s="54">
        <f t="shared" si="3"/>
        <v>100</v>
      </c>
      <c r="K8" s="10" t="str">
        <f t="shared" ca="1" si="4"/>
        <v>✅ Completed</v>
      </c>
    </row>
    <row r="9" spans="1:11" ht="20" customHeight="1" x14ac:dyDescent="0.2">
      <c r="A9" s="11" t="s">
        <v>22</v>
      </c>
      <c r="B9" s="12" t="s">
        <v>23</v>
      </c>
      <c r="C9" s="55">
        <v>44870</v>
      </c>
      <c r="D9" s="12" t="s">
        <v>34</v>
      </c>
      <c r="E9" s="56">
        <v>45352</v>
      </c>
      <c r="F9" s="57">
        <v>45565</v>
      </c>
      <c r="G9" s="58">
        <f t="shared" ca="1" si="0"/>
        <v>1244</v>
      </c>
      <c r="H9" s="59" t="str">
        <f t="shared" ca="1" si="1"/>
        <v>3 yrs 4 mo</v>
      </c>
      <c r="I9" s="60">
        <f t="shared" ca="1" si="2"/>
        <v>-549</v>
      </c>
      <c r="J9" s="61">
        <f t="shared" si="3"/>
        <v>152</v>
      </c>
      <c r="K9" s="16" t="str">
        <f t="shared" ca="1" si="4"/>
        <v>✅ Completed</v>
      </c>
    </row>
    <row r="10" spans="1:11" ht="20" customHeight="1" x14ac:dyDescent="0.2">
      <c r="A10" s="5" t="s">
        <v>25</v>
      </c>
      <c r="B10" s="6" t="s">
        <v>26</v>
      </c>
      <c r="C10" s="48">
        <v>43263</v>
      </c>
      <c r="D10" s="6" t="s">
        <v>21</v>
      </c>
      <c r="E10" s="49">
        <v>45311</v>
      </c>
      <c r="F10" s="50">
        <v>45493</v>
      </c>
      <c r="G10" s="51">
        <f t="shared" ca="1" si="0"/>
        <v>2851</v>
      </c>
      <c r="H10" s="52" t="str">
        <f t="shared" ca="1" si="1"/>
        <v>7 yrs 9 mo</v>
      </c>
      <c r="I10" s="53">
        <f t="shared" ca="1" si="2"/>
        <v>-621</v>
      </c>
      <c r="J10" s="54">
        <f t="shared" si="3"/>
        <v>130</v>
      </c>
      <c r="K10" s="10" t="str">
        <f t="shared" ca="1" si="4"/>
        <v>✅ Completed</v>
      </c>
    </row>
    <row r="11" spans="1:11" ht="20" customHeight="1" x14ac:dyDescent="0.2">
      <c r="A11" s="11" t="s">
        <v>28</v>
      </c>
      <c r="B11" s="12" t="s">
        <v>29</v>
      </c>
      <c r="C11" s="55">
        <v>44985</v>
      </c>
      <c r="D11" s="12" t="s">
        <v>14</v>
      </c>
      <c r="E11" s="56">
        <v>45383</v>
      </c>
      <c r="F11" s="57">
        <v>45596</v>
      </c>
      <c r="G11" s="58">
        <f t="shared" ca="1" si="0"/>
        <v>1129</v>
      </c>
      <c r="H11" s="59" t="str">
        <f t="shared" ca="1" si="1"/>
        <v>3 yrs 1 mo</v>
      </c>
      <c r="I11" s="60">
        <f t="shared" ca="1" si="2"/>
        <v>-518</v>
      </c>
      <c r="J11" s="61">
        <f t="shared" si="3"/>
        <v>154</v>
      </c>
      <c r="K11" s="16" t="str">
        <f t="shared" ca="1" si="4"/>
        <v>✅ Completed</v>
      </c>
    </row>
    <row r="12" spans="1:11" ht="20" customHeight="1" x14ac:dyDescent="0.2">
      <c r="A12" s="5" t="s">
        <v>31</v>
      </c>
      <c r="B12" s="6" t="s">
        <v>32</v>
      </c>
      <c r="C12" s="48">
        <v>44075</v>
      </c>
      <c r="D12" s="6" t="s">
        <v>34</v>
      </c>
      <c r="E12" s="49">
        <v>45337</v>
      </c>
      <c r="F12" s="50">
        <v>45535</v>
      </c>
      <c r="G12" s="51">
        <f t="shared" ca="1" si="0"/>
        <v>2039</v>
      </c>
      <c r="H12" s="52" t="str">
        <f t="shared" ca="1" si="1"/>
        <v>5 yrs 7 mo</v>
      </c>
      <c r="I12" s="53">
        <f t="shared" ca="1" si="2"/>
        <v>-579</v>
      </c>
      <c r="J12" s="54">
        <f t="shared" si="3"/>
        <v>142</v>
      </c>
      <c r="K12" s="10" t="str">
        <f t="shared" ca="1" si="4"/>
        <v>✅ Completed</v>
      </c>
    </row>
    <row r="13" spans="1:11" ht="20" customHeight="1" x14ac:dyDescent="0.2">
      <c r="A13" s="11" t="s">
        <v>35</v>
      </c>
      <c r="B13" s="12" t="s">
        <v>36</v>
      </c>
      <c r="C13" s="55">
        <v>44265</v>
      </c>
      <c r="D13" s="12" t="s">
        <v>14</v>
      </c>
      <c r="E13" s="56">
        <v>45361</v>
      </c>
      <c r="F13" s="57">
        <v>45626</v>
      </c>
      <c r="G13" s="58">
        <f t="shared" ca="1" si="0"/>
        <v>1849</v>
      </c>
      <c r="H13" s="59" t="str">
        <f t="shared" ca="1" si="1"/>
        <v>5 yrs 0 mo</v>
      </c>
      <c r="I13" s="60">
        <f t="shared" ca="1" si="2"/>
        <v>-488</v>
      </c>
      <c r="J13" s="61">
        <f t="shared" si="3"/>
        <v>190</v>
      </c>
      <c r="K13" s="16" t="str">
        <f t="shared" ca="1" si="4"/>
        <v>✅ Completed</v>
      </c>
    </row>
    <row r="14" spans="1:11" ht="20" customHeight="1" x14ac:dyDescent="0.2">
      <c r="A14" s="5" t="s">
        <v>38</v>
      </c>
      <c r="B14" s="6" t="s">
        <v>39</v>
      </c>
      <c r="C14" s="48">
        <v>42972</v>
      </c>
      <c r="D14" s="6" t="s">
        <v>21</v>
      </c>
      <c r="E14" s="49">
        <v>45296</v>
      </c>
      <c r="F14" s="50">
        <v>45458</v>
      </c>
      <c r="G14" s="51">
        <f t="shared" ca="1" si="0"/>
        <v>3142</v>
      </c>
      <c r="H14" s="52" t="str">
        <f t="shared" ca="1" si="1"/>
        <v>8 yrs 7 mo</v>
      </c>
      <c r="I14" s="53">
        <f t="shared" ca="1" si="2"/>
        <v>-656</v>
      </c>
      <c r="J14" s="54">
        <f t="shared" si="3"/>
        <v>116</v>
      </c>
      <c r="K14" s="10" t="str">
        <f t="shared" ca="1" si="4"/>
        <v>✅ Completed</v>
      </c>
    </row>
    <row r="15" spans="1:11" ht="20" customHeight="1" x14ac:dyDescent="0.2">
      <c r="A15" s="11" t="s">
        <v>41</v>
      </c>
      <c r="B15" s="12" t="s">
        <v>42</v>
      </c>
      <c r="C15" s="55">
        <v>44695</v>
      </c>
      <c r="D15" s="12" t="s">
        <v>14</v>
      </c>
      <c r="E15" s="56">
        <v>45402</v>
      </c>
      <c r="F15" s="57">
        <v>45657</v>
      </c>
      <c r="G15" s="58">
        <f t="shared" ca="1" si="0"/>
        <v>1419</v>
      </c>
      <c r="H15" s="59" t="str">
        <f t="shared" ca="1" si="1"/>
        <v>3 yrs 10 mo</v>
      </c>
      <c r="I15" s="60">
        <f t="shared" ca="1" si="2"/>
        <v>-457</v>
      </c>
      <c r="J15" s="61">
        <f t="shared" si="3"/>
        <v>182</v>
      </c>
      <c r="K15" s="16" t="str">
        <f t="shared" ca="1" si="4"/>
        <v>✅ Completed</v>
      </c>
    </row>
    <row r="17" spans="1:10" ht="22" customHeight="1" x14ac:dyDescent="0.2">
      <c r="A17" s="106" t="s">
        <v>253</v>
      </c>
      <c r="B17" s="95"/>
      <c r="C17" s="95"/>
      <c r="D17" s="95"/>
      <c r="E17" s="95"/>
      <c r="F17" s="95"/>
      <c r="G17" s="95"/>
      <c r="H17" s="95"/>
      <c r="I17" s="95"/>
      <c r="J17" s="95"/>
    </row>
    <row r="18" spans="1:10" x14ac:dyDescent="0.2">
      <c r="A18" s="39" t="s">
        <v>98</v>
      </c>
      <c r="B18" s="39" t="s">
        <v>99</v>
      </c>
      <c r="C18" s="39" t="s">
        <v>197</v>
      </c>
      <c r="D18" s="39" t="s">
        <v>254</v>
      </c>
      <c r="E18" s="39" t="s">
        <v>101</v>
      </c>
    </row>
    <row r="19" spans="1:10" ht="24" customHeight="1" x14ac:dyDescent="0.2">
      <c r="A19" s="62" t="s">
        <v>255</v>
      </c>
      <c r="B19" s="63">
        <f ca="1">TODAY()</f>
        <v>46114</v>
      </c>
      <c r="C19" s="64">
        <f ca="1">TODAY()</f>
        <v>46114</v>
      </c>
      <c r="D19" s="65">
        <f ca="1">TODAY()</f>
        <v>46114</v>
      </c>
      <c r="E19" s="43" t="s">
        <v>256</v>
      </c>
    </row>
    <row r="20" spans="1:10" ht="24" customHeight="1" x14ac:dyDescent="0.2">
      <c r="A20" s="66" t="s">
        <v>257</v>
      </c>
      <c r="B20" s="34">
        <f ca="1">NOW()</f>
        <v>46114.883532523148</v>
      </c>
      <c r="C20" s="16">
        <f ca="1">NOW()</f>
        <v>46114.883532523148</v>
      </c>
      <c r="D20" s="67">
        <f ca="1">NOW()</f>
        <v>46114.883532523148</v>
      </c>
      <c r="E20" s="2" t="s">
        <v>258</v>
      </c>
    </row>
    <row r="21" spans="1:10" ht="24" customHeight="1" x14ac:dyDescent="0.2">
      <c r="A21" s="62" t="s">
        <v>259</v>
      </c>
      <c r="B21" s="63" t="e">
        <f>DATE(year,month,day)</f>
        <v>#NAME?</v>
      </c>
      <c r="C21" s="64">
        <f>DATE(2024,8,15)</f>
        <v>45519</v>
      </c>
      <c r="D21" s="68">
        <f>DATE(2024,8,15)</f>
        <v>45519</v>
      </c>
      <c r="E21" s="43" t="s">
        <v>260</v>
      </c>
    </row>
    <row r="22" spans="1:10" ht="24" customHeight="1" x14ac:dyDescent="0.2">
      <c r="A22" s="66" t="s">
        <v>261</v>
      </c>
      <c r="B22" s="34" t="e">
        <f>EDATE(start_date, months)</f>
        <v>#NAME?</v>
      </c>
      <c r="C22" s="16">
        <f ca="1">EDATE(TODAY(),3)</f>
        <v>46205</v>
      </c>
      <c r="D22" s="69">
        <f ca="1">EDATE(TODAY(),3)</f>
        <v>46205</v>
      </c>
      <c r="E22" s="2" t="s">
        <v>262</v>
      </c>
    </row>
    <row r="23" spans="1:10" ht="24" customHeight="1" x14ac:dyDescent="0.2">
      <c r="A23" s="62" t="s">
        <v>263</v>
      </c>
      <c r="B23" s="63" t="e">
        <f>DATEDIF(start,end,"Y"/"M"/"D")</f>
        <v>#NAME?</v>
      </c>
      <c r="C23" s="64">
        <f ca="1">DATEDIF(DATE(2020,4,15),TODAY(),"Y")</f>
        <v>5</v>
      </c>
      <c r="D23" s="65">
        <f ca="1">DATEDIF(DATE(2020,4,15),TODAY(),"Y")</f>
        <v>5</v>
      </c>
      <c r="E23" s="43" t="s">
        <v>264</v>
      </c>
    </row>
    <row r="24" spans="1:10" ht="24" customHeight="1" x14ac:dyDescent="0.2">
      <c r="A24" s="66" t="s">
        <v>265</v>
      </c>
      <c r="B24" s="34" t="e">
        <f>NETWORKDAYS(start,end,#REF!)</f>
        <v>#NAME?</v>
      </c>
      <c r="C24" s="16">
        <f>NETWORKDAYS(DATE(2024,1,1),DATE(2024,12,31))</f>
        <v>262</v>
      </c>
      <c r="D24" s="70">
        <f>NETWORKDAYS(DATE(2024,1,1),DATE(2024,12,31))</f>
        <v>262</v>
      </c>
      <c r="E24" s="2" t="s">
        <v>266</v>
      </c>
    </row>
    <row r="25" spans="1:10" ht="24" customHeight="1" x14ac:dyDescent="0.2">
      <c r="A25" s="62" t="s">
        <v>267</v>
      </c>
      <c r="B25" s="63"/>
      <c r="C25" s="64">
        <f ca="1">YEAR(TODAY())</f>
        <v>2026</v>
      </c>
      <c r="D25" s="65">
        <f ca="1">YEAR(TODAY())</f>
        <v>2026</v>
      </c>
      <c r="E25" s="43" t="s">
        <v>268</v>
      </c>
    </row>
    <row r="26" spans="1:10" ht="24" customHeight="1" x14ac:dyDescent="0.2">
      <c r="A26" s="66" t="s">
        <v>269</v>
      </c>
      <c r="B26" s="34" t="e">
        <f>EOMONTH(start_date, months)</f>
        <v>#NAME?</v>
      </c>
      <c r="C26" s="16">
        <f ca="1">EOMONTH(TODAY(),0)</f>
        <v>46142</v>
      </c>
      <c r="D26" s="69">
        <f ca="1">EOMONTH(TODAY(),0)</f>
        <v>46142</v>
      </c>
      <c r="E26" s="2" t="s">
        <v>270</v>
      </c>
    </row>
    <row r="28" spans="1:10" ht="20" customHeight="1" x14ac:dyDescent="0.2">
      <c r="A28" s="101" t="s">
        <v>271</v>
      </c>
      <c r="B28" s="95"/>
      <c r="C28" s="95"/>
      <c r="D28" s="95"/>
      <c r="E28" s="95"/>
      <c r="F28" s="95"/>
      <c r="G28" s="95"/>
      <c r="H28" s="95"/>
      <c r="I28" s="95"/>
      <c r="J28" s="95"/>
    </row>
    <row r="29" spans="1:10" ht="18" customHeight="1" x14ac:dyDescent="0.2">
      <c r="A29" s="100" t="s">
        <v>272</v>
      </c>
      <c r="B29" s="95"/>
      <c r="C29" s="95"/>
      <c r="D29" s="95"/>
      <c r="E29" s="95"/>
      <c r="F29" s="95"/>
      <c r="G29" s="95"/>
      <c r="H29" s="95"/>
      <c r="I29" s="95"/>
      <c r="J29" s="95"/>
    </row>
    <row r="30" spans="1:10" ht="18" customHeight="1" x14ac:dyDescent="0.2">
      <c r="A30" s="100" t="s">
        <v>273</v>
      </c>
      <c r="B30" s="95"/>
      <c r="C30" s="95"/>
      <c r="D30" s="95"/>
      <c r="E30" s="95"/>
      <c r="F30" s="95"/>
      <c r="G30" s="95"/>
      <c r="H30" s="95"/>
      <c r="I30" s="95"/>
      <c r="J30" s="95"/>
    </row>
    <row r="31" spans="1:10" ht="18" customHeight="1" x14ac:dyDescent="0.2">
      <c r="A31" s="100" t="s">
        <v>274</v>
      </c>
      <c r="B31" s="95"/>
      <c r="C31" s="95"/>
      <c r="D31" s="95"/>
      <c r="E31" s="95"/>
      <c r="F31" s="95"/>
      <c r="G31" s="95"/>
      <c r="H31" s="95"/>
      <c r="I31" s="95"/>
      <c r="J31" s="95"/>
    </row>
    <row r="32" spans="1:10" ht="18" customHeight="1" x14ac:dyDescent="0.2">
      <c r="A32" s="100" t="s">
        <v>275</v>
      </c>
      <c r="B32" s="95"/>
      <c r="C32" s="95"/>
      <c r="D32" s="95"/>
      <c r="E32" s="95"/>
      <c r="F32" s="95"/>
      <c r="G32" s="95"/>
      <c r="H32" s="95"/>
      <c r="I32" s="95"/>
      <c r="J32" s="95"/>
    </row>
    <row r="33" spans="1:10" ht="18" customHeight="1" x14ac:dyDescent="0.2">
      <c r="A33" s="100" t="s">
        <v>276</v>
      </c>
      <c r="B33" s="95"/>
      <c r="C33" s="95"/>
      <c r="D33" s="95"/>
      <c r="E33" s="95"/>
      <c r="F33" s="95"/>
      <c r="G33" s="95"/>
      <c r="H33" s="95"/>
      <c r="I33" s="95"/>
      <c r="J33" s="95"/>
    </row>
    <row r="34" spans="1:10" ht="18" customHeight="1" x14ac:dyDescent="0.2">
      <c r="A34" s="100" t="s">
        <v>277</v>
      </c>
      <c r="B34" s="95"/>
      <c r="C34" s="95"/>
      <c r="D34" s="95"/>
      <c r="E34" s="95"/>
      <c r="F34" s="95"/>
      <c r="G34" s="95"/>
      <c r="H34" s="95"/>
      <c r="I34" s="95"/>
      <c r="J34" s="95"/>
    </row>
    <row r="35" spans="1:10" ht="18" customHeight="1" x14ac:dyDescent="0.2">
      <c r="A35" s="100" t="s">
        <v>278</v>
      </c>
      <c r="B35" s="95"/>
      <c r="C35" s="95"/>
      <c r="D35" s="95"/>
      <c r="E35" s="95"/>
      <c r="F35" s="95"/>
      <c r="G35" s="95"/>
      <c r="H35" s="95"/>
      <c r="I35" s="95"/>
      <c r="J35" s="95"/>
    </row>
    <row r="36" spans="1:10" ht="18" customHeight="1" x14ac:dyDescent="0.2">
      <c r="A36" s="100" t="s">
        <v>279</v>
      </c>
      <c r="B36" s="95"/>
      <c r="C36" s="95"/>
      <c r="D36" s="95"/>
      <c r="E36" s="95"/>
      <c r="F36" s="95"/>
      <c r="G36" s="95"/>
      <c r="H36" s="95"/>
      <c r="I36" s="95"/>
      <c r="J36" s="95"/>
    </row>
    <row r="37" spans="1:10" ht="16" customHeight="1" x14ac:dyDescent="0.2">
      <c r="A37" s="103" t="s">
        <v>280</v>
      </c>
      <c r="B37" s="95"/>
      <c r="C37" s="95"/>
      <c r="D37" s="95"/>
      <c r="E37" s="95"/>
      <c r="F37" s="95"/>
      <c r="G37" s="95"/>
      <c r="H37" s="95"/>
      <c r="I37" s="95"/>
      <c r="J37" s="95"/>
    </row>
  </sheetData>
  <mergeCells count="15">
    <mergeCell ref="A1:J1"/>
    <mergeCell ref="A37:J37"/>
    <mergeCell ref="A32:J32"/>
    <mergeCell ref="A36:J36"/>
    <mergeCell ref="A31:J31"/>
    <mergeCell ref="A17:J17"/>
    <mergeCell ref="A3:J3"/>
    <mergeCell ref="A30:J30"/>
    <mergeCell ref="A34:J34"/>
    <mergeCell ref="A29:J29"/>
    <mergeCell ref="A4:J4"/>
    <mergeCell ref="A35:J35"/>
    <mergeCell ref="A2:J2"/>
    <mergeCell ref="A28:J28"/>
    <mergeCell ref="A33:J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A580C"/>
  </sheetPr>
  <dimension ref="A1:J46"/>
  <sheetViews>
    <sheetView workbookViewId="0">
      <pane ySplit="2" topLeftCell="A3" activePane="bottomLeft" state="frozen"/>
      <selection pane="bottomLeft" sqref="A1:J1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4" width="14" customWidth="1"/>
    <col min="5" max="5" width="12" customWidth="1"/>
    <col min="6" max="6" width="14" customWidth="1"/>
    <col min="7" max="7" width="12" customWidth="1"/>
    <col min="8" max="8" width="14" customWidth="1"/>
    <col min="9" max="9" width="12" customWidth="1"/>
    <col min="10" max="10" width="14" customWidth="1"/>
  </cols>
  <sheetData>
    <row r="1" spans="1:10" ht="22" customHeight="1" x14ac:dyDescent="0.2">
      <c r="A1" s="98" t="s">
        <v>281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ht="18" customHeight="1" x14ac:dyDescent="0.2">
      <c r="A2" s="102" t="s">
        <v>282</v>
      </c>
      <c r="B2" s="95"/>
      <c r="C2" s="95"/>
      <c r="D2" s="95"/>
      <c r="E2" s="95"/>
      <c r="F2" s="95"/>
      <c r="G2" s="95"/>
      <c r="H2" s="95"/>
      <c r="I2" s="95"/>
      <c r="J2" s="95"/>
    </row>
    <row r="3" spans="1:10" ht="8" customHeight="1" x14ac:dyDescent="0.2">
      <c r="A3" s="97"/>
      <c r="B3" s="95"/>
      <c r="C3" s="95"/>
      <c r="D3" s="95"/>
      <c r="E3" s="95"/>
      <c r="F3" s="95"/>
      <c r="G3" s="95"/>
      <c r="H3" s="95"/>
      <c r="I3" s="95"/>
      <c r="J3" s="95"/>
    </row>
    <row r="4" spans="1:10" ht="22" customHeight="1" x14ac:dyDescent="0.2">
      <c r="A4" s="108" t="s">
        <v>283</v>
      </c>
      <c r="B4" s="95"/>
      <c r="C4" s="95"/>
      <c r="D4" s="95"/>
      <c r="E4" s="95"/>
      <c r="F4" s="95"/>
      <c r="G4" s="95"/>
      <c r="H4" s="95"/>
      <c r="I4" s="95"/>
      <c r="J4" s="95"/>
    </row>
    <row r="5" spans="1:10" x14ac:dyDescent="0.2">
      <c r="A5" s="71" t="s">
        <v>284</v>
      </c>
      <c r="B5" s="71" t="s">
        <v>285</v>
      </c>
      <c r="C5" s="71" t="s">
        <v>286</v>
      </c>
      <c r="D5" s="71" t="s">
        <v>287</v>
      </c>
      <c r="E5" s="71" t="s">
        <v>288</v>
      </c>
      <c r="F5" s="71" t="s">
        <v>289</v>
      </c>
      <c r="G5" s="71" t="s">
        <v>290</v>
      </c>
      <c r="H5" s="71" t="s">
        <v>291</v>
      </c>
      <c r="I5" s="71" t="s">
        <v>292</v>
      </c>
      <c r="J5" s="71" t="s">
        <v>293</v>
      </c>
    </row>
    <row r="6" spans="1:10" ht="18" customHeight="1" x14ac:dyDescent="0.2">
      <c r="A6" s="72" t="s">
        <v>294</v>
      </c>
      <c r="B6" s="6" t="s">
        <v>295</v>
      </c>
      <c r="C6" s="6" t="s">
        <v>296</v>
      </c>
      <c r="D6" s="73">
        <v>89999</v>
      </c>
      <c r="E6" s="5">
        <v>45</v>
      </c>
      <c r="F6" s="74">
        <f t="shared" ref="F6:F20" si="0">D6*E6</f>
        <v>4049955</v>
      </c>
      <c r="G6" s="75">
        <v>0.1</v>
      </c>
      <c r="H6" s="76">
        <f t="shared" ref="H6:H20" si="1">ROUND(F6*(1-G6),0)</f>
        <v>3644960</v>
      </c>
      <c r="I6" s="77">
        <f t="shared" ref="I6:I20" si="2">ROUND(H6*0.18,0)</f>
        <v>656093</v>
      </c>
      <c r="J6" s="78">
        <f t="shared" ref="J6:J20" si="3">H6+I6</f>
        <v>4301053</v>
      </c>
    </row>
    <row r="7" spans="1:10" ht="18" customHeight="1" x14ac:dyDescent="0.2">
      <c r="A7" s="79" t="s">
        <v>297</v>
      </c>
      <c r="B7" s="12" t="s">
        <v>298</v>
      </c>
      <c r="C7" s="12" t="s">
        <v>296</v>
      </c>
      <c r="D7" s="80">
        <v>74999</v>
      </c>
      <c r="E7" s="11">
        <v>62</v>
      </c>
      <c r="F7" s="81">
        <f t="shared" si="0"/>
        <v>4649938</v>
      </c>
      <c r="G7" s="82">
        <v>0.08</v>
      </c>
      <c r="H7" s="83">
        <f t="shared" si="1"/>
        <v>4277943</v>
      </c>
      <c r="I7" s="84">
        <f t="shared" si="2"/>
        <v>770030</v>
      </c>
      <c r="J7" s="85">
        <f t="shared" si="3"/>
        <v>5047973</v>
      </c>
    </row>
    <row r="8" spans="1:10" ht="18" customHeight="1" x14ac:dyDescent="0.2">
      <c r="A8" s="72" t="s">
        <v>299</v>
      </c>
      <c r="B8" s="6" t="s">
        <v>300</v>
      </c>
      <c r="C8" s="6" t="s">
        <v>296</v>
      </c>
      <c r="D8" s="73">
        <v>64999</v>
      </c>
      <c r="E8" s="5">
        <v>38</v>
      </c>
      <c r="F8" s="74">
        <f t="shared" si="0"/>
        <v>2469962</v>
      </c>
      <c r="G8" s="75">
        <v>0.12</v>
      </c>
      <c r="H8" s="76">
        <f t="shared" si="1"/>
        <v>2173567</v>
      </c>
      <c r="I8" s="77">
        <f t="shared" si="2"/>
        <v>391242</v>
      </c>
      <c r="J8" s="78">
        <f t="shared" si="3"/>
        <v>2564809</v>
      </c>
    </row>
    <row r="9" spans="1:10" ht="18" customHeight="1" x14ac:dyDescent="0.2">
      <c r="A9" s="79" t="s">
        <v>301</v>
      </c>
      <c r="B9" s="12" t="s">
        <v>302</v>
      </c>
      <c r="C9" s="12" t="s">
        <v>303</v>
      </c>
      <c r="D9" s="80">
        <v>12999</v>
      </c>
      <c r="E9" s="11">
        <v>120</v>
      </c>
      <c r="F9" s="81">
        <f t="shared" si="0"/>
        <v>1559880</v>
      </c>
      <c r="G9" s="82">
        <v>0.15</v>
      </c>
      <c r="H9" s="83">
        <f t="shared" si="1"/>
        <v>1325898</v>
      </c>
      <c r="I9" s="84">
        <f t="shared" si="2"/>
        <v>238662</v>
      </c>
      <c r="J9" s="85">
        <f t="shared" si="3"/>
        <v>1564560</v>
      </c>
    </row>
    <row r="10" spans="1:10" ht="18" customHeight="1" x14ac:dyDescent="0.2">
      <c r="A10" s="72" t="s">
        <v>304</v>
      </c>
      <c r="B10" s="6" t="s">
        <v>305</v>
      </c>
      <c r="C10" s="6" t="s">
        <v>303</v>
      </c>
      <c r="D10" s="73">
        <v>9999</v>
      </c>
      <c r="E10" s="5">
        <v>85</v>
      </c>
      <c r="F10" s="74">
        <f t="shared" si="0"/>
        <v>849915</v>
      </c>
      <c r="G10" s="75">
        <v>0.1</v>
      </c>
      <c r="H10" s="76">
        <f t="shared" si="1"/>
        <v>764924</v>
      </c>
      <c r="I10" s="77">
        <f t="shared" si="2"/>
        <v>137686</v>
      </c>
      <c r="J10" s="78">
        <f t="shared" si="3"/>
        <v>902610</v>
      </c>
    </row>
    <row r="11" spans="1:10" ht="18" customHeight="1" x14ac:dyDescent="0.2">
      <c r="A11" s="79" t="s">
        <v>306</v>
      </c>
      <c r="B11" s="12" t="s">
        <v>307</v>
      </c>
      <c r="C11" s="12" t="s">
        <v>308</v>
      </c>
      <c r="D11" s="80">
        <v>3499</v>
      </c>
      <c r="E11" s="11">
        <v>210</v>
      </c>
      <c r="F11" s="81">
        <f t="shared" si="0"/>
        <v>734790</v>
      </c>
      <c r="G11" s="82">
        <v>0.2</v>
      </c>
      <c r="H11" s="83">
        <f t="shared" si="1"/>
        <v>587832</v>
      </c>
      <c r="I11" s="84">
        <f t="shared" si="2"/>
        <v>105810</v>
      </c>
      <c r="J11" s="85">
        <f t="shared" si="3"/>
        <v>693642</v>
      </c>
    </row>
    <row r="12" spans="1:10" ht="18" customHeight="1" x14ac:dyDescent="0.2">
      <c r="A12" s="72" t="s">
        <v>309</v>
      </c>
      <c r="B12" s="6" t="s">
        <v>310</v>
      </c>
      <c r="C12" s="6" t="s">
        <v>308</v>
      </c>
      <c r="D12" s="73">
        <v>1299</v>
      </c>
      <c r="E12" s="5">
        <v>340</v>
      </c>
      <c r="F12" s="74">
        <f t="shared" si="0"/>
        <v>441660</v>
      </c>
      <c r="G12" s="75">
        <v>0.18</v>
      </c>
      <c r="H12" s="76">
        <f t="shared" si="1"/>
        <v>362161</v>
      </c>
      <c r="I12" s="77">
        <f t="shared" si="2"/>
        <v>65189</v>
      </c>
      <c r="J12" s="78">
        <f t="shared" si="3"/>
        <v>427350</v>
      </c>
    </row>
    <row r="13" spans="1:10" ht="18" customHeight="1" x14ac:dyDescent="0.2">
      <c r="A13" s="79" t="s">
        <v>311</v>
      </c>
      <c r="B13" s="12" t="s">
        <v>312</v>
      </c>
      <c r="C13" s="12" t="s">
        <v>296</v>
      </c>
      <c r="D13" s="80">
        <v>2499</v>
      </c>
      <c r="E13" s="11">
        <v>580</v>
      </c>
      <c r="F13" s="81">
        <f t="shared" si="0"/>
        <v>1449420</v>
      </c>
      <c r="G13" s="82">
        <v>0.05</v>
      </c>
      <c r="H13" s="83">
        <f t="shared" si="1"/>
        <v>1376949</v>
      </c>
      <c r="I13" s="84">
        <f t="shared" si="2"/>
        <v>247851</v>
      </c>
      <c r="J13" s="85">
        <f t="shared" si="3"/>
        <v>1624800</v>
      </c>
    </row>
    <row r="14" spans="1:10" ht="18" customHeight="1" x14ac:dyDescent="0.2">
      <c r="A14" s="72" t="s">
        <v>313</v>
      </c>
      <c r="B14" s="6" t="s">
        <v>314</v>
      </c>
      <c r="C14" s="6" t="s">
        <v>296</v>
      </c>
      <c r="D14" s="73">
        <v>65999</v>
      </c>
      <c r="E14" s="5">
        <v>28</v>
      </c>
      <c r="F14" s="74">
        <f t="shared" si="0"/>
        <v>1847972</v>
      </c>
      <c r="G14" s="75">
        <v>7.0000000000000007E-2</v>
      </c>
      <c r="H14" s="76">
        <f t="shared" si="1"/>
        <v>1718614</v>
      </c>
      <c r="I14" s="77">
        <f t="shared" si="2"/>
        <v>309351</v>
      </c>
      <c r="J14" s="78">
        <f t="shared" si="3"/>
        <v>2027965</v>
      </c>
    </row>
    <row r="15" spans="1:10" ht="18" customHeight="1" x14ac:dyDescent="0.2">
      <c r="A15" s="79" t="s">
        <v>315</v>
      </c>
      <c r="B15" s="12" t="s">
        <v>316</v>
      </c>
      <c r="C15" s="12" t="s">
        <v>296</v>
      </c>
      <c r="D15" s="80">
        <v>15999</v>
      </c>
      <c r="E15" s="11">
        <v>42</v>
      </c>
      <c r="F15" s="81">
        <f t="shared" si="0"/>
        <v>671958</v>
      </c>
      <c r="G15" s="82">
        <v>0.08</v>
      </c>
      <c r="H15" s="83">
        <f t="shared" si="1"/>
        <v>618201</v>
      </c>
      <c r="I15" s="84">
        <f t="shared" si="2"/>
        <v>111276</v>
      </c>
      <c r="J15" s="85">
        <f t="shared" si="3"/>
        <v>729477</v>
      </c>
    </row>
    <row r="16" spans="1:10" ht="18" customHeight="1" x14ac:dyDescent="0.2">
      <c r="A16" s="72" t="s">
        <v>317</v>
      </c>
      <c r="B16" s="6" t="s">
        <v>318</v>
      </c>
      <c r="C16" s="6" t="s">
        <v>303</v>
      </c>
      <c r="D16" s="73">
        <v>7499</v>
      </c>
      <c r="E16" s="5">
        <v>95</v>
      </c>
      <c r="F16" s="74">
        <f t="shared" si="0"/>
        <v>712405</v>
      </c>
      <c r="G16" s="75">
        <v>0.12</v>
      </c>
      <c r="H16" s="76">
        <f t="shared" si="1"/>
        <v>626916</v>
      </c>
      <c r="I16" s="77">
        <f t="shared" si="2"/>
        <v>112845</v>
      </c>
      <c r="J16" s="78">
        <f t="shared" si="3"/>
        <v>739761</v>
      </c>
    </row>
    <row r="17" spans="1:10" ht="18" customHeight="1" x14ac:dyDescent="0.2">
      <c r="A17" s="79" t="s">
        <v>319</v>
      </c>
      <c r="B17" s="12" t="s">
        <v>320</v>
      </c>
      <c r="C17" s="12" t="s">
        <v>308</v>
      </c>
      <c r="D17" s="80">
        <v>4999</v>
      </c>
      <c r="E17" s="11">
        <v>180</v>
      </c>
      <c r="F17" s="81">
        <f t="shared" si="0"/>
        <v>899820</v>
      </c>
      <c r="G17" s="82">
        <v>0.15</v>
      </c>
      <c r="H17" s="83">
        <f t="shared" si="1"/>
        <v>764847</v>
      </c>
      <c r="I17" s="84">
        <f t="shared" si="2"/>
        <v>137672</v>
      </c>
      <c r="J17" s="85">
        <f t="shared" si="3"/>
        <v>902519</v>
      </c>
    </row>
    <row r="18" spans="1:10" ht="18" customHeight="1" x14ac:dyDescent="0.2">
      <c r="A18" s="72" t="s">
        <v>321</v>
      </c>
      <c r="B18" s="6" t="s">
        <v>322</v>
      </c>
      <c r="C18" s="6" t="s">
        <v>296</v>
      </c>
      <c r="D18" s="73">
        <v>8999</v>
      </c>
      <c r="E18" s="5">
        <v>220</v>
      </c>
      <c r="F18" s="74">
        <f t="shared" si="0"/>
        <v>1979780</v>
      </c>
      <c r="G18" s="75">
        <v>0.1</v>
      </c>
      <c r="H18" s="76">
        <f t="shared" si="1"/>
        <v>1781802</v>
      </c>
      <c r="I18" s="77">
        <f t="shared" si="2"/>
        <v>320724</v>
      </c>
      <c r="J18" s="78">
        <f t="shared" si="3"/>
        <v>2102526</v>
      </c>
    </row>
    <row r="19" spans="1:10" ht="18" customHeight="1" x14ac:dyDescent="0.2">
      <c r="A19" s="79" t="s">
        <v>323</v>
      </c>
      <c r="B19" s="12" t="s">
        <v>324</v>
      </c>
      <c r="C19" s="12" t="s">
        <v>308</v>
      </c>
      <c r="D19" s="80">
        <v>1499</v>
      </c>
      <c r="E19" s="11">
        <v>415</v>
      </c>
      <c r="F19" s="81">
        <f t="shared" si="0"/>
        <v>622085</v>
      </c>
      <c r="G19" s="82">
        <v>0.2</v>
      </c>
      <c r="H19" s="83">
        <f t="shared" si="1"/>
        <v>497668</v>
      </c>
      <c r="I19" s="84">
        <f t="shared" si="2"/>
        <v>89580</v>
      </c>
      <c r="J19" s="85">
        <f t="shared" si="3"/>
        <v>587248</v>
      </c>
    </row>
    <row r="20" spans="1:10" ht="18" customHeight="1" x14ac:dyDescent="0.2">
      <c r="A20" s="72" t="s">
        <v>325</v>
      </c>
      <c r="B20" s="6" t="s">
        <v>326</v>
      </c>
      <c r="C20" s="6" t="s">
        <v>327</v>
      </c>
      <c r="D20" s="73">
        <v>12999</v>
      </c>
      <c r="E20" s="5">
        <v>68</v>
      </c>
      <c r="F20" s="74">
        <f t="shared" si="0"/>
        <v>883932</v>
      </c>
      <c r="G20" s="75">
        <v>0.08</v>
      </c>
      <c r="H20" s="76">
        <f t="shared" si="1"/>
        <v>813217</v>
      </c>
      <c r="I20" s="77">
        <f t="shared" si="2"/>
        <v>146379</v>
      </c>
      <c r="J20" s="78">
        <f t="shared" si="3"/>
        <v>959596</v>
      </c>
    </row>
    <row r="22" spans="1:10" ht="22" customHeight="1" x14ac:dyDescent="0.2">
      <c r="A22" s="106" t="s">
        <v>328</v>
      </c>
      <c r="B22" s="95"/>
      <c r="C22" s="95"/>
      <c r="D22" s="95"/>
      <c r="E22" s="95"/>
      <c r="F22" s="95"/>
      <c r="G22" s="95"/>
      <c r="H22" s="95"/>
      <c r="I22" s="95"/>
      <c r="J22" s="95"/>
    </row>
    <row r="23" spans="1:10" x14ac:dyDescent="0.2">
      <c r="A23" s="39" t="s">
        <v>329</v>
      </c>
      <c r="B23" s="39" t="s">
        <v>114</v>
      </c>
      <c r="C23" s="39" t="s">
        <v>198</v>
      </c>
      <c r="D23" s="39" t="s">
        <v>179</v>
      </c>
    </row>
    <row r="24" spans="1:10" ht="18" customHeight="1" x14ac:dyDescent="0.2">
      <c r="A24" s="86" t="s">
        <v>330</v>
      </c>
      <c r="B24" s="40">
        <f>SUM(F6:F20)</f>
        <v>23823472</v>
      </c>
      <c r="C24" s="87">
        <f>SUM(F6:F20)</f>
        <v>23823472</v>
      </c>
      <c r="D24" s="88" t="s">
        <v>331</v>
      </c>
    </row>
    <row r="25" spans="1:10" ht="18" customHeight="1" x14ac:dyDescent="0.2">
      <c r="A25" s="3" t="s">
        <v>332</v>
      </c>
      <c r="B25" s="26">
        <f>SUM(H6:H20)</f>
        <v>21335499</v>
      </c>
      <c r="C25" s="81">
        <f>SUM(H6:H20)</f>
        <v>21335499</v>
      </c>
      <c r="D25" s="12" t="s">
        <v>333</v>
      </c>
    </row>
    <row r="26" spans="1:10" ht="18" customHeight="1" x14ac:dyDescent="0.2">
      <c r="A26" s="86" t="s">
        <v>334</v>
      </c>
      <c r="B26" s="40">
        <f>AVERAGE(D6:D20)</f>
        <v>25219</v>
      </c>
      <c r="C26" s="87">
        <f>AVERAGE(D6:D20)</f>
        <v>25219</v>
      </c>
      <c r="D26" s="88" t="s">
        <v>335</v>
      </c>
    </row>
    <row r="27" spans="1:10" ht="18" customHeight="1" x14ac:dyDescent="0.2">
      <c r="A27" s="3" t="s">
        <v>336</v>
      </c>
      <c r="B27" s="26">
        <f>ROUND(AVERAGE(E6:E20),0)</f>
        <v>169</v>
      </c>
      <c r="C27" s="89">
        <f>ROUND(AVERAGE(E6:E20),0)</f>
        <v>169</v>
      </c>
      <c r="D27" s="12" t="s">
        <v>337</v>
      </c>
    </row>
    <row r="28" spans="1:10" ht="18" customHeight="1" x14ac:dyDescent="0.2">
      <c r="A28" s="86" t="s">
        <v>338</v>
      </c>
      <c r="B28" s="40">
        <f>COUNT(E6:E20)</f>
        <v>15</v>
      </c>
      <c r="C28" s="90">
        <f>COUNT(E6:E20)</f>
        <v>15</v>
      </c>
      <c r="D28" s="88" t="s">
        <v>339</v>
      </c>
    </row>
    <row r="29" spans="1:10" ht="18" customHeight="1" x14ac:dyDescent="0.2">
      <c r="A29" s="3" t="s">
        <v>340</v>
      </c>
      <c r="B29" s="26">
        <f>COUNTA(B6:B20)</f>
        <v>15</v>
      </c>
      <c r="C29" s="89">
        <f>COUNTA(B6:B20)</f>
        <v>15</v>
      </c>
      <c r="D29" s="12" t="s">
        <v>341</v>
      </c>
    </row>
    <row r="30" spans="1:10" ht="18" customHeight="1" x14ac:dyDescent="0.2">
      <c r="A30" s="86" t="s">
        <v>342</v>
      </c>
      <c r="B30" s="40">
        <f>MAX(F6:F20)</f>
        <v>4649938</v>
      </c>
      <c r="C30" s="87">
        <f>MAX(F6:F20)</f>
        <v>4649938</v>
      </c>
      <c r="D30" s="88" t="s">
        <v>343</v>
      </c>
    </row>
    <row r="31" spans="1:10" ht="18" customHeight="1" x14ac:dyDescent="0.2">
      <c r="A31" s="3" t="s">
        <v>344</v>
      </c>
      <c r="B31" s="26">
        <f>MIN(F6:F20)</f>
        <v>441660</v>
      </c>
      <c r="C31" s="81">
        <f>MIN(F6:F20)</f>
        <v>441660</v>
      </c>
      <c r="D31" s="12" t="s">
        <v>345</v>
      </c>
    </row>
    <row r="32" spans="1:10" ht="18" customHeight="1" x14ac:dyDescent="0.2">
      <c r="A32" s="86" t="s">
        <v>346</v>
      </c>
      <c r="B32" s="40">
        <f>ROUND(SUM(I6:I20),-3)</f>
        <v>3840000</v>
      </c>
      <c r="C32" s="87">
        <f>ROUND(SUM(I6:I20),-3)</f>
        <v>3840000</v>
      </c>
      <c r="D32" s="88" t="s">
        <v>347</v>
      </c>
    </row>
    <row r="33" spans="1:10" ht="18" customHeight="1" x14ac:dyDescent="0.2">
      <c r="A33" s="3" t="s">
        <v>348</v>
      </c>
      <c r="B33" s="26">
        <f>INT(AVERAGE(D6:D20))</f>
        <v>25219</v>
      </c>
      <c r="C33" s="81">
        <f>INT(AVERAGE(D6:D20))</f>
        <v>25219</v>
      </c>
      <c r="D33" s="12" t="s">
        <v>349</v>
      </c>
    </row>
    <row r="34" spans="1:10" ht="18" customHeight="1" x14ac:dyDescent="0.2">
      <c r="A34" s="86" t="s">
        <v>350</v>
      </c>
      <c r="B34" s="40">
        <f>MOD(SUM(E6:E20),10)</f>
        <v>8</v>
      </c>
      <c r="C34" s="90">
        <f>MOD(SUM(E6:E20),10)</f>
        <v>8</v>
      </c>
      <c r="D34" s="88" t="s">
        <v>351</v>
      </c>
    </row>
    <row r="35" spans="1:10" ht="18" customHeight="1" x14ac:dyDescent="0.2">
      <c r="A35" s="3" t="s">
        <v>352</v>
      </c>
      <c r="B35" s="26">
        <f>SUMIF(C6:C20,"Electronics",F6:F20)</f>
        <v>17118985</v>
      </c>
      <c r="C35" s="81">
        <f>SUMIF(C6:C20,"Electronics",F6:F20)</f>
        <v>17118985</v>
      </c>
      <c r="D35" s="12" t="s">
        <v>353</v>
      </c>
    </row>
    <row r="37" spans="1:10" ht="20" customHeight="1" x14ac:dyDescent="0.2">
      <c r="A37" s="101" t="s">
        <v>354</v>
      </c>
      <c r="B37" s="95"/>
      <c r="C37" s="95"/>
      <c r="D37" s="95"/>
      <c r="E37" s="95"/>
      <c r="F37" s="95"/>
      <c r="G37" s="95"/>
      <c r="H37" s="95"/>
      <c r="I37" s="95"/>
      <c r="J37" s="95"/>
    </row>
    <row r="38" spans="1:10" ht="18" customHeight="1" x14ac:dyDescent="0.2">
      <c r="A38" s="100" t="s">
        <v>355</v>
      </c>
      <c r="B38" s="95"/>
      <c r="C38" s="95"/>
      <c r="D38" s="95"/>
      <c r="E38" s="95"/>
      <c r="F38" s="95"/>
      <c r="G38" s="95"/>
      <c r="H38" s="95"/>
      <c r="I38" s="95"/>
      <c r="J38" s="95"/>
    </row>
    <row r="39" spans="1:10" ht="18" customHeight="1" x14ac:dyDescent="0.2">
      <c r="A39" s="100" t="s">
        <v>356</v>
      </c>
      <c r="B39" s="95"/>
      <c r="C39" s="95"/>
      <c r="D39" s="95"/>
      <c r="E39" s="95"/>
      <c r="F39" s="95"/>
      <c r="G39" s="95"/>
      <c r="H39" s="95"/>
      <c r="I39" s="95"/>
      <c r="J39" s="95"/>
    </row>
    <row r="40" spans="1:10" ht="18" customHeight="1" x14ac:dyDescent="0.2">
      <c r="A40" s="100" t="s">
        <v>357</v>
      </c>
      <c r="B40" s="95"/>
      <c r="C40" s="95"/>
      <c r="D40" s="95"/>
      <c r="E40" s="95"/>
      <c r="F40" s="95"/>
      <c r="G40" s="95"/>
      <c r="H40" s="95"/>
      <c r="I40" s="95"/>
      <c r="J40" s="95"/>
    </row>
    <row r="41" spans="1:10" ht="18" customHeight="1" x14ac:dyDescent="0.2">
      <c r="A41" s="100" t="s">
        <v>358</v>
      </c>
      <c r="B41" s="95"/>
      <c r="C41" s="95"/>
      <c r="D41" s="95"/>
      <c r="E41" s="95"/>
      <c r="F41" s="95"/>
      <c r="G41" s="95"/>
      <c r="H41" s="95"/>
      <c r="I41" s="95"/>
      <c r="J41" s="95"/>
    </row>
    <row r="42" spans="1:10" ht="18" customHeight="1" x14ac:dyDescent="0.2">
      <c r="A42" s="100" t="s">
        <v>359</v>
      </c>
      <c r="B42" s="95"/>
      <c r="C42" s="95"/>
      <c r="D42" s="95"/>
      <c r="E42" s="95"/>
      <c r="F42" s="95"/>
      <c r="G42" s="95"/>
      <c r="H42" s="95"/>
      <c r="I42" s="95"/>
      <c r="J42" s="95"/>
    </row>
    <row r="43" spans="1:10" ht="18" customHeight="1" x14ac:dyDescent="0.2">
      <c r="A43" s="100" t="s">
        <v>360</v>
      </c>
      <c r="B43" s="95"/>
      <c r="C43" s="95"/>
      <c r="D43" s="95"/>
      <c r="E43" s="95"/>
      <c r="F43" s="95"/>
      <c r="G43" s="95"/>
      <c r="H43" s="95"/>
      <c r="I43" s="95"/>
      <c r="J43" s="95"/>
    </row>
    <row r="44" spans="1:10" ht="18" customHeight="1" x14ac:dyDescent="0.2">
      <c r="A44" s="100" t="s">
        <v>361</v>
      </c>
      <c r="B44" s="95"/>
      <c r="C44" s="95"/>
      <c r="D44" s="95"/>
      <c r="E44" s="95"/>
      <c r="F44" s="95"/>
      <c r="G44" s="95"/>
      <c r="H44" s="95"/>
      <c r="I44" s="95"/>
      <c r="J44" s="95"/>
    </row>
    <row r="45" spans="1:10" ht="18" customHeight="1" x14ac:dyDescent="0.2">
      <c r="A45" s="100" t="s">
        <v>362</v>
      </c>
      <c r="B45" s="95"/>
      <c r="C45" s="95"/>
      <c r="D45" s="95"/>
      <c r="E45" s="95"/>
      <c r="F45" s="95"/>
      <c r="G45" s="95"/>
      <c r="H45" s="95"/>
      <c r="I45" s="95"/>
      <c r="J45" s="95"/>
    </row>
    <row r="46" spans="1:10" ht="16" customHeight="1" x14ac:dyDescent="0.2">
      <c r="A46" s="103" t="s">
        <v>363</v>
      </c>
      <c r="B46" s="95"/>
      <c r="C46" s="95"/>
      <c r="D46" s="95"/>
      <c r="E46" s="95"/>
      <c r="F46" s="95"/>
      <c r="G46" s="95"/>
      <c r="H46" s="95"/>
      <c r="I46" s="95"/>
      <c r="J46" s="95"/>
    </row>
  </sheetData>
  <mergeCells count="15">
    <mergeCell ref="A44:J44"/>
    <mergeCell ref="A1:J1"/>
    <mergeCell ref="A37:J37"/>
    <mergeCell ref="A45:J45"/>
    <mergeCell ref="A46:J46"/>
    <mergeCell ref="A22:J22"/>
    <mergeCell ref="A40:J40"/>
    <mergeCell ref="A3:J3"/>
    <mergeCell ref="A39:J39"/>
    <mergeCell ref="A4:J4"/>
    <mergeCell ref="A43:J43"/>
    <mergeCell ref="A38:J38"/>
    <mergeCell ref="A2:J2"/>
    <mergeCell ref="A42:J42"/>
    <mergeCell ref="A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01_Tables_CtrlT</vt:lpstr>
      <vt:lpstr>02_Logical_IF_IFS_AND_OR</vt:lpstr>
      <vt:lpstr>03_Text_Functions</vt:lpstr>
      <vt:lpstr>04_Date_Functions</vt:lpstr>
      <vt:lpstr>05_Math_Stat_Functions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2026-04-02T06:16:44Z</dcterms:created>
  <dcterms:modified xsi:type="dcterms:W3CDTF">2026-04-02T15:42:19Z</dcterms:modified>
</cp:coreProperties>
</file>